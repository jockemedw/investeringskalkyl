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A75E24FE-B771-427B-B73D-7721DF9C27A8}"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Kalkyldata'!$C$3:$U$81</definedName>
    <definedName name="_xlnm.Print_Area" localSheetId="2">'3. Finansiering'!$A$1:$W$57</definedName>
    <definedName name="_xlnm.Print_Area" localSheetId="3">'4. NPV'!$B$1:$Y$82</definedName>
    <definedName name="_xlnm.Print_Area" localSheetId="4">'5. IRR'!$A$1:$W$57</definedName>
    <definedName name="_xlnm.Print_Area" localSheetId="5">'6. Ack.kapitalutlägg'!$A$1:$W$32</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I18" i="2"/>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G14" i="2" s="1"/>
  <c r="I17" i="2"/>
  <c r="I16" i="2"/>
  <c r="I15" i="2"/>
  <c r="AG19" i="2" l="1"/>
  <c r="AF19" i="2"/>
  <c r="AD19" i="2"/>
  <c r="AE19" i="2"/>
  <c r="D107" i="10" s="1"/>
  <c r="L69" i="2"/>
  <c r="M11" i="2"/>
  <c r="D111" i="10"/>
  <c r="D105" i="10"/>
  <c r="K38" i="2"/>
  <c r="K37" i="2"/>
  <c r="K36" i="2"/>
  <c r="K35" i="2"/>
  <c r="K34" i="2"/>
  <c r="H39" i="2"/>
  <c r="G39" i="2"/>
  <c r="M8" i="2" l="1"/>
  <c r="C56" i="4"/>
  <c r="C68" i="10" s="1"/>
  <c r="K75" i="10"/>
  <c r="C55" i="4"/>
  <c r="C67" i="10" s="1"/>
  <c r="G75" i="10"/>
  <c r="H80" i="2"/>
  <c r="B65" i="10"/>
  <c r="C57" i="4"/>
  <c r="C69" i="10" s="1"/>
  <c r="B7" i="4"/>
  <c r="H27" i="2"/>
  <c r="Z29" i="2"/>
  <c r="Z28" i="2"/>
  <c r="U29" i="2"/>
  <c r="U28" i="2"/>
  <c r="V27" i="2" l="1"/>
  <c r="L27" i="2"/>
  <c r="S27" i="2"/>
  <c r="T27" i="2" s="1"/>
  <c r="K70" i="2"/>
  <c r="G78" i="10"/>
  <c r="G76" i="10"/>
  <c r="K78" i="10"/>
  <c r="K76" i="10"/>
  <c r="N23"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V26" i="2" l="1"/>
  <c r="L26" i="2"/>
  <c r="S26" i="2"/>
  <c r="T26" i="2" s="1"/>
  <c r="W26" i="2" s="1"/>
  <c r="J70"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D55" i="8" l="1"/>
  <c r="XFC55" i="8"/>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D54" i="8"/>
  <c r="XFC54" i="8"/>
  <c r="XFB54" i="8"/>
  <c r="XFA54" i="8"/>
  <c r="XEZ54" i="8"/>
  <c r="XEY54" i="8"/>
  <c r="XEX54" i="8"/>
  <c r="XEW54" i="8"/>
  <c r="XEV54" i="8"/>
  <c r="XEU54" i="8"/>
  <c r="XET54" i="8"/>
  <c r="XES54" i="8"/>
  <c r="XER54" i="8"/>
  <c r="XEQ54" i="8"/>
  <c r="XEP54" i="8"/>
  <c r="XEO54" i="8"/>
  <c r="XEN54" i="8"/>
  <c r="XEM54" i="8"/>
  <c r="XEL54" i="8"/>
  <c r="XEK54" i="8"/>
  <c r="XEJ54" i="8"/>
  <c r="XEI54" i="8"/>
  <c r="XEH54" i="8"/>
  <c r="XEG54" i="8"/>
  <c r="XEF54" i="8"/>
  <c r="XEE54" i="8"/>
  <c r="XED54" i="8"/>
  <c r="XEC54" i="8"/>
  <c r="XEB54" i="8"/>
  <c r="XEA54" i="8"/>
  <c r="XDZ54" i="8"/>
  <c r="XDY54" i="8"/>
  <c r="XDX54" i="8"/>
  <c r="XDW54" i="8"/>
  <c r="XDV54" i="8"/>
  <c r="XDU54" i="8"/>
  <c r="XDT54" i="8"/>
  <c r="XDS54" i="8"/>
  <c r="XDR54" i="8"/>
  <c r="XDQ54" i="8"/>
  <c r="XDP54" i="8"/>
  <c r="XDO54" i="8"/>
  <c r="XDN54" i="8"/>
  <c r="XDM54" i="8"/>
  <c r="XDL54" i="8"/>
  <c r="XDK54" i="8"/>
  <c r="XDJ54" i="8"/>
  <c r="XDI54" i="8"/>
  <c r="XDH54" i="8"/>
  <c r="XDG54" i="8"/>
  <c r="XDF54" i="8"/>
  <c r="XDE54" i="8"/>
  <c r="XDD54" i="8"/>
  <c r="XDC54" i="8"/>
  <c r="XDB54" i="8"/>
  <c r="XDA54" i="8"/>
  <c r="XCZ54" i="8"/>
  <c r="XCY54" i="8"/>
  <c r="XCX54" i="8"/>
  <c r="XCW54" i="8"/>
  <c r="XCV54" i="8"/>
  <c r="XCU54" i="8"/>
  <c r="XCT54" i="8"/>
  <c r="XCS54" i="8"/>
  <c r="XCR54" i="8"/>
  <c r="XCQ54" i="8"/>
  <c r="XCP54" i="8"/>
  <c r="XCO54" i="8"/>
  <c r="XCN54" i="8"/>
  <c r="XCM54" i="8"/>
  <c r="XCL54" i="8"/>
  <c r="XCK54" i="8"/>
  <c r="XCJ54" i="8"/>
  <c r="XCI54" i="8"/>
  <c r="XCH54" i="8"/>
  <c r="XCG54" i="8"/>
  <c r="XCF54" i="8"/>
  <c r="XCE54" i="8"/>
  <c r="XCD54" i="8"/>
  <c r="XCC54" i="8"/>
  <c r="XCB54" i="8"/>
  <c r="XCA54" i="8"/>
  <c r="XBZ54" i="8"/>
  <c r="XBY54" i="8"/>
  <c r="XBX54" i="8"/>
  <c r="XBW54" i="8"/>
  <c r="XBV54" i="8"/>
  <c r="XBU54" i="8"/>
  <c r="XBT54" i="8"/>
  <c r="XBS54" i="8"/>
  <c r="XBR54" i="8"/>
  <c r="XBQ54" i="8"/>
  <c r="XBP54" i="8"/>
  <c r="XBO54" i="8"/>
  <c r="XBN54" i="8"/>
  <c r="XBM54" i="8"/>
  <c r="XBL54" i="8"/>
  <c r="XBK54" i="8"/>
  <c r="XBJ54" i="8"/>
  <c r="XBI54" i="8"/>
  <c r="XBH54" i="8"/>
  <c r="XBG54" i="8"/>
  <c r="XBF54" i="8"/>
  <c r="XBE54" i="8"/>
  <c r="XBD54" i="8"/>
  <c r="XBC54" i="8"/>
  <c r="XBB54" i="8"/>
  <c r="XBA54" i="8"/>
  <c r="XAZ54" i="8"/>
  <c r="XAY54" i="8"/>
  <c r="XAX54" i="8"/>
  <c r="XAW54" i="8"/>
  <c r="XAV54" i="8"/>
  <c r="XAU54" i="8"/>
  <c r="XAT54" i="8"/>
  <c r="XAS54" i="8"/>
  <c r="XAR54" i="8"/>
  <c r="XAQ54" i="8"/>
  <c r="XAP54" i="8"/>
  <c r="XAO54" i="8"/>
  <c r="XAN54" i="8"/>
  <c r="XAM54" i="8"/>
  <c r="XAL54" i="8"/>
  <c r="XAK54" i="8"/>
  <c r="XAJ54" i="8"/>
  <c r="XAI54" i="8"/>
  <c r="XAH54" i="8"/>
  <c r="XAG54" i="8"/>
  <c r="XAF54" i="8"/>
  <c r="XAE54" i="8"/>
  <c r="XAD54" i="8"/>
  <c r="XAC54" i="8"/>
  <c r="XAB54" i="8"/>
  <c r="XAA54" i="8"/>
  <c r="WZZ54" i="8"/>
  <c r="WZY54" i="8"/>
  <c r="WZX54" i="8"/>
  <c r="WZW54" i="8"/>
  <c r="WZV54" i="8"/>
  <c r="WZU54" i="8"/>
  <c r="WZT54" i="8"/>
  <c r="WZS54" i="8"/>
  <c r="WZR54" i="8"/>
  <c r="WZQ54" i="8"/>
  <c r="WZP54" i="8"/>
  <c r="WZO54" i="8"/>
  <c r="WZN54" i="8"/>
  <c r="WZM54" i="8"/>
  <c r="WZL54" i="8"/>
  <c r="WZK54" i="8"/>
  <c r="WZJ54" i="8"/>
  <c r="WZI54" i="8"/>
  <c r="WZH54" i="8"/>
  <c r="WZG54" i="8"/>
  <c r="WZF54" i="8"/>
  <c r="WZE54" i="8"/>
  <c r="WZD54" i="8"/>
  <c r="WZC54" i="8"/>
  <c r="WZB54" i="8"/>
  <c r="WZA54" i="8"/>
  <c r="WYZ54" i="8"/>
  <c r="WYY54" i="8"/>
  <c r="WYX54" i="8"/>
  <c r="WYW54" i="8"/>
  <c r="WYV54" i="8"/>
  <c r="WYU54" i="8"/>
  <c r="WYT54" i="8"/>
  <c r="WYS54" i="8"/>
  <c r="WYR54" i="8"/>
  <c r="WYQ54" i="8"/>
  <c r="WYP54" i="8"/>
  <c r="WYO54" i="8"/>
  <c r="WYN54" i="8"/>
  <c r="WYM54" i="8"/>
  <c r="WYL54" i="8"/>
  <c r="WYK54" i="8"/>
  <c r="WYJ54" i="8"/>
  <c r="WYI54" i="8"/>
  <c r="WYH54" i="8"/>
  <c r="WYG54" i="8"/>
  <c r="WYF54" i="8"/>
  <c r="WYE54" i="8"/>
  <c r="WYD54" i="8"/>
  <c r="WYC54" i="8"/>
  <c r="WYB54" i="8"/>
  <c r="WYA54" i="8"/>
  <c r="WXZ54" i="8"/>
  <c r="WXY54" i="8"/>
  <c r="WXX54" i="8"/>
  <c r="WXW54" i="8"/>
  <c r="WXV54" i="8"/>
  <c r="WXU54" i="8"/>
  <c r="WXT54" i="8"/>
  <c r="WXS54" i="8"/>
  <c r="WXR54" i="8"/>
  <c r="WXQ54" i="8"/>
  <c r="WXP54" i="8"/>
  <c r="WXO54" i="8"/>
  <c r="WXN54" i="8"/>
  <c r="WXM54" i="8"/>
  <c r="WXL54" i="8"/>
  <c r="WXK54" i="8"/>
  <c r="WXJ54" i="8"/>
  <c r="WXI54" i="8"/>
  <c r="WXH54" i="8"/>
  <c r="WXG54" i="8"/>
  <c r="WXF54" i="8"/>
  <c r="WXE54" i="8"/>
  <c r="WXD54" i="8"/>
  <c r="WXC54" i="8"/>
  <c r="WXB54" i="8"/>
  <c r="WXA54" i="8"/>
  <c r="WWZ54" i="8"/>
  <c r="WWY54" i="8"/>
  <c r="WWX54" i="8"/>
  <c r="WWW54" i="8"/>
  <c r="WWV54" i="8"/>
  <c r="WWU54" i="8"/>
  <c r="WWT54" i="8"/>
  <c r="WWS54" i="8"/>
  <c r="WWR54" i="8"/>
  <c r="WWQ54" i="8"/>
  <c r="WWP54" i="8"/>
  <c r="WWO54" i="8"/>
  <c r="WWN54" i="8"/>
  <c r="WWM54" i="8"/>
  <c r="WWL54" i="8"/>
  <c r="WWK54" i="8"/>
  <c r="WWJ54" i="8"/>
  <c r="WWI54" i="8"/>
  <c r="WWH54" i="8"/>
  <c r="WWG54" i="8"/>
  <c r="WWF54" i="8"/>
  <c r="WWE54" i="8"/>
  <c r="WWD54" i="8"/>
  <c r="WWC54" i="8"/>
  <c r="WWB54" i="8"/>
  <c r="WWA54" i="8"/>
  <c r="WVZ54" i="8"/>
  <c r="WVY54" i="8"/>
  <c r="WVX54" i="8"/>
  <c r="WVW54" i="8"/>
  <c r="WVV54" i="8"/>
  <c r="WVU54" i="8"/>
  <c r="WVT54" i="8"/>
  <c r="WVS54" i="8"/>
  <c r="WVR54" i="8"/>
  <c r="WVQ54" i="8"/>
  <c r="WVP54" i="8"/>
  <c r="WVO54" i="8"/>
  <c r="WVN54" i="8"/>
  <c r="WVM54" i="8"/>
  <c r="WVL54" i="8"/>
  <c r="WVK54" i="8"/>
  <c r="WVJ54" i="8"/>
  <c r="WVI54" i="8"/>
  <c r="WVH54" i="8"/>
  <c r="WVG54" i="8"/>
  <c r="WVF54" i="8"/>
  <c r="WVE54" i="8"/>
  <c r="WVD54" i="8"/>
  <c r="WVC54" i="8"/>
  <c r="WVB54" i="8"/>
  <c r="WVA54" i="8"/>
  <c r="WUZ54" i="8"/>
  <c r="WUY54" i="8"/>
  <c r="WUX54" i="8"/>
  <c r="WUW54" i="8"/>
  <c r="WUV54" i="8"/>
  <c r="WUU54" i="8"/>
  <c r="WUT54" i="8"/>
  <c r="WUS54" i="8"/>
  <c r="WUR54" i="8"/>
  <c r="WUQ54" i="8"/>
  <c r="WUP54" i="8"/>
  <c r="WUO54" i="8"/>
  <c r="WUN54" i="8"/>
  <c r="WUM54" i="8"/>
  <c r="WUL54" i="8"/>
  <c r="WUK54" i="8"/>
  <c r="WUJ54" i="8"/>
  <c r="WUI54" i="8"/>
  <c r="WUH54" i="8"/>
  <c r="WUG54" i="8"/>
  <c r="WUF54" i="8"/>
  <c r="WUE54" i="8"/>
  <c r="WUD54" i="8"/>
  <c r="WUC54" i="8"/>
  <c r="WUB54" i="8"/>
  <c r="WUA54" i="8"/>
  <c r="WTZ54" i="8"/>
  <c r="WTY54" i="8"/>
  <c r="WTX54" i="8"/>
  <c r="WTW54" i="8"/>
  <c r="WTV54" i="8"/>
  <c r="WTU54" i="8"/>
  <c r="WTT54" i="8"/>
  <c r="WTS54" i="8"/>
  <c r="WTR54" i="8"/>
  <c r="WTQ54" i="8"/>
  <c r="WTP54" i="8"/>
  <c r="WTO54" i="8"/>
  <c r="WTN54" i="8"/>
  <c r="WTM54" i="8"/>
  <c r="WTL54" i="8"/>
  <c r="WTK54" i="8"/>
  <c r="WTJ54" i="8"/>
  <c r="WTI54" i="8"/>
  <c r="WTH54" i="8"/>
  <c r="WTG54" i="8"/>
  <c r="WTF54" i="8"/>
  <c r="WTE54" i="8"/>
  <c r="WTD54" i="8"/>
  <c r="WTC54" i="8"/>
  <c r="WTB54" i="8"/>
  <c r="WTA54" i="8"/>
  <c r="WSZ54" i="8"/>
  <c r="WSY54" i="8"/>
  <c r="WSX54" i="8"/>
  <c r="WSW54" i="8"/>
  <c r="WSV54" i="8"/>
  <c r="WSU54" i="8"/>
  <c r="WST54" i="8"/>
  <c r="WSS54" i="8"/>
  <c r="WSR54" i="8"/>
  <c r="WSQ54" i="8"/>
  <c r="WSP54" i="8"/>
  <c r="WSO54" i="8"/>
  <c r="WSN54" i="8"/>
  <c r="WSM54" i="8"/>
  <c r="WSL54" i="8"/>
  <c r="WSK54" i="8"/>
  <c r="WSJ54" i="8"/>
  <c r="WSI54" i="8"/>
  <c r="WSH54" i="8"/>
  <c r="WSG54" i="8"/>
  <c r="WSF54" i="8"/>
  <c r="WSE54" i="8"/>
  <c r="WSD54" i="8"/>
  <c r="WSC54" i="8"/>
  <c r="WSB54" i="8"/>
  <c r="WSA54" i="8"/>
  <c r="WRZ54" i="8"/>
  <c r="WRY54" i="8"/>
  <c r="WRX54" i="8"/>
  <c r="WRW54" i="8"/>
  <c r="WRV54" i="8"/>
  <c r="WRU54" i="8"/>
  <c r="WRT54" i="8"/>
  <c r="WRS54" i="8"/>
  <c r="WRR54" i="8"/>
  <c r="WRQ54" i="8"/>
  <c r="WRP54" i="8"/>
  <c r="WRO54" i="8"/>
  <c r="WRN54" i="8"/>
  <c r="WRM54" i="8"/>
  <c r="WRL54" i="8"/>
  <c r="WRK54" i="8"/>
  <c r="WRJ54" i="8"/>
  <c r="WRI54" i="8"/>
  <c r="WRH54" i="8"/>
  <c r="WRG54" i="8"/>
  <c r="WRF54" i="8"/>
  <c r="WRE54" i="8"/>
  <c r="WRD54" i="8"/>
  <c r="WRC54" i="8"/>
  <c r="WRB54" i="8"/>
  <c r="WRA54" i="8"/>
  <c r="WQZ54" i="8"/>
  <c r="WQY54" i="8"/>
  <c r="WQX54" i="8"/>
  <c r="WQW54" i="8"/>
  <c r="WQV54" i="8"/>
  <c r="WQU54" i="8"/>
  <c r="WQT54" i="8"/>
  <c r="WQS54" i="8"/>
  <c r="WQR54" i="8"/>
  <c r="WQQ54" i="8"/>
  <c r="WQP54" i="8"/>
  <c r="WQO54" i="8"/>
  <c r="WQN54" i="8"/>
  <c r="WQM54" i="8"/>
  <c r="WQL54" i="8"/>
  <c r="WQK54" i="8"/>
  <c r="WQJ54" i="8"/>
  <c r="WQI54" i="8"/>
  <c r="WQH54" i="8"/>
  <c r="WQG54" i="8"/>
  <c r="WQF54" i="8"/>
  <c r="WQE54" i="8"/>
  <c r="WQD54" i="8"/>
  <c r="WQC54" i="8"/>
  <c r="WQB54" i="8"/>
  <c r="WQA54" i="8"/>
  <c r="WPZ54" i="8"/>
  <c r="WPY54" i="8"/>
  <c r="WPX54" i="8"/>
  <c r="WPW54" i="8"/>
  <c r="WPV54" i="8"/>
  <c r="WPU54" i="8"/>
  <c r="WPT54" i="8"/>
  <c r="WPS54" i="8"/>
  <c r="WPR54" i="8"/>
  <c r="WPQ54" i="8"/>
  <c r="WPP54" i="8"/>
  <c r="WPO54" i="8"/>
  <c r="WPN54" i="8"/>
  <c r="WPM54" i="8"/>
  <c r="WPL54" i="8"/>
  <c r="WPK54" i="8"/>
  <c r="WPJ54" i="8"/>
  <c r="WPI54" i="8"/>
  <c r="WPH54" i="8"/>
  <c r="WPG54" i="8"/>
  <c r="WPF54" i="8"/>
  <c r="WPE54" i="8"/>
  <c r="WPD54" i="8"/>
  <c r="WPC54" i="8"/>
  <c r="WPB54" i="8"/>
  <c r="WPA54" i="8"/>
  <c r="WOZ54" i="8"/>
  <c r="WOY54" i="8"/>
  <c r="WOX54" i="8"/>
  <c r="WOW54" i="8"/>
  <c r="WOV54" i="8"/>
  <c r="WOU54" i="8"/>
  <c r="WOT54" i="8"/>
  <c r="WOS54" i="8"/>
  <c r="WOR54" i="8"/>
  <c r="WOQ54" i="8"/>
  <c r="WOP54" i="8"/>
  <c r="WOO54" i="8"/>
  <c r="WON54" i="8"/>
  <c r="WOM54" i="8"/>
  <c r="WOL54" i="8"/>
  <c r="WOK54" i="8"/>
  <c r="WOJ54" i="8"/>
  <c r="WOI54" i="8"/>
  <c r="WOH54" i="8"/>
  <c r="WOG54" i="8"/>
  <c r="WOF54" i="8"/>
  <c r="WOE54" i="8"/>
  <c r="WOD54" i="8"/>
  <c r="WOC54" i="8"/>
  <c r="WOB54" i="8"/>
  <c r="WOA54" i="8"/>
  <c r="WNZ54" i="8"/>
  <c r="WNY54" i="8"/>
  <c r="WNX54" i="8"/>
  <c r="WNW54" i="8"/>
  <c r="WNV54" i="8"/>
  <c r="WNU54" i="8"/>
  <c r="WNT54" i="8"/>
  <c r="WNS54" i="8"/>
  <c r="WNR54" i="8"/>
  <c r="WNQ54" i="8"/>
  <c r="WNP54" i="8"/>
  <c r="WNO54" i="8"/>
  <c r="WNN54" i="8"/>
  <c r="WNM54" i="8"/>
  <c r="WNL54" i="8"/>
  <c r="WNK54" i="8"/>
  <c r="WNJ54" i="8"/>
  <c r="WNI54" i="8"/>
  <c r="WNH54" i="8"/>
  <c r="WNG54" i="8"/>
  <c r="WNF54" i="8"/>
  <c r="WNE54" i="8"/>
  <c r="WND54" i="8"/>
  <c r="WNC54" i="8"/>
  <c r="WNB54" i="8"/>
  <c r="WNA54" i="8"/>
  <c r="WMZ54" i="8"/>
  <c r="WMY54" i="8"/>
  <c r="WMX54" i="8"/>
  <c r="WMW54" i="8"/>
  <c r="WMV54" i="8"/>
  <c r="WMU54" i="8"/>
  <c r="WMT54" i="8"/>
  <c r="WMS54" i="8"/>
  <c r="WMR54" i="8"/>
  <c r="WMQ54" i="8"/>
  <c r="WMP54" i="8"/>
  <c r="WMO54" i="8"/>
  <c r="WMN54" i="8"/>
  <c r="WMM54" i="8"/>
  <c r="WML54" i="8"/>
  <c r="WMK54" i="8"/>
  <c r="WMJ54" i="8"/>
  <c r="WMI54" i="8"/>
  <c r="WMH54" i="8"/>
  <c r="WMG54" i="8"/>
  <c r="WMF54" i="8"/>
  <c r="WME54" i="8"/>
  <c r="WMD54" i="8"/>
  <c r="WMC54" i="8"/>
  <c r="WMB54" i="8"/>
  <c r="WMA54" i="8"/>
  <c r="WLZ54" i="8"/>
  <c r="WLY54" i="8"/>
  <c r="WLX54" i="8"/>
  <c r="WLW54" i="8"/>
  <c r="WLV54" i="8"/>
  <c r="WLU54" i="8"/>
  <c r="WLT54" i="8"/>
  <c r="WLS54" i="8"/>
  <c r="WLR54" i="8"/>
  <c r="WLQ54" i="8"/>
  <c r="WLP54" i="8"/>
  <c r="WLO54" i="8"/>
  <c r="WLN54" i="8"/>
  <c r="WLM54" i="8"/>
  <c r="WLL54" i="8"/>
  <c r="WLK54" i="8"/>
  <c r="WLJ54" i="8"/>
  <c r="WLI54" i="8"/>
  <c r="WLH54" i="8"/>
  <c r="WLG54" i="8"/>
  <c r="WLF54" i="8"/>
  <c r="WLE54" i="8"/>
  <c r="WLD54" i="8"/>
  <c r="WLC54" i="8"/>
  <c r="WLB54" i="8"/>
  <c r="WLA54" i="8"/>
  <c r="WKZ54" i="8"/>
  <c r="WKY54" i="8"/>
  <c r="WKX54" i="8"/>
  <c r="WKW54" i="8"/>
  <c r="WKV54" i="8"/>
  <c r="WKU54" i="8"/>
  <c r="WKT54" i="8"/>
  <c r="WKS54" i="8"/>
  <c r="WKR54" i="8"/>
  <c r="WKQ54" i="8"/>
  <c r="WKP54" i="8"/>
  <c r="WKO54" i="8"/>
  <c r="WKN54" i="8"/>
  <c r="WKM54" i="8"/>
  <c r="WKL54" i="8"/>
  <c r="WKK54" i="8"/>
  <c r="WKJ54" i="8"/>
  <c r="WKI54" i="8"/>
  <c r="WKH54" i="8"/>
  <c r="WKG54" i="8"/>
  <c r="WKF54" i="8"/>
  <c r="WKE54" i="8"/>
  <c r="WKD54" i="8"/>
  <c r="WKC54" i="8"/>
  <c r="WKB54" i="8"/>
  <c r="WKA54" i="8"/>
  <c r="WJZ54" i="8"/>
  <c r="WJY54" i="8"/>
  <c r="WJX54" i="8"/>
  <c r="WJW54" i="8"/>
  <c r="WJV54" i="8"/>
  <c r="WJU54" i="8"/>
  <c r="WJT54" i="8"/>
  <c r="WJS54" i="8"/>
  <c r="WJR54" i="8"/>
  <c r="WJQ54" i="8"/>
  <c r="WJP54" i="8"/>
  <c r="WJO54" i="8"/>
  <c r="WJN54" i="8"/>
  <c r="WJM54" i="8"/>
  <c r="WJL54" i="8"/>
  <c r="WJK54" i="8"/>
  <c r="WJJ54" i="8"/>
  <c r="WJI54" i="8"/>
  <c r="WJH54" i="8"/>
  <c r="WJG54" i="8"/>
  <c r="WJF54" i="8"/>
  <c r="WJE54" i="8"/>
  <c r="WJD54" i="8"/>
  <c r="WJC54" i="8"/>
  <c r="WJB54" i="8"/>
  <c r="WJA54" i="8"/>
  <c r="WIZ54" i="8"/>
  <c r="WIY54" i="8"/>
  <c r="WIX54" i="8"/>
  <c r="WIW54" i="8"/>
  <c r="WIV54" i="8"/>
  <c r="WIU54" i="8"/>
  <c r="WIT54" i="8"/>
  <c r="WIS54" i="8"/>
  <c r="WIR54" i="8"/>
  <c r="WIQ54" i="8"/>
  <c r="WIP54" i="8"/>
  <c r="WIO54" i="8"/>
  <c r="WIN54" i="8"/>
  <c r="WIM54" i="8"/>
  <c r="WIL54" i="8"/>
  <c r="WIK54" i="8"/>
  <c r="WIJ54" i="8"/>
  <c r="WII54" i="8"/>
  <c r="WIH54" i="8"/>
  <c r="WIG54" i="8"/>
  <c r="WIF54" i="8"/>
  <c r="WIE54" i="8"/>
  <c r="WID54" i="8"/>
  <c r="WIC54" i="8"/>
  <c r="WIB54" i="8"/>
  <c r="WIA54" i="8"/>
  <c r="WHZ54" i="8"/>
  <c r="WHY54" i="8"/>
  <c r="WHX54" i="8"/>
  <c r="WHW54" i="8"/>
  <c r="WHV54" i="8"/>
  <c r="WHU54" i="8"/>
  <c r="WHT54" i="8"/>
  <c r="WHS54" i="8"/>
  <c r="WHR54" i="8"/>
  <c r="WHQ54" i="8"/>
  <c r="WHP54" i="8"/>
  <c r="WHO54" i="8"/>
  <c r="WHN54" i="8"/>
  <c r="WHM54" i="8"/>
  <c r="WHL54" i="8"/>
  <c r="WHK54" i="8"/>
  <c r="WHJ54" i="8"/>
  <c r="WHI54" i="8"/>
  <c r="WHH54" i="8"/>
  <c r="WHG54" i="8"/>
  <c r="WHF54" i="8"/>
  <c r="WHE54" i="8"/>
  <c r="WHD54" i="8"/>
  <c r="WHC54" i="8"/>
  <c r="WHB54" i="8"/>
  <c r="WHA54" i="8"/>
  <c r="WGZ54" i="8"/>
  <c r="WGY54" i="8"/>
  <c r="WGX54" i="8"/>
  <c r="WGW54" i="8"/>
  <c r="WGV54" i="8"/>
  <c r="WGU54" i="8"/>
  <c r="WGT54" i="8"/>
  <c r="WGS54" i="8"/>
  <c r="WGR54" i="8"/>
  <c r="WGQ54" i="8"/>
  <c r="WGP54" i="8"/>
  <c r="WGO54" i="8"/>
  <c r="WGN54" i="8"/>
  <c r="WGM54" i="8"/>
  <c r="WGL54" i="8"/>
  <c r="WGK54" i="8"/>
  <c r="WGJ54" i="8"/>
  <c r="WGI54" i="8"/>
  <c r="WGH54" i="8"/>
  <c r="WGG54" i="8"/>
  <c r="WGF54" i="8"/>
  <c r="WGE54" i="8"/>
  <c r="WGD54" i="8"/>
  <c r="WGC54" i="8"/>
  <c r="WGB54" i="8"/>
  <c r="WGA54" i="8"/>
  <c r="WFZ54" i="8"/>
  <c r="WFY54" i="8"/>
  <c r="WFX54" i="8"/>
  <c r="WFW54" i="8"/>
  <c r="WFV54" i="8"/>
  <c r="WFU54" i="8"/>
  <c r="WFT54" i="8"/>
  <c r="WFS54" i="8"/>
  <c r="WFR54" i="8"/>
  <c r="WFQ54" i="8"/>
  <c r="WFP54" i="8"/>
  <c r="WFO54" i="8"/>
  <c r="WFN54" i="8"/>
  <c r="WFM54" i="8"/>
  <c r="WFL54" i="8"/>
  <c r="WFK54" i="8"/>
  <c r="WFJ54" i="8"/>
  <c r="WFI54" i="8"/>
  <c r="WFH54" i="8"/>
  <c r="WFG54" i="8"/>
  <c r="WFF54" i="8"/>
  <c r="WFE54" i="8"/>
  <c r="WFD54" i="8"/>
  <c r="WFC54" i="8"/>
  <c r="WFB54" i="8"/>
  <c r="WFA54" i="8"/>
  <c r="WEZ54" i="8"/>
  <c r="WEY54" i="8"/>
  <c r="WEX54" i="8"/>
  <c r="WEW54" i="8"/>
  <c r="WEV54" i="8"/>
  <c r="WEU54" i="8"/>
  <c r="WET54" i="8"/>
  <c r="WES54" i="8"/>
  <c r="WER54" i="8"/>
  <c r="WEQ54" i="8"/>
  <c r="WEP54" i="8"/>
  <c r="WEO54" i="8"/>
  <c r="WEN54" i="8"/>
  <c r="WEM54" i="8"/>
  <c r="WEL54" i="8"/>
  <c r="WEK54" i="8"/>
  <c r="WEJ54" i="8"/>
  <c r="WEI54" i="8"/>
  <c r="WEH54" i="8"/>
  <c r="WEG54" i="8"/>
  <c r="WEF54" i="8"/>
  <c r="WEE54" i="8"/>
  <c r="WED54" i="8"/>
  <c r="WEC54" i="8"/>
  <c r="WEB54" i="8"/>
  <c r="WEA54" i="8"/>
  <c r="WDZ54" i="8"/>
  <c r="WDY54" i="8"/>
  <c r="WDX54" i="8"/>
  <c r="WDW54" i="8"/>
  <c r="WDV54" i="8"/>
  <c r="WDU54" i="8"/>
  <c r="WDT54" i="8"/>
  <c r="WDS54" i="8"/>
  <c r="WDR54" i="8"/>
  <c r="WDQ54" i="8"/>
  <c r="WDP54" i="8"/>
  <c r="WDO54" i="8"/>
  <c r="WDN54" i="8"/>
  <c r="WDM54" i="8"/>
  <c r="WDL54" i="8"/>
  <c r="WDK54" i="8"/>
  <c r="WDJ54" i="8"/>
  <c r="WDI54" i="8"/>
  <c r="WDH54" i="8"/>
  <c r="WDG54" i="8"/>
  <c r="WDF54" i="8"/>
  <c r="WDE54" i="8"/>
  <c r="WDD54" i="8"/>
  <c r="WDC54" i="8"/>
  <c r="WDB54" i="8"/>
  <c r="WDA54" i="8"/>
  <c r="WCZ54" i="8"/>
  <c r="WCY54" i="8"/>
  <c r="WCX54" i="8"/>
  <c r="WCW54" i="8"/>
  <c r="WCV54" i="8"/>
  <c r="WCU54" i="8"/>
  <c r="WCT54" i="8"/>
  <c r="WCS54" i="8"/>
  <c r="WCR54" i="8"/>
  <c r="WCQ54" i="8"/>
  <c r="WCP54" i="8"/>
  <c r="WCO54" i="8"/>
  <c r="WCN54" i="8"/>
  <c r="WCM54" i="8"/>
  <c r="WCL54" i="8"/>
  <c r="WCK54" i="8"/>
  <c r="WCJ54" i="8"/>
  <c r="WCI54" i="8"/>
  <c r="WCH54" i="8"/>
  <c r="WCG54" i="8"/>
  <c r="WCF54" i="8"/>
  <c r="WCE54" i="8"/>
  <c r="WCD54" i="8"/>
  <c r="WCC54" i="8"/>
  <c r="WCB54" i="8"/>
  <c r="WCA54" i="8"/>
  <c r="WBZ54" i="8"/>
  <c r="WBY54" i="8"/>
  <c r="WBX54" i="8"/>
  <c r="WBW54" i="8"/>
  <c r="WBV54" i="8"/>
  <c r="WBU54" i="8"/>
  <c r="WBT54" i="8"/>
  <c r="WBS54" i="8"/>
  <c r="WBR54" i="8"/>
  <c r="WBQ54" i="8"/>
  <c r="WBP54" i="8"/>
  <c r="WBO54" i="8"/>
  <c r="WBN54" i="8"/>
  <c r="WBM54" i="8"/>
  <c r="WBL54" i="8"/>
  <c r="WBK54" i="8"/>
  <c r="WBJ54" i="8"/>
  <c r="WBI54" i="8"/>
  <c r="WBH54" i="8"/>
  <c r="WBG54" i="8"/>
  <c r="WBF54" i="8"/>
  <c r="WBE54" i="8"/>
  <c r="WBD54" i="8"/>
  <c r="WBC54" i="8"/>
  <c r="WBB54" i="8"/>
  <c r="WBA54" i="8"/>
  <c r="WAZ54" i="8"/>
  <c r="WAY54" i="8"/>
  <c r="WAX54" i="8"/>
  <c r="WAW54" i="8"/>
  <c r="WAV54" i="8"/>
  <c r="WAU54" i="8"/>
  <c r="WAT54" i="8"/>
  <c r="WAS54" i="8"/>
  <c r="WAR54" i="8"/>
  <c r="WAQ54" i="8"/>
  <c r="WAP54" i="8"/>
  <c r="WAO54" i="8"/>
  <c r="WAN54" i="8"/>
  <c r="WAM54" i="8"/>
  <c r="WAL54" i="8"/>
  <c r="WAK54" i="8"/>
  <c r="WAJ54" i="8"/>
  <c r="WAI54" i="8"/>
  <c r="WAH54" i="8"/>
  <c r="WAG54" i="8"/>
  <c r="WAF54" i="8"/>
  <c r="WAE54" i="8"/>
  <c r="WAD54" i="8"/>
  <c r="WAC54" i="8"/>
  <c r="WAB54" i="8"/>
  <c r="WAA54" i="8"/>
  <c r="VZZ54" i="8"/>
  <c r="VZY54" i="8"/>
  <c r="VZX54" i="8"/>
  <c r="VZW54" i="8"/>
  <c r="VZV54" i="8"/>
  <c r="VZU54" i="8"/>
  <c r="VZT54" i="8"/>
  <c r="VZS54" i="8"/>
  <c r="VZR54" i="8"/>
  <c r="VZQ54" i="8"/>
  <c r="VZP54" i="8"/>
  <c r="VZO54" i="8"/>
  <c r="VZN54" i="8"/>
  <c r="VZM54" i="8"/>
  <c r="VZL54" i="8"/>
  <c r="VZK54" i="8"/>
  <c r="VZJ54" i="8"/>
  <c r="VZI54" i="8"/>
  <c r="VZH54" i="8"/>
  <c r="VZG54" i="8"/>
  <c r="VZF54" i="8"/>
  <c r="VZE54" i="8"/>
  <c r="VZD54" i="8"/>
  <c r="VZC54" i="8"/>
  <c r="VZB54" i="8"/>
  <c r="VZA54" i="8"/>
  <c r="VYZ54" i="8"/>
  <c r="VYY54" i="8"/>
  <c r="VYX54" i="8"/>
  <c r="VYW54" i="8"/>
  <c r="VYV54" i="8"/>
  <c r="VYU54" i="8"/>
  <c r="VYT54" i="8"/>
  <c r="VYS54" i="8"/>
  <c r="VYR54" i="8"/>
  <c r="VYQ54" i="8"/>
  <c r="VYP54" i="8"/>
  <c r="VYO54" i="8"/>
  <c r="VYN54" i="8"/>
  <c r="VYM54" i="8"/>
  <c r="VYL54" i="8"/>
  <c r="VYK54" i="8"/>
  <c r="VYJ54" i="8"/>
  <c r="VYI54" i="8"/>
  <c r="VYH54" i="8"/>
  <c r="VYG54" i="8"/>
  <c r="VYF54" i="8"/>
  <c r="VYE54" i="8"/>
  <c r="VYD54" i="8"/>
  <c r="VYC54" i="8"/>
  <c r="VYB54" i="8"/>
  <c r="VYA54" i="8"/>
  <c r="VXZ54" i="8"/>
  <c r="VXY54" i="8"/>
  <c r="VXX54" i="8"/>
  <c r="VXW54" i="8"/>
  <c r="VXV54" i="8"/>
  <c r="VXU54" i="8"/>
  <c r="VXT54" i="8"/>
  <c r="VXS54" i="8"/>
  <c r="VXR54" i="8"/>
  <c r="VXQ54" i="8"/>
  <c r="VXP54" i="8"/>
  <c r="VXO54" i="8"/>
  <c r="VXN54" i="8"/>
  <c r="VXM54" i="8"/>
  <c r="VXL54" i="8"/>
  <c r="VXK54" i="8"/>
  <c r="VXJ54" i="8"/>
  <c r="VXI54" i="8"/>
  <c r="VXH54" i="8"/>
  <c r="VXG54" i="8"/>
  <c r="VXF54" i="8"/>
  <c r="VXE54" i="8"/>
  <c r="VXD54" i="8"/>
  <c r="VXC54" i="8"/>
  <c r="VXB54" i="8"/>
  <c r="VXA54" i="8"/>
  <c r="VWZ54" i="8"/>
  <c r="VWY54" i="8"/>
  <c r="VWX54" i="8"/>
  <c r="VWW54" i="8"/>
  <c r="VWV54" i="8"/>
  <c r="VWU54" i="8"/>
  <c r="VWT54" i="8"/>
  <c r="VWS54" i="8"/>
  <c r="VWR54" i="8"/>
  <c r="VWQ54" i="8"/>
  <c r="VWP54" i="8"/>
  <c r="VWO54" i="8"/>
  <c r="VWN54" i="8"/>
  <c r="VWM54" i="8"/>
  <c r="VWL54" i="8"/>
  <c r="VWK54" i="8"/>
  <c r="VWJ54" i="8"/>
  <c r="VWI54" i="8"/>
  <c r="VWH54" i="8"/>
  <c r="VWG54" i="8"/>
  <c r="VWF54" i="8"/>
  <c r="VWE54" i="8"/>
  <c r="VWD54" i="8"/>
  <c r="VWC54" i="8"/>
  <c r="VWB54" i="8"/>
  <c r="VWA54" i="8"/>
  <c r="VVZ54" i="8"/>
  <c r="VVY54" i="8"/>
  <c r="VVX54" i="8"/>
  <c r="VVW54" i="8"/>
  <c r="VVV54" i="8"/>
  <c r="VVU54" i="8"/>
  <c r="VVT54" i="8"/>
  <c r="VVS54" i="8"/>
  <c r="VVR54" i="8"/>
  <c r="VVQ54" i="8"/>
  <c r="VVP54" i="8"/>
  <c r="VVO54" i="8"/>
  <c r="VVN54" i="8"/>
  <c r="VVM54" i="8"/>
  <c r="VVL54" i="8"/>
  <c r="VVK54" i="8"/>
  <c r="VVJ54" i="8"/>
  <c r="VVI54" i="8"/>
  <c r="VVH54" i="8"/>
  <c r="VVG54" i="8"/>
  <c r="VVF54" i="8"/>
  <c r="VVE54" i="8"/>
  <c r="VVD54" i="8"/>
  <c r="VVC54" i="8"/>
  <c r="VVB54" i="8"/>
  <c r="VVA54" i="8"/>
  <c r="VUZ54" i="8"/>
  <c r="VUY54" i="8"/>
  <c r="VUX54" i="8"/>
  <c r="VUW54" i="8"/>
  <c r="VUV54" i="8"/>
  <c r="VUU54" i="8"/>
  <c r="VUT54" i="8"/>
  <c r="VUS54" i="8"/>
  <c r="VUR54" i="8"/>
  <c r="VUQ54" i="8"/>
  <c r="VUP54" i="8"/>
  <c r="VUO54" i="8"/>
  <c r="VUN54" i="8"/>
  <c r="VUM54" i="8"/>
  <c r="VUL54" i="8"/>
  <c r="VUK54" i="8"/>
  <c r="VUJ54" i="8"/>
  <c r="VUI54" i="8"/>
  <c r="VUH54" i="8"/>
  <c r="VUG54" i="8"/>
  <c r="VUF54" i="8"/>
  <c r="VUE54" i="8"/>
  <c r="VUD54" i="8"/>
  <c r="VUC54" i="8"/>
  <c r="VUB54" i="8"/>
  <c r="VUA54" i="8"/>
  <c r="VTZ54" i="8"/>
  <c r="VTY54" i="8"/>
  <c r="VTX54" i="8"/>
  <c r="VTW54" i="8"/>
  <c r="VTV54" i="8"/>
  <c r="VTU54" i="8"/>
  <c r="VTT54" i="8"/>
  <c r="VTS54" i="8"/>
  <c r="VTR54" i="8"/>
  <c r="VTQ54" i="8"/>
  <c r="VTP54" i="8"/>
  <c r="VTO54" i="8"/>
  <c r="VTN54" i="8"/>
  <c r="VTM54" i="8"/>
  <c r="VTL54" i="8"/>
  <c r="VTK54" i="8"/>
  <c r="VTJ54" i="8"/>
  <c r="VTI54" i="8"/>
  <c r="VTH54" i="8"/>
  <c r="VTG54" i="8"/>
  <c r="VTF54" i="8"/>
  <c r="VTE54" i="8"/>
  <c r="VTD54" i="8"/>
  <c r="VTC54" i="8"/>
  <c r="VTB54" i="8"/>
  <c r="VTA54" i="8"/>
  <c r="VSZ54" i="8"/>
  <c r="VSY54" i="8"/>
  <c r="VSX54" i="8"/>
  <c r="VSW54" i="8"/>
  <c r="VSV54" i="8"/>
  <c r="VSU54" i="8"/>
  <c r="VST54" i="8"/>
  <c r="VSS54" i="8"/>
  <c r="VSR54" i="8"/>
  <c r="VSQ54" i="8"/>
  <c r="VSP54" i="8"/>
  <c r="VSO54" i="8"/>
  <c r="VSN54" i="8"/>
  <c r="VSM54" i="8"/>
  <c r="VSL54" i="8"/>
  <c r="VSK54" i="8"/>
  <c r="VSJ54" i="8"/>
  <c r="VSI54" i="8"/>
  <c r="VSH54" i="8"/>
  <c r="VSG54" i="8"/>
  <c r="VSF54" i="8"/>
  <c r="VSE54" i="8"/>
  <c r="VSD54" i="8"/>
  <c r="VSC54" i="8"/>
  <c r="VSB54" i="8"/>
  <c r="VSA54" i="8"/>
  <c r="VRZ54" i="8"/>
  <c r="VRY54" i="8"/>
  <c r="VRX54" i="8"/>
  <c r="VRW54" i="8"/>
  <c r="VRV54" i="8"/>
  <c r="VRU54" i="8"/>
  <c r="VRT54" i="8"/>
  <c r="VRS54" i="8"/>
  <c r="VRR54" i="8"/>
  <c r="VRQ54" i="8"/>
  <c r="VRP54" i="8"/>
  <c r="VRO54" i="8"/>
  <c r="VRN54" i="8"/>
  <c r="VRM54" i="8"/>
  <c r="VRL54" i="8"/>
  <c r="VRK54" i="8"/>
  <c r="VRJ54" i="8"/>
  <c r="VRI54" i="8"/>
  <c r="VRH54" i="8"/>
  <c r="VRG54" i="8"/>
  <c r="VRF54" i="8"/>
  <c r="VRE54" i="8"/>
  <c r="VRD54" i="8"/>
  <c r="VRC54" i="8"/>
  <c r="VRB54" i="8"/>
  <c r="VRA54" i="8"/>
  <c r="VQZ54" i="8"/>
  <c r="VQY54" i="8"/>
  <c r="VQX54" i="8"/>
  <c r="VQW54" i="8"/>
  <c r="VQV54" i="8"/>
  <c r="VQU54" i="8"/>
  <c r="VQT54" i="8"/>
  <c r="VQS54" i="8"/>
  <c r="VQR54" i="8"/>
  <c r="VQQ54" i="8"/>
  <c r="VQP54" i="8"/>
  <c r="VQO54" i="8"/>
  <c r="VQN54" i="8"/>
  <c r="VQM54" i="8"/>
  <c r="VQL54" i="8"/>
  <c r="VQK54" i="8"/>
  <c r="VQJ54" i="8"/>
  <c r="VQI54" i="8"/>
  <c r="VQH54" i="8"/>
  <c r="VQG54" i="8"/>
  <c r="VQF54" i="8"/>
  <c r="VQE54" i="8"/>
  <c r="VQD54" i="8"/>
  <c r="VQC54" i="8"/>
  <c r="VQB54" i="8"/>
  <c r="VQA54" i="8"/>
  <c r="VPZ54" i="8"/>
  <c r="VPY54" i="8"/>
  <c r="VPX54" i="8"/>
  <c r="VPW54" i="8"/>
  <c r="VPV54" i="8"/>
  <c r="VPU54" i="8"/>
  <c r="VPT54" i="8"/>
  <c r="VPS54" i="8"/>
  <c r="VPR54" i="8"/>
  <c r="VPQ54" i="8"/>
  <c r="VPP54" i="8"/>
  <c r="VPO54" i="8"/>
  <c r="VPN54" i="8"/>
  <c r="VPM54" i="8"/>
  <c r="VPL54" i="8"/>
  <c r="VPK54" i="8"/>
  <c r="VPJ54" i="8"/>
  <c r="VPI54" i="8"/>
  <c r="VPH54" i="8"/>
  <c r="VPG54" i="8"/>
  <c r="VPF54" i="8"/>
  <c r="VPE54" i="8"/>
  <c r="VPD54" i="8"/>
  <c r="VPC54" i="8"/>
  <c r="VPB54" i="8"/>
  <c r="VPA54" i="8"/>
  <c r="VOZ54" i="8"/>
  <c r="VOY54" i="8"/>
  <c r="VOX54" i="8"/>
  <c r="VOW54" i="8"/>
  <c r="VOV54" i="8"/>
  <c r="VOU54" i="8"/>
  <c r="VOT54" i="8"/>
  <c r="VOS54" i="8"/>
  <c r="VOR54" i="8"/>
  <c r="VOQ54" i="8"/>
  <c r="VOP54" i="8"/>
  <c r="VOO54" i="8"/>
  <c r="VON54" i="8"/>
  <c r="VOM54" i="8"/>
  <c r="VOL54" i="8"/>
  <c r="VOK54" i="8"/>
  <c r="VOJ54" i="8"/>
  <c r="VOI54" i="8"/>
  <c r="VOH54" i="8"/>
  <c r="VOG54" i="8"/>
  <c r="VOF54" i="8"/>
  <c r="VOE54" i="8"/>
  <c r="VOD54" i="8"/>
  <c r="VOC54" i="8"/>
  <c r="VOB54" i="8"/>
  <c r="VOA54" i="8"/>
  <c r="VNZ54" i="8"/>
  <c r="VNY54" i="8"/>
  <c r="VNX54" i="8"/>
  <c r="VNW54" i="8"/>
  <c r="VNV54" i="8"/>
  <c r="VNU54" i="8"/>
  <c r="VNT54" i="8"/>
  <c r="VNS54" i="8"/>
  <c r="VNR54" i="8"/>
  <c r="VNQ54" i="8"/>
  <c r="VNP54" i="8"/>
  <c r="VNO54" i="8"/>
  <c r="VNN54" i="8"/>
  <c r="VNM54" i="8"/>
  <c r="VNL54" i="8"/>
  <c r="VNK54" i="8"/>
  <c r="VNJ54" i="8"/>
  <c r="VNI54" i="8"/>
  <c r="VNH54" i="8"/>
  <c r="VNG54" i="8"/>
  <c r="VNF54" i="8"/>
  <c r="VNE54" i="8"/>
  <c r="VND54" i="8"/>
  <c r="VNC54" i="8"/>
  <c r="VNB54" i="8"/>
  <c r="VNA54" i="8"/>
  <c r="VMZ54" i="8"/>
  <c r="VMY54" i="8"/>
  <c r="VMX54" i="8"/>
  <c r="VMW54" i="8"/>
  <c r="VMV54" i="8"/>
  <c r="VMU54" i="8"/>
  <c r="VMT54" i="8"/>
  <c r="VMS54" i="8"/>
  <c r="VMR54" i="8"/>
  <c r="VMQ54" i="8"/>
  <c r="VMP54" i="8"/>
  <c r="VMO54" i="8"/>
  <c r="VMN54" i="8"/>
  <c r="VMM54" i="8"/>
  <c r="VML54" i="8"/>
  <c r="VMK54" i="8"/>
  <c r="VMJ54" i="8"/>
  <c r="VMI54" i="8"/>
  <c r="VMH54" i="8"/>
  <c r="VMG54" i="8"/>
  <c r="VMF54" i="8"/>
  <c r="VME54" i="8"/>
  <c r="VMD54" i="8"/>
  <c r="VMC54" i="8"/>
  <c r="VMB54" i="8"/>
  <c r="VMA54" i="8"/>
  <c r="VLZ54" i="8"/>
  <c r="VLY54" i="8"/>
  <c r="VLX54" i="8"/>
  <c r="VLW54" i="8"/>
  <c r="VLV54" i="8"/>
  <c r="VLU54" i="8"/>
  <c r="VLT54" i="8"/>
  <c r="VLS54" i="8"/>
  <c r="VLR54" i="8"/>
  <c r="VLQ54" i="8"/>
  <c r="VLP54" i="8"/>
  <c r="VLO54" i="8"/>
  <c r="VLN54" i="8"/>
  <c r="VLM54" i="8"/>
  <c r="VLL54" i="8"/>
  <c r="VLK54" i="8"/>
  <c r="VLJ54" i="8"/>
  <c r="VLI54" i="8"/>
  <c r="VLH54" i="8"/>
  <c r="VLG54" i="8"/>
  <c r="VLF54" i="8"/>
  <c r="VLE54" i="8"/>
  <c r="VLD54" i="8"/>
  <c r="VLC54" i="8"/>
  <c r="VLB54" i="8"/>
  <c r="VLA54" i="8"/>
  <c r="VKZ54" i="8"/>
  <c r="VKY54" i="8"/>
  <c r="VKX54" i="8"/>
  <c r="VKW54" i="8"/>
  <c r="VKV54" i="8"/>
  <c r="VKU54" i="8"/>
  <c r="VKT54" i="8"/>
  <c r="VKS54" i="8"/>
  <c r="VKR54" i="8"/>
  <c r="VKQ54" i="8"/>
  <c r="VKP54" i="8"/>
  <c r="VKO54" i="8"/>
  <c r="VKN54" i="8"/>
  <c r="VKM54" i="8"/>
  <c r="VKL54" i="8"/>
  <c r="VKK54" i="8"/>
  <c r="VKJ54" i="8"/>
  <c r="VKI54" i="8"/>
  <c r="VKH54" i="8"/>
  <c r="VKG54" i="8"/>
  <c r="VKF54" i="8"/>
  <c r="VKE54" i="8"/>
  <c r="VKD54" i="8"/>
  <c r="VKC54" i="8"/>
  <c r="VKB54" i="8"/>
  <c r="VKA54" i="8"/>
  <c r="VJZ54" i="8"/>
  <c r="VJY54" i="8"/>
  <c r="VJX54" i="8"/>
  <c r="VJW54" i="8"/>
  <c r="VJV54" i="8"/>
  <c r="VJU54" i="8"/>
  <c r="VJT54" i="8"/>
  <c r="VJS54" i="8"/>
  <c r="VJR54" i="8"/>
  <c r="VJQ54" i="8"/>
  <c r="VJP54" i="8"/>
  <c r="VJO54" i="8"/>
  <c r="VJN54" i="8"/>
  <c r="VJM54" i="8"/>
  <c r="VJL54" i="8"/>
  <c r="VJK54" i="8"/>
  <c r="VJJ54" i="8"/>
  <c r="VJI54" i="8"/>
  <c r="VJH54" i="8"/>
  <c r="VJG54" i="8"/>
  <c r="VJF54" i="8"/>
  <c r="VJE54" i="8"/>
  <c r="VJD54" i="8"/>
  <c r="VJC54" i="8"/>
  <c r="VJB54" i="8"/>
  <c r="VJA54" i="8"/>
  <c r="VIZ54" i="8"/>
  <c r="VIY54" i="8"/>
  <c r="VIX54" i="8"/>
  <c r="VIW54" i="8"/>
  <c r="VIV54" i="8"/>
  <c r="VIU54" i="8"/>
  <c r="VIT54" i="8"/>
  <c r="VIS54" i="8"/>
  <c r="VIR54" i="8"/>
  <c r="VIQ54" i="8"/>
  <c r="VIP54" i="8"/>
  <c r="VIO54" i="8"/>
  <c r="VIN54" i="8"/>
  <c r="VIM54" i="8"/>
  <c r="VIL54" i="8"/>
  <c r="VIK54" i="8"/>
  <c r="VIJ54" i="8"/>
  <c r="VII54" i="8"/>
  <c r="VIH54" i="8"/>
  <c r="VIG54" i="8"/>
  <c r="VIF54" i="8"/>
  <c r="VIE54" i="8"/>
  <c r="VID54" i="8"/>
  <c r="VIC54" i="8"/>
  <c r="VIB54" i="8"/>
  <c r="VIA54" i="8"/>
  <c r="VHZ54" i="8"/>
  <c r="VHY54" i="8"/>
  <c r="VHX54" i="8"/>
  <c r="VHW54" i="8"/>
  <c r="VHV54" i="8"/>
  <c r="VHU54" i="8"/>
  <c r="VHT54" i="8"/>
  <c r="VHS54" i="8"/>
  <c r="VHR54" i="8"/>
  <c r="VHQ54" i="8"/>
  <c r="VHP54" i="8"/>
  <c r="VHO54" i="8"/>
  <c r="VHN54" i="8"/>
  <c r="VHM54" i="8"/>
  <c r="VHL54" i="8"/>
  <c r="VHK54" i="8"/>
  <c r="VHJ54" i="8"/>
  <c r="VHI54" i="8"/>
  <c r="VHH54" i="8"/>
  <c r="VHG54" i="8"/>
  <c r="VHF54" i="8"/>
  <c r="VHE54" i="8"/>
  <c r="VHD54" i="8"/>
  <c r="VHC54" i="8"/>
  <c r="VHB54" i="8"/>
  <c r="VHA54" i="8"/>
  <c r="VGZ54" i="8"/>
  <c r="VGY54" i="8"/>
  <c r="VGX54" i="8"/>
  <c r="VGW54" i="8"/>
  <c r="VGV54" i="8"/>
  <c r="VGU54" i="8"/>
  <c r="VGT54" i="8"/>
  <c r="VGS54" i="8"/>
  <c r="VGR54" i="8"/>
  <c r="VGQ54" i="8"/>
  <c r="VGP54" i="8"/>
  <c r="VGO54" i="8"/>
  <c r="VGN54" i="8"/>
  <c r="VGM54" i="8"/>
  <c r="VGL54" i="8"/>
  <c r="VGK54" i="8"/>
  <c r="VGJ54" i="8"/>
  <c r="VGI54" i="8"/>
  <c r="VGH54" i="8"/>
  <c r="VGG54" i="8"/>
  <c r="VGF54" i="8"/>
  <c r="VGE54" i="8"/>
  <c r="VGD54" i="8"/>
  <c r="VGC54" i="8"/>
  <c r="VGB54" i="8"/>
  <c r="VGA54" i="8"/>
  <c r="VFZ54" i="8"/>
  <c r="VFY54" i="8"/>
  <c r="VFX54" i="8"/>
  <c r="VFW54" i="8"/>
  <c r="VFV54" i="8"/>
  <c r="VFU54" i="8"/>
  <c r="VFT54" i="8"/>
  <c r="VFS54" i="8"/>
  <c r="VFR54" i="8"/>
  <c r="VFQ54" i="8"/>
  <c r="VFP54" i="8"/>
  <c r="VFO54" i="8"/>
  <c r="VFN54" i="8"/>
  <c r="VFM54" i="8"/>
  <c r="VFL54" i="8"/>
  <c r="VFK54" i="8"/>
  <c r="VFJ54" i="8"/>
  <c r="VFI54" i="8"/>
  <c r="VFH54" i="8"/>
  <c r="VFG54" i="8"/>
  <c r="VFF54" i="8"/>
  <c r="VFE54" i="8"/>
  <c r="VFD54" i="8"/>
  <c r="VFC54" i="8"/>
  <c r="VFB54" i="8"/>
  <c r="VFA54" i="8"/>
  <c r="VEZ54" i="8"/>
  <c r="VEY54" i="8"/>
  <c r="VEX54" i="8"/>
  <c r="VEW54" i="8"/>
  <c r="VEV54" i="8"/>
  <c r="VEU54" i="8"/>
  <c r="VET54" i="8"/>
  <c r="VES54" i="8"/>
  <c r="VER54" i="8"/>
  <c r="VEQ54" i="8"/>
  <c r="VEP54" i="8"/>
  <c r="VEO54" i="8"/>
  <c r="VEN54" i="8"/>
  <c r="VEM54" i="8"/>
  <c r="VEL54" i="8"/>
  <c r="VEK54" i="8"/>
  <c r="VEJ54" i="8"/>
  <c r="VEI54" i="8"/>
  <c r="VEH54" i="8"/>
  <c r="VEG54" i="8"/>
  <c r="VEF54" i="8"/>
  <c r="VEE54" i="8"/>
  <c r="VED54" i="8"/>
  <c r="VEC54" i="8"/>
  <c r="VEB54" i="8"/>
  <c r="VEA54" i="8"/>
  <c r="VDZ54" i="8"/>
  <c r="VDY54" i="8"/>
  <c r="VDX54" i="8"/>
  <c r="VDW54" i="8"/>
  <c r="VDV54" i="8"/>
  <c r="VDU54" i="8"/>
  <c r="VDT54" i="8"/>
  <c r="VDS54" i="8"/>
  <c r="VDR54" i="8"/>
  <c r="VDQ54" i="8"/>
  <c r="VDP54" i="8"/>
  <c r="VDO54" i="8"/>
  <c r="VDN54" i="8"/>
  <c r="VDM54" i="8"/>
  <c r="VDL54" i="8"/>
  <c r="VDK54" i="8"/>
  <c r="VDJ54" i="8"/>
  <c r="VDI54" i="8"/>
  <c r="VDH54" i="8"/>
  <c r="VDG54" i="8"/>
  <c r="VDF54" i="8"/>
  <c r="VDE54" i="8"/>
  <c r="VDD54" i="8"/>
  <c r="VDC54" i="8"/>
  <c r="VDB54" i="8"/>
  <c r="VDA54" i="8"/>
  <c r="VCZ54" i="8"/>
  <c r="VCY54" i="8"/>
  <c r="VCX54" i="8"/>
  <c r="VCW54" i="8"/>
  <c r="VCV54" i="8"/>
  <c r="VCU54" i="8"/>
  <c r="VCT54" i="8"/>
  <c r="VCS54" i="8"/>
  <c r="VCR54" i="8"/>
  <c r="VCQ54" i="8"/>
  <c r="VCP54" i="8"/>
  <c r="VCO54" i="8"/>
  <c r="VCN54" i="8"/>
  <c r="VCM54" i="8"/>
  <c r="VCL54" i="8"/>
  <c r="VCK54" i="8"/>
  <c r="VCJ54" i="8"/>
  <c r="VCI54" i="8"/>
  <c r="VCH54" i="8"/>
  <c r="VCG54" i="8"/>
  <c r="VCF54" i="8"/>
  <c r="VCE54" i="8"/>
  <c r="VCD54" i="8"/>
  <c r="VCC54" i="8"/>
  <c r="VCB54" i="8"/>
  <c r="VCA54" i="8"/>
  <c r="VBZ54" i="8"/>
  <c r="VBY54" i="8"/>
  <c r="VBX54" i="8"/>
  <c r="VBW54" i="8"/>
  <c r="VBV54" i="8"/>
  <c r="VBU54" i="8"/>
  <c r="VBT54" i="8"/>
  <c r="VBS54" i="8"/>
  <c r="VBR54" i="8"/>
  <c r="VBQ54" i="8"/>
  <c r="VBP54" i="8"/>
  <c r="VBO54" i="8"/>
  <c r="VBN54" i="8"/>
  <c r="VBM54" i="8"/>
  <c r="VBL54" i="8"/>
  <c r="VBK54" i="8"/>
  <c r="VBJ54" i="8"/>
  <c r="VBI54" i="8"/>
  <c r="VBH54" i="8"/>
  <c r="VBG54" i="8"/>
  <c r="VBF54" i="8"/>
  <c r="VBE54" i="8"/>
  <c r="VBD54" i="8"/>
  <c r="VBC54" i="8"/>
  <c r="VBB54" i="8"/>
  <c r="VBA54" i="8"/>
  <c r="VAZ54" i="8"/>
  <c r="VAY54" i="8"/>
  <c r="VAX54" i="8"/>
  <c r="VAW54" i="8"/>
  <c r="VAV54" i="8"/>
  <c r="VAU54" i="8"/>
  <c r="VAT54" i="8"/>
  <c r="VAS54" i="8"/>
  <c r="VAR54" i="8"/>
  <c r="VAQ54" i="8"/>
  <c r="VAP54" i="8"/>
  <c r="VAO54" i="8"/>
  <c r="VAN54" i="8"/>
  <c r="VAM54" i="8"/>
  <c r="VAL54" i="8"/>
  <c r="VAK54" i="8"/>
  <c r="VAJ54" i="8"/>
  <c r="VAI54" i="8"/>
  <c r="VAH54" i="8"/>
  <c r="VAG54" i="8"/>
  <c r="VAF54" i="8"/>
  <c r="VAE54" i="8"/>
  <c r="VAD54" i="8"/>
  <c r="VAC54" i="8"/>
  <c r="VAB54" i="8"/>
  <c r="VAA54" i="8"/>
  <c r="UZZ54" i="8"/>
  <c r="UZY54" i="8"/>
  <c r="UZX54" i="8"/>
  <c r="UZW54" i="8"/>
  <c r="UZV54" i="8"/>
  <c r="UZU54" i="8"/>
  <c r="UZT54" i="8"/>
  <c r="UZS54" i="8"/>
  <c r="UZR54" i="8"/>
  <c r="UZQ54" i="8"/>
  <c r="UZP54" i="8"/>
  <c r="UZO54" i="8"/>
  <c r="UZN54" i="8"/>
  <c r="UZM54" i="8"/>
  <c r="UZL54" i="8"/>
  <c r="UZK54" i="8"/>
  <c r="UZJ54" i="8"/>
  <c r="UZI54" i="8"/>
  <c r="UZH54" i="8"/>
  <c r="UZG54" i="8"/>
  <c r="UZF54" i="8"/>
  <c r="UZE54" i="8"/>
  <c r="UZD54" i="8"/>
  <c r="UZC54" i="8"/>
  <c r="UZB54" i="8"/>
  <c r="UZA54" i="8"/>
  <c r="UYZ54" i="8"/>
  <c r="UYY54" i="8"/>
  <c r="UYX54" i="8"/>
  <c r="UYW54" i="8"/>
  <c r="UYV54" i="8"/>
  <c r="UYU54" i="8"/>
  <c r="UYT54" i="8"/>
  <c r="UYS54" i="8"/>
  <c r="UYR54" i="8"/>
  <c r="UYQ54" i="8"/>
  <c r="UYP54" i="8"/>
  <c r="UYO54" i="8"/>
  <c r="UYN54" i="8"/>
  <c r="UYM54" i="8"/>
  <c r="UYL54" i="8"/>
  <c r="UYK54" i="8"/>
  <c r="UYJ54" i="8"/>
  <c r="UYI54" i="8"/>
  <c r="UYH54" i="8"/>
  <c r="UYG54" i="8"/>
  <c r="UYF54" i="8"/>
  <c r="UYE54" i="8"/>
  <c r="UYD54" i="8"/>
  <c r="UYC54" i="8"/>
  <c r="UYB54" i="8"/>
  <c r="UYA54" i="8"/>
  <c r="UXZ54" i="8"/>
  <c r="UXY54" i="8"/>
  <c r="UXX54" i="8"/>
  <c r="UXW54" i="8"/>
  <c r="UXV54" i="8"/>
  <c r="UXU54" i="8"/>
  <c r="UXT54" i="8"/>
  <c r="UXS54" i="8"/>
  <c r="UXR54" i="8"/>
  <c r="UXQ54" i="8"/>
  <c r="UXP54" i="8"/>
  <c r="UXO54" i="8"/>
  <c r="UXN54" i="8"/>
  <c r="UXM54" i="8"/>
  <c r="UXL54" i="8"/>
  <c r="UXK54" i="8"/>
  <c r="UXJ54" i="8"/>
  <c r="UXI54" i="8"/>
  <c r="UXH54" i="8"/>
  <c r="UXG54" i="8"/>
  <c r="UXF54" i="8"/>
  <c r="UXE54" i="8"/>
  <c r="UXD54" i="8"/>
  <c r="UXC54" i="8"/>
  <c r="UXB54" i="8"/>
  <c r="UXA54" i="8"/>
  <c r="UWZ54" i="8"/>
  <c r="UWY54" i="8"/>
  <c r="UWX54" i="8"/>
  <c r="UWW54" i="8"/>
  <c r="UWV54" i="8"/>
  <c r="UWU54" i="8"/>
  <c r="UWT54" i="8"/>
  <c r="UWS54" i="8"/>
  <c r="UWR54" i="8"/>
  <c r="UWQ54" i="8"/>
  <c r="UWP54" i="8"/>
  <c r="UWO54" i="8"/>
  <c r="UWN54" i="8"/>
  <c r="UWM54" i="8"/>
  <c r="UWL54" i="8"/>
  <c r="UWK54" i="8"/>
  <c r="UWJ54" i="8"/>
  <c r="UWI54" i="8"/>
  <c r="UWH54" i="8"/>
  <c r="UWG54" i="8"/>
  <c r="UWF54" i="8"/>
  <c r="UWE54" i="8"/>
  <c r="UWD54" i="8"/>
  <c r="UWC54" i="8"/>
  <c r="UWB54" i="8"/>
  <c r="UWA54" i="8"/>
  <c r="UVZ54" i="8"/>
  <c r="UVY54" i="8"/>
  <c r="UVX54" i="8"/>
  <c r="UVW54" i="8"/>
  <c r="UVV54" i="8"/>
  <c r="UVU54" i="8"/>
  <c r="UVT54" i="8"/>
  <c r="UVS54" i="8"/>
  <c r="UVR54" i="8"/>
  <c r="UVQ54" i="8"/>
  <c r="UVP54" i="8"/>
  <c r="UVO54" i="8"/>
  <c r="UVN54" i="8"/>
  <c r="UVM54" i="8"/>
  <c r="UVL54" i="8"/>
  <c r="UVK54" i="8"/>
  <c r="UVJ54" i="8"/>
  <c r="UVI54" i="8"/>
  <c r="UVH54" i="8"/>
  <c r="UVG54" i="8"/>
  <c r="UVF54" i="8"/>
  <c r="UVE54" i="8"/>
  <c r="UVD54" i="8"/>
  <c r="UVC54" i="8"/>
  <c r="UVB54" i="8"/>
  <c r="UVA54" i="8"/>
  <c r="UUZ54" i="8"/>
  <c r="UUY54" i="8"/>
  <c r="UUX54" i="8"/>
  <c r="UUW54" i="8"/>
  <c r="UUV54" i="8"/>
  <c r="UUU54" i="8"/>
  <c r="UUT54" i="8"/>
  <c r="UUS54" i="8"/>
  <c r="UUR54" i="8"/>
  <c r="UUQ54" i="8"/>
  <c r="UUP54" i="8"/>
  <c r="UUO54" i="8"/>
  <c r="UUN54" i="8"/>
  <c r="UUM54" i="8"/>
  <c r="UUL54" i="8"/>
  <c r="UUK54" i="8"/>
  <c r="UUJ54" i="8"/>
  <c r="UUI54" i="8"/>
  <c r="UUH54" i="8"/>
  <c r="UUG54" i="8"/>
  <c r="UUF54" i="8"/>
  <c r="UUE54" i="8"/>
  <c r="UUD54" i="8"/>
  <c r="UUC54" i="8"/>
  <c r="UUB54" i="8"/>
  <c r="UUA54" i="8"/>
  <c r="UTZ54" i="8"/>
  <c r="UTY54" i="8"/>
  <c r="UTX54" i="8"/>
  <c r="UTW54" i="8"/>
  <c r="UTV54" i="8"/>
  <c r="UTU54" i="8"/>
  <c r="UTT54" i="8"/>
  <c r="UTS54" i="8"/>
  <c r="UTR54" i="8"/>
  <c r="UTQ54" i="8"/>
  <c r="UTP54" i="8"/>
  <c r="UTO54" i="8"/>
  <c r="UTN54" i="8"/>
  <c r="UTM54" i="8"/>
  <c r="UTL54" i="8"/>
  <c r="UTK54" i="8"/>
  <c r="UTJ54" i="8"/>
  <c r="UTI54" i="8"/>
  <c r="UTH54" i="8"/>
  <c r="UTG54" i="8"/>
  <c r="UTF54" i="8"/>
  <c r="UTE54" i="8"/>
  <c r="UTD54" i="8"/>
  <c r="UTC54" i="8"/>
  <c r="UTB54" i="8"/>
  <c r="UTA54" i="8"/>
  <c r="USZ54" i="8"/>
  <c r="USY54" i="8"/>
  <c r="USX54" i="8"/>
  <c r="USW54" i="8"/>
  <c r="USV54" i="8"/>
  <c r="USU54" i="8"/>
  <c r="UST54" i="8"/>
  <c r="USS54" i="8"/>
  <c r="USR54" i="8"/>
  <c r="USQ54" i="8"/>
  <c r="USP54" i="8"/>
  <c r="USO54" i="8"/>
  <c r="USN54" i="8"/>
  <c r="USM54" i="8"/>
  <c r="USL54" i="8"/>
  <c r="USK54" i="8"/>
  <c r="USJ54" i="8"/>
  <c r="USI54" i="8"/>
  <c r="USH54" i="8"/>
  <c r="USG54" i="8"/>
  <c r="USF54" i="8"/>
  <c r="USE54" i="8"/>
  <c r="USD54" i="8"/>
  <c r="USC54" i="8"/>
  <c r="USB54" i="8"/>
  <c r="USA54" i="8"/>
  <c r="URZ54" i="8"/>
  <c r="URY54" i="8"/>
  <c r="URX54" i="8"/>
  <c r="URW54" i="8"/>
  <c r="URV54" i="8"/>
  <c r="URU54" i="8"/>
  <c r="URT54" i="8"/>
  <c r="URS54" i="8"/>
  <c r="URR54" i="8"/>
  <c r="URQ54" i="8"/>
  <c r="URP54" i="8"/>
  <c r="URO54" i="8"/>
  <c r="URN54" i="8"/>
  <c r="URM54" i="8"/>
  <c r="URL54" i="8"/>
  <c r="URK54" i="8"/>
  <c r="URJ54" i="8"/>
  <c r="URI54" i="8"/>
  <c r="URH54" i="8"/>
  <c r="URG54" i="8"/>
  <c r="URF54" i="8"/>
  <c r="URE54" i="8"/>
  <c r="URD54" i="8"/>
  <c r="URC54" i="8"/>
  <c r="URB54" i="8"/>
  <c r="URA54" i="8"/>
  <c r="UQZ54" i="8"/>
  <c r="UQY54" i="8"/>
  <c r="UQX54" i="8"/>
  <c r="UQW54" i="8"/>
  <c r="UQV54" i="8"/>
  <c r="UQU54" i="8"/>
  <c r="UQT54" i="8"/>
  <c r="UQS54" i="8"/>
  <c r="UQR54" i="8"/>
  <c r="UQQ54" i="8"/>
  <c r="UQP54" i="8"/>
  <c r="UQO54" i="8"/>
  <c r="UQN54" i="8"/>
  <c r="UQM54" i="8"/>
  <c r="UQL54" i="8"/>
  <c r="UQK54" i="8"/>
  <c r="UQJ54" i="8"/>
  <c r="UQI54" i="8"/>
  <c r="UQH54" i="8"/>
  <c r="UQG54" i="8"/>
  <c r="UQF54" i="8"/>
  <c r="UQE54" i="8"/>
  <c r="UQD54" i="8"/>
  <c r="UQC54" i="8"/>
  <c r="UQB54" i="8"/>
  <c r="UQA54" i="8"/>
  <c r="UPZ54" i="8"/>
  <c r="UPY54" i="8"/>
  <c r="UPX54" i="8"/>
  <c r="UPW54" i="8"/>
  <c r="UPV54" i="8"/>
  <c r="UPU54" i="8"/>
  <c r="UPT54" i="8"/>
  <c r="UPS54" i="8"/>
  <c r="UPR54" i="8"/>
  <c r="UPQ54" i="8"/>
  <c r="UPP54" i="8"/>
  <c r="UPO54" i="8"/>
  <c r="UPN54" i="8"/>
  <c r="UPM54" i="8"/>
  <c r="UPL54" i="8"/>
  <c r="UPK54" i="8"/>
  <c r="UPJ54" i="8"/>
  <c r="UPI54" i="8"/>
  <c r="UPH54" i="8"/>
  <c r="UPG54" i="8"/>
  <c r="UPF54" i="8"/>
  <c r="UPE54" i="8"/>
  <c r="UPD54" i="8"/>
  <c r="UPC54" i="8"/>
  <c r="UPB54" i="8"/>
  <c r="UPA54" i="8"/>
  <c r="UOZ54" i="8"/>
  <c r="UOY54" i="8"/>
  <c r="UOX54" i="8"/>
  <c r="UOW54" i="8"/>
  <c r="UOV54" i="8"/>
  <c r="UOU54" i="8"/>
  <c r="UOT54" i="8"/>
  <c r="UOS54" i="8"/>
  <c r="UOR54" i="8"/>
  <c r="UOQ54" i="8"/>
  <c r="UOP54" i="8"/>
  <c r="UOO54" i="8"/>
  <c r="UON54" i="8"/>
  <c r="UOM54" i="8"/>
  <c r="UOL54" i="8"/>
  <c r="UOK54" i="8"/>
  <c r="UOJ54" i="8"/>
  <c r="UOI54" i="8"/>
  <c r="UOH54" i="8"/>
  <c r="UOG54" i="8"/>
  <c r="UOF54" i="8"/>
  <c r="UOE54" i="8"/>
  <c r="UOD54" i="8"/>
  <c r="UOC54" i="8"/>
  <c r="UOB54" i="8"/>
  <c r="UOA54" i="8"/>
  <c r="UNZ54" i="8"/>
  <c r="UNY54" i="8"/>
  <c r="UNX54" i="8"/>
  <c r="UNW54" i="8"/>
  <c r="UNV54" i="8"/>
  <c r="UNU54" i="8"/>
  <c r="UNT54" i="8"/>
  <c r="UNS54" i="8"/>
  <c r="UNR54" i="8"/>
  <c r="UNQ54" i="8"/>
  <c r="UNP54" i="8"/>
  <c r="UNO54" i="8"/>
  <c r="UNN54" i="8"/>
  <c r="UNM54" i="8"/>
  <c r="UNL54" i="8"/>
  <c r="UNK54" i="8"/>
  <c r="UNJ54" i="8"/>
  <c r="UNI54" i="8"/>
  <c r="UNH54" i="8"/>
  <c r="UNG54" i="8"/>
  <c r="UNF54" i="8"/>
  <c r="UNE54" i="8"/>
  <c r="UND54" i="8"/>
  <c r="UNC54" i="8"/>
  <c r="UNB54" i="8"/>
  <c r="UNA54" i="8"/>
  <c r="UMZ54" i="8"/>
  <c r="UMY54" i="8"/>
  <c r="UMX54" i="8"/>
  <c r="UMW54" i="8"/>
  <c r="UMV54" i="8"/>
  <c r="UMU54" i="8"/>
  <c r="UMT54" i="8"/>
  <c r="UMS54" i="8"/>
  <c r="UMR54" i="8"/>
  <c r="UMQ54" i="8"/>
  <c r="UMP54" i="8"/>
  <c r="UMO54" i="8"/>
  <c r="UMN54" i="8"/>
  <c r="UMM54" i="8"/>
  <c r="UML54" i="8"/>
  <c r="UMK54" i="8"/>
  <c r="UMJ54" i="8"/>
  <c r="UMI54" i="8"/>
  <c r="UMH54" i="8"/>
  <c r="UMG54" i="8"/>
  <c r="UMF54" i="8"/>
  <c r="UME54" i="8"/>
  <c r="UMD54" i="8"/>
  <c r="UMC54" i="8"/>
  <c r="UMB54" i="8"/>
  <c r="UMA54" i="8"/>
  <c r="ULZ54" i="8"/>
  <c r="ULY54" i="8"/>
  <c r="ULX54" i="8"/>
  <c r="ULW54" i="8"/>
  <c r="ULV54" i="8"/>
  <c r="ULU54" i="8"/>
  <c r="ULT54" i="8"/>
  <c r="ULS54" i="8"/>
  <c r="ULR54" i="8"/>
  <c r="ULQ54" i="8"/>
  <c r="ULP54" i="8"/>
  <c r="ULO54" i="8"/>
  <c r="ULN54" i="8"/>
  <c r="ULM54" i="8"/>
  <c r="ULL54" i="8"/>
  <c r="ULK54" i="8"/>
  <c r="ULJ54" i="8"/>
  <c r="ULI54" i="8"/>
  <c r="ULH54" i="8"/>
  <c r="ULG54" i="8"/>
  <c r="ULF54" i="8"/>
  <c r="ULE54" i="8"/>
  <c r="ULD54" i="8"/>
  <c r="ULC54" i="8"/>
  <c r="ULB54" i="8"/>
  <c r="ULA54" i="8"/>
  <c r="UKZ54" i="8"/>
  <c r="UKY54" i="8"/>
  <c r="UKX54" i="8"/>
  <c r="UKW54" i="8"/>
  <c r="UKV54" i="8"/>
  <c r="UKU54" i="8"/>
  <c r="UKT54" i="8"/>
  <c r="UKS54" i="8"/>
  <c r="UKR54" i="8"/>
  <c r="UKQ54" i="8"/>
  <c r="UKP54" i="8"/>
  <c r="UKO54" i="8"/>
  <c r="UKN54" i="8"/>
  <c r="UKM54" i="8"/>
  <c r="UKL54" i="8"/>
  <c r="UKK54" i="8"/>
  <c r="UKJ54" i="8"/>
  <c r="UKI54" i="8"/>
  <c r="UKH54" i="8"/>
  <c r="UKG54" i="8"/>
  <c r="UKF54" i="8"/>
  <c r="UKE54" i="8"/>
  <c r="UKD54" i="8"/>
  <c r="UKC54" i="8"/>
  <c r="UKB54" i="8"/>
  <c r="UKA54" i="8"/>
  <c r="UJZ54" i="8"/>
  <c r="UJY54" i="8"/>
  <c r="UJX54" i="8"/>
  <c r="UJW54" i="8"/>
  <c r="UJV54" i="8"/>
  <c r="UJU54" i="8"/>
  <c r="UJT54" i="8"/>
  <c r="UJS54" i="8"/>
  <c r="UJR54" i="8"/>
  <c r="UJQ54" i="8"/>
  <c r="UJP54" i="8"/>
  <c r="UJO54" i="8"/>
  <c r="UJN54" i="8"/>
  <c r="UJM54" i="8"/>
  <c r="UJL54" i="8"/>
  <c r="UJK54" i="8"/>
  <c r="UJJ54" i="8"/>
  <c r="UJI54" i="8"/>
  <c r="UJH54" i="8"/>
  <c r="UJG54" i="8"/>
  <c r="UJF54" i="8"/>
  <c r="UJE54" i="8"/>
  <c r="UJD54" i="8"/>
  <c r="UJC54" i="8"/>
  <c r="UJB54" i="8"/>
  <c r="UJA54" i="8"/>
  <c r="UIZ54" i="8"/>
  <c r="UIY54" i="8"/>
  <c r="UIX54" i="8"/>
  <c r="UIW54" i="8"/>
  <c r="UIV54" i="8"/>
  <c r="UIU54" i="8"/>
  <c r="UIT54" i="8"/>
  <c r="UIS54" i="8"/>
  <c r="UIR54" i="8"/>
  <c r="UIQ54" i="8"/>
  <c r="UIP54" i="8"/>
  <c r="UIO54" i="8"/>
  <c r="UIN54" i="8"/>
  <c r="UIM54" i="8"/>
  <c r="UIL54" i="8"/>
  <c r="UIK54" i="8"/>
  <c r="UIJ54" i="8"/>
  <c r="UII54" i="8"/>
  <c r="UIH54" i="8"/>
  <c r="UIG54" i="8"/>
  <c r="UIF54" i="8"/>
  <c r="UIE54" i="8"/>
  <c r="UID54" i="8"/>
  <c r="UIC54" i="8"/>
  <c r="UIB54" i="8"/>
  <c r="UIA54" i="8"/>
  <c r="UHZ54" i="8"/>
  <c r="UHY54" i="8"/>
  <c r="UHX54" i="8"/>
  <c r="UHW54" i="8"/>
  <c r="UHV54" i="8"/>
  <c r="UHU54" i="8"/>
  <c r="UHT54" i="8"/>
  <c r="UHS54" i="8"/>
  <c r="UHR54" i="8"/>
  <c r="UHQ54" i="8"/>
  <c r="UHP54" i="8"/>
  <c r="UHO54" i="8"/>
  <c r="UHN54" i="8"/>
  <c r="UHM54" i="8"/>
  <c r="UHL54" i="8"/>
  <c r="UHK54" i="8"/>
  <c r="UHJ54" i="8"/>
  <c r="UHI54" i="8"/>
  <c r="UHH54" i="8"/>
  <c r="UHG54" i="8"/>
  <c r="UHF54" i="8"/>
  <c r="UHE54" i="8"/>
  <c r="UHD54" i="8"/>
  <c r="UHC54" i="8"/>
  <c r="UHB54" i="8"/>
  <c r="UHA54" i="8"/>
  <c r="UGZ54" i="8"/>
  <c r="UGY54" i="8"/>
  <c r="UGX54" i="8"/>
  <c r="UGW54" i="8"/>
  <c r="UGV54" i="8"/>
  <c r="UGU54" i="8"/>
  <c r="UGT54" i="8"/>
  <c r="UGS54" i="8"/>
  <c r="UGR54" i="8"/>
  <c r="UGQ54" i="8"/>
  <c r="UGP54" i="8"/>
  <c r="UGO54" i="8"/>
  <c r="UGN54" i="8"/>
  <c r="UGM54" i="8"/>
  <c r="UGL54" i="8"/>
  <c r="UGK54" i="8"/>
  <c r="UGJ54" i="8"/>
  <c r="UGI54" i="8"/>
  <c r="UGH54" i="8"/>
  <c r="UGG54" i="8"/>
  <c r="UGF54" i="8"/>
  <c r="UGE54" i="8"/>
  <c r="UGD54" i="8"/>
  <c r="UGC54" i="8"/>
  <c r="UGB54" i="8"/>
  <c r="UGA54" i="8"/>
  <c r="UFZ54" i="8"/>
  <c r="UFY54" i="8"/>
  <c r="UFX54" i="8"/>
  <c r="UFW54" i="8"/>
  <c r="UFV54" i="8"/>
  <c r="UFU54" i="8"/>
  <c r="UFT54" i="8"/>
  <c r="UFS54" i="8"/>
  <c r="UFR54" i="8"/>
  <c r="UFQ54" i="8"/>
  <c r="UFP54" i="8"/>
  <c r="UFO54" i="8"/>
  <c r="UFN54" i="8"/>
  <c r="UFM54" i="8"/>
  <c r="UFL54" i="8"/>
  <c r="UFK54" i="8"/>
  <c r="UFJ54" i="8"/>
  <c r="UFI54" i="8"/>
  <c r="UFH54" i="8"/>
  <c r="UFG54" i="8"/>
  <c r="UFF54" i="8"/>
  <c r="UFE54" i="8"/>
  <c r="UFD54" i="8"/>
  <c r="UFC54" i="8"/>
  <c r="UFB54" i="8"/>
  <c r="UFA54" i="8"/>
  <c r="UEZ54" i="8"/>
  <c r="UEY54" i="8"/>
  <c r="UEX54" i="8"/>
  <c r="UEW54" i="8"/>
  <c r="UEV54" i="8"/>
  <c r="UEU54" i="8"/>
  <c r="UET54" i="8"/>
  <c r="UES54" i="8"/>
  <c r="UER54" i="8"/>
  <c r="UEQ54" i="8"/>
  <c r="UEP54" i="8"/>
  <c r="UEO54" i="8"/>
  <c r="UEN54" i="8"/>
  <c r="UEM54" i="8"/>
  <c r="UEL54" i="8"/>
  <c r="UEK54" i="8"/>
  <c r="UEJ54" i="8"/>
  <c r="UEI54" i="8"/>
  <c r="UEH54" i="8"/>
  <c r="UEG54" i="8"/>
  <c r="UEF54" i="8"/>
  <c r="UEE54" i="8"/>
  <c r="UED54" i="8"/>
  <c r="UEC54" i="8"/>
  <c r="UEB54" i="8"/>
  <c r="UEA54" i="8"/>
  <c r="UDZ54" i="8"/>
  <c r="UDY54" i="8"/>
  <c r="UDX54" i="8"/>
  <c r="UDW54" i="8"/>
  <c r="UDV54" i="8"/>
  <c r="UDU54" i="8"/>
  <c r="UDT54" i="8"/>
  <c r="UDS54" i="8"/>
  <c r="UDR54" i="8"/>
  <c r="UDQ54" i="8"/>
  <c r="UDP54" i="8"/>
  <c r="UDO54" i="8"/>
  <c r="UDN54" i="8"/>
  <c r="UDM54" i="8"/>
  <c r="UDL54" i="8"/>
  <c r="UDK54" i="8"/>
  <c r="UDJ54" i="8"/>
  <c r="UDI54" i="8"/>
  <c r="UDH54" i="8"/>
  <c r="UDG54" i="8"/>
  <c r="UDF54" i="8"/>
  <c r="UDE54" i="8"/>
  <c r="UDD54" i="8"/>
  <c r="UDC54" i="8"/>
  <c r="UDB54" i="8"/>
  <c r="UDA54" i="8"/>
  <c r="UCZ54" i="8"/>
  <c r="UCY54" i="8"/>
  <c r="UCX54" i="8"/>
  <c r="UCW54" i="8"/>
  <c r="UCV54" i="8"/>
  <c r="UCU54" i="8"/>
  <c r="UCT54" i="8"/>
  <c r="UCS54" i="8"/>
  <c r="UCR54" i="8"/>
  <c r="UCQ54" i="8"/>
  <c r="UCP54" i="8"/>
  <c r="UCO54" i="8"/>
  <c r="UCN54" i="8"/>
  <c r="UCM54" i="8"/>
  <c r="UCL54" i="8"/>
  <c r="UCK54" i="8"/>
  <c r="UCJ54" i="8"/>
  <c r="UCI54" i="8"/>
  <c r="UCH54" i="8"/>
  <c r="UCG54" i="8"/>
  <c r="UCF54" i="8"/>
  <c r="UCE54" i="8"/>
  <c r="UCD54" i="8"/>
  <c r="UCC54" i="8"/>
  <c r="UCB54" i="8"/>
  <c r="UCA54" i="8"/>
  <c r="UBZ54" i="8"/>
  <c r="UBY54" i="8"/>
  <c r="UBX54" i="8"/>
  <c r="UBW54" i="8"/>
  <c r="UBV54" i="8"/>
  <c r="UBU54" i="8"/>
  <c r="UBT54" i="8"/>
  <c r="UBS54" i="8"/>
  <c r="UBR54" i="8"/>
  <c r="UBQ54" i="8"/>
  <c r="UBP54" i="8"/>
  <c r="UBO54" i="8"/>
  <c r="UBN54" i="8"/>
  <c r="UBM54" i="8"/>
  <c r="UBL54" i="8"/>
  <c r="UBK54" i="8"/>
  <c r="UBJ54" i="8"/>
  <c r="UBI54" i="8"/>
  <c r="UBH54" i="8"/>
  <c r="UBG54" i="8"/>
  <c r="UBF54" i="8"/>
  <c r="UBE54" i="8"/>
  <c r="UBD54" i="8"/>
  <c r="UBC54" i="8"/>
  <c r="UBB54" i="8"/>
  <c r="UBA54" i="8"/>
  <c r="UAZ54" i="8"/>
  <c r="UAY54" i="8"/>
  <c r="UAX54" i="8"/>
  <c r="UAW54" i="8"/>
  <c r="UAV54" i="8"/>
  <c r="UAU54" i="8"/>
  <c r="UAT54" i="8"/>
  <c r="UAS54" i="8"/>
  <c r="UAR54" i="8"/>
  <c r="UAQ54" i="8"/>
  <c r="UAP54" i="8"/>
  <c r="UAO54" i="8"/>
  <c r="UAN54" i="8"/>
  <c r="UAM54" i="8"/>
  <c r="UAL54" i="8"/>
  <c r="UAK54" i="8"/>
  <c r="UAJ54" i="8"/>
  <c r="UAI54" i="8"/>
  <c r="UAH54" i="8"/>
  <c r="UAG54" i="8"/>
  <c r="UAF54" i="8"/>
  <c r="UAE54" i="8"/>
  <c r="UAD54" i="8"/>
  <c r="UAC54" i="8"/>
  <c r="UAB54" i="8"/>
  <c r="UAA54" i="8"/>
  <c r="TZZ54" i="8"/>
  <c r="TZY54" i="8"/>
  <c r="TZX54" i="8"/>
  <c r="TZW54" i="8"/>
  <c r="TZV54" i="8"/>
  <c r="TZU54" i="8"/>
  <c r="TZT54" i="8"/>
  <c r="TZS54" i="8"/>
  <c r="TZR54" i="8"/>
  <c r="TZQ54" i="8"/>
  <c r="TZP54" i="8"/>
  <c r="TZO54" i="8"/>
  <c r="TZN54" i="8"/>
  <c r="TZM54" i="8"/>
  <c r="TZL54" i="8"/>
  <c r="TZK54" i="8"/>
  <c r="TZJ54" i="8"/>
  <c r="TZI54" i="8"/>
  <c r="TZH54" i="8"/>
  <c r="TZG54" i="8"/>
  <c r="TZF54" i="8"/>
  <c r="TZE54" i="8"/>
  <c r="TZD54" i="8"/>
  <c r="TZC54" i="8"/>
  <c r="TZB54" i="8"/>
  <c r="TZA54" i="8"/>
  <c r="TYZ54" i="8"/>
  <c r="TYY54" i="8"/>
  <c r="TYX54" i="8"/>
  <c r="TYW54" i="8"/>
  <c r="TYV54" i="8"/>
  <c r="TYU54" i="8"/>
  <c r="TYT54" i="8"/>
  <c r="TYS54" i="8"/>
  <c r="TYR54" i="8"/>
  <c r="TYQ54" i="8"/>
  <c r="TYP54" i="8"/>
  <c r="TYO54" i="8"/>
  <c r="TYN54" i="8"/>
  <c r="TYM54" i="8"/>
  <c r="TYL54" i="8"/>
  <c r="TYK54" i="8"/>
  <c r="TYJ54" i="8"/>
  <c r="TYI54" i="8"/>
  <c r="TYH54" i="8"/>
  <c r="TYG54" i="8"/>
  <c r="TYF54" i="8"/>
  <c r="TYE54" i="8"/>
  <c r="TYD54" i="8"/>
  <c r="TYC54" i="8"/>
  <c r="TYB54" i="8"/>
  <c r="TYA54" i="8"/>
  <c r="TXZ54" i="8"/>
  <c r="TXY54" i="8"/>
  <c r="TXX54" i="8"/>
  <c r="TXW54" i="8"/>
  <c r="TXV54" i="8"/>
  <c r="TXU54" i="8"/>
  <c r="TXT54" i="8"/>
  <c r="TXS54" i="8"/>
  <c r="TXR54" i="8"/>
  <c r="TXQ54" i="8"/>
  <c r="TXP54" i="8"/>
  <c r="TXO54" i="8"/>
  <c r="TXN54" i="8"/>
  <c r="TXM54" i="8"/>
  <c r="TXL54" i="8"/>
  <c r="TXK54" i="8"/>
  <c r="TXJ54" i="8"/>
  <c r="TXI54" i="8"/>
  <c r="TXH54" i="8"/>
  <c r="TXG54" i="8"/>
  <c r="TXF54" i="8"/>
  <c r="TXE54" i="8"/>
  <c r="TXD54" i="8"/>
  <c r="TXC54" i="8"/>
  <c r="TXB54" i="8"/>
  <c r="TXA54" i="8"/>
  <c r="TWZ54" i="8"/>
  <c r="TWY54" i="8"/>
  <c r="TWX54" i="8"/>
  <c r="TWW54" i="8"/>
  <c r="TWV54" i="8"/>
  <c r="TWU54" i="8"/>
  <c r="TWT54" i="8"/>
  <c r="TWS54" i="8"/>
  <c r="TWR54" i="8"/>
  <c r="TWQ54" i="8"/>
  <c r="TWP54" i="8"/>
  <c r="TWO54" i="8"/>
  <c r="TWN54" i="8"/>
  <c r="TWM54" i="8"/>
  <c r="TWL54" i="8"/>
  <c r="TWK54" i="8"/>
  <c r="TWJ54" i="8"/>
  <c r="TWI54" i="8"/>
  <c r="TWH54" i="8"/>
  <c r="TWG54" i="8"/>
  <c r="TWF54" i="8"/>
  <c r="TWE54" i="8"/>
  <c r="TWD54" i="8"/>
  <c r="TWC54" i="8"/>
  <c r="TWB54" i="8"/>
  <c r="TWA54" i="8"/>
  <c r="TVZ54" i="8"/>
  <c r="TVY54" i="8"/>
  <c r="TVX54" i="8"/>
  <c r="TVW54" i="8"/>
  <c r="TVV54" i="8"/>
  <c r="TVU54" i="8"/>
  <c r="TVT54" i="8"/>
  <c r="TVS54" i="8"/>
  <c r="TVR54" i="8"/>
  <c r="TVQ54" i="8"/>
  <c r="TVP54" i="8"/>
  <c r="TVO54" i="8"/>
  <c r="TVN54" i="8"/>
  <c r="TVM54" i="8"/>
  <c r="TVL54" i="8"/>
  <c r="TVK54" i="8"/>
  <c r="TVJ54" i="8"/>
  <c r="TVI54" i="8"/>
  <c r="TVH54" i="8"/>
  <c r="TVG54" i="8"/>
  <c r="TVF54" i="8"/>
  <c r="TVE54" i="8"/>
  <c r="TVD54" i="8"/>
  <c r="TVC54" i="8"/>
  <c r="TVB54" i="8"/>
  <c r="TVA54" i="8"/>
  <c r="TUZ54" i="8"/>
  <c r="TUY54" i="8"/>
  <c r="TUX54" i="8"/>
  <c r="TUW54" i="8"/>
  <c r="TUV54" i="8"/>
  <c r="TUU54" i="8"/>
  <c r="TUT54" i="8"/>
  <c r="TUS54" i="8"/>
  <c r="TUR54" i="8"/>
  <c r="TUQ54" i="8"/>
  <c r="TUP54" i="8"/>
  <c r="TUO54" i="8"/>
  <c r="TUN54" i="8"/>
  <c r="TUM54" i="8"/>
  <c r="TUL54" i="8"/>
  <c r="TUK54" i="8"/>
  <c r="TUJ54" i="8"/>
  <c r="TUI54" i="8"/>
  <c r="TUH54" i="8"/>
  <c r="TUG54" i="8"/>
  <c r="TUF54" i="8"/>
  <c r="TUE54" i="8"/>
  <c r="TUD54" i="8"/>
  <c r="TUC54" i="8"/>
  <c r="TUB54" i="8"/>
  <c r="TUA54" i="8"/>
  <c r="TTZ54" i="8"/>
  <c r="TTY54" i="8"/>
  <c r="TTX54" i="8"/>
  <c r="TTW54" i="8"/>
  <c r="TTV54" i="8"/>
  <c r="TTU54" i="8"/>
  <c r="TTT54" i="8"/>
  <c r="TTS54" i="8"/>
  <c r="TTR54" i="8"/>
  <c r="TTQ54" i="8"/>
  <c r="TTP54" i="8"/>
  <c r="TTO54" i="8"/>
  <c r="TTN54" i="8"/>
  <c r="TTM54" i="8"/>
  <c r="TTL54" i="8"/>
  <c r="TTK54" i="8"/>
  <c r="TTJ54" i="8"/>
  <c r="TTI54" i="8"/>
  <c r="TTH54" i="8"/>
  <c r="TTG54" i="8"/>
  <c r="TTF54" i="8"/>
  <c r="TTE54" i="8"/>
  <c r="TTD54" i="8"/>
  <c r="TTC54" i="8"/>
  <c r="TTB54" i="8"/>
  <c r="TTA54" i="8"/>
  <c r="TSZ54" i="8"/>
  <c r="TSY54" i="8"/>
  <c r="TSX54" i="8"/>
  <c r="TSW54" i="8"/>
  <c r="TSV54" i="8"/>
  <c r="TSU54" i="8"/>
  <c r="TST54" i="8"/>
  <c r="TSS54" i="8"/>
  <c r="TSR54" i="8"/>
  <c r="TSQ54" i="8"/>
  <c r="TSP54" i="8"/>
  <c r="TSO54" i="8"/>
  <c r="TSN54" i="8"/>
  <c r="TSM54" i="8"/>
  <c r="TSL54" i="8"/>
  <c r="TSK54" i="8"/>
  <c r="TSJ54" i="8"/>
  <c r="TSI54" i="8"/>
  <c r="TSH54" i="8"/>
  <c r="TSG54" i="8"/>
  <c r="TSF54" i="8"/>
  <c r="TSE54" i="8"/>
  <c r="TSD54" i="8"/>
  <c r="TSC54" i="8"/>
  <c r="TSB54" i="8"/>
  <c r="TSA54" i="8"/>
  <c r="TRZ54" i="8"/>
  <c r="TRY54" i="8"/>
  <c r="TRX54" i="8"/>
  <c r="TRW54" i="8"/>
  <c r="TRV54" i="8"/>
  <c r="TRU54" i="8"/>
  <c r="TRT54" i="8"/>
  <c r="TRS54" i="8"/>
  <c r="TRR54" i="8"/>
  <c r="TRQ54" i="8"/>
  <c r="TRP54" i="8"/>
  <c r="TRO54" i="8"/>
  <c r="TRN54" i="8"/>
  <c r="TRM54" i="8"/>
  <c r="TRL54" i="8"/>
  <c r="TRK54" i="8"/>
  <c r="TRJ54" i="8"/>
  <c r="TRI54" i="8"/>
  <c r="TRH54" i="8"/>
  <c r="TRG54" i="8"/>
  <c r="TRF54" i="8"/>
  <c r="TRE54" i="8"/>
  <c r="TRD54" i="8"/>
  <c r="TRC54" i="8"/>
  <c r="TRB54" i="8"/>
  <c r="TRA54" i="8"/>
  <c r="TQZ54" i="8"/>
  <c r="TQY54" i="8"/>
  <c r="TQX54" i="8"/>
  <c r="TQW54" i="8"/>
  <c r="TQV54" i="8"/>
  <c r="TQU54" i="8"/>
  <c r="TQT54" i="8"/>
  <c r="TQS54" i="8"/>
  <c r="TQR54" i="8"/>
  <c r="TQQ54" i="8"/>
  <c r="TQP54" i="8"/>
  <c r="TQO54" i="8"/>
  <c r="TQN54" i="8"/>
  <c r="TQM54" i="8"/>
  <c r="TQL54" i="8"/>
  <c r="TQK54" i="8"/>
  <c r="TQJ54" i="8"/>
  <c r="TQI54" i="8"/>
  <c r="TQH54" i="8"/>
  <c r="TQG54" i="8"/>
  <c r="TQF54" i="8"/>
  <c r="TQE54" i="8"/>
  <c r="TQD54" i="8"/>
  <c r="TQC54" i="8"/>
  <c r="TQB54" i="8"/>
  <c r="TQA54" i="8"/>
  <c r="TPZ54" i="8"/>
  <c r="TPY54" i="8"/>
  <c r="TPX54" i="8"/>
  <c r="TPW54" i="8"/>
  <c r="TPV54" i="8"/>
  <c r="TPU54" i="8"/>
  <c r="TPT54" i="8"/>
  <c r="TPS54" i="8"/>
  <c r="TPR54" i="8"/>
  <c r="TPQ54" i="8"/>
  <c r="TPP54" i="8"/>
  <c r="TPO54" i="8"/>
  <c r="TPN54" i="8"/>
  <c r="TPM54" i="8"/>
  <c r="TPL54" i="8"/>
  <c r="TPK54" i="8"/>
  <c r="TPJ54" i="8"/>
  <c r="TPI54" i="8"/>
  <c r="TPH54" i="8"/>
  <c r="TPG54" i="8"/>
  <c r="TPF54" i="8"/>
  <c r="TPE54" i="8"/>
  <c r="TPD54" i="8"/>
  <c r="TPC54" i="8"/>
  <c r="TPB54" i="8"/>
  <c r="TPA54" i="8"/>
  <c r="TOZ54" i="8"/>
  <c r="TOY54" i="8"/>
  <c r="TOX54" i="8"/>
  <c r="TOW54" i="8"/>
  <c r="TOV54" i="8"/>
  <c r="TOU54" i="8"/>
  <c r="TOT54" i="8"/>
  <c r="TOS54" i="8"/>
  <c r="TOR54" i="8"/>
  <c r="TOQ54" i="8"/>
  <c r="TOP54" i="8"/>
  <c r="TOO54" i="8"/>
  <c r="TON54" i="8"/>
  <c r="TOM54" i="8"/>
  <c r="TOL54" i="8"/>
  <c r="TOK54" i="8"/>
  <c r="TOJ54" i="8"/>
  <c r="TOI54" i="8"/>
  <c r="TOH54" i="8"/>
  <c r="TOG54" i="8"/>
  <c r="TOF54" i="8"/>
  <c r="TOE54" i="8"/>
  <c r="TOD54" i="8"/>
  <c r="TOC54" i="8"/>
  <c r="TOB54" i="8"/>
  <c r="TOA54" i="8"/>
  <c r="TNZ54" i="8"/>
  <c r="TNY54" i="8"/>
  <c r="TNX54" i="8"/>
  <c r="TNW54" i="8"/>
  <c r="TNV54" i="8"/>
  <c r="TNU54" i="8"/>
  <c r="TNT54" i="8"/>
  <c r="TNS54" i="8"/>
  <c r="TNR54" i="8"/>
  <c r="TNQ54" i="8"/>
  <c r="TNP54" i="8"/>
  <c r="TNO54" i="8"/>
  <c r="TNN54" i="8"/>
  <c r="TNM54" i="8"/>
  <c r="TNL54" i="8"/>
  <c r="TNK54" i="8"/>
  <c r="TNJ54" i="8"/>
  <c r="TNI54" i="8"/>
  <c r="TNH54" i="8"/>
  <c r="TNG54" i="8"/>
  <c r="TNF54" i="8"/>
  <c r="TNE54" i="8"/>
  <c r="TND54" i="8"/>
  <c r="TNC54" i="8"/>
  <c r="TNB54" i="8"/>
  <c r="TNA54" i="8"/>
  <c r="TMZ54" i="8"/>
  <c r="TMY54" i="8"/>
  <c r="TMX54" i="8"/>
  <c r="TMW54" i="8"/>
  <c r="TMV54" i="8"/>
  <c r="TMU54" i="8"/>
  <c r="TMT54" i="8"/>
  <c r="TMS54" i="8"/>
  <c r="TMR54" i="8"/>
  <c r="TMQ54" i="8"/>
  <c r="TMP54" i="8"/>
  <c r="TMO54" i="8"/>
  <c r="TMN54" i="8"/>
  <c r="TMM54" i="8"/>
  <c r="TML54" i="8"/>
  <c r="TMK54" i="8"/>
  <c r="TMJ54" i="8"/>
  <c r="TMI54" i="8"/>
  <c r="TMH54" i="8"/>
  <c r="TMG54" i="8"/>
  <c r="TMF54" i="8"/>
  <c r="TME54" i="8"/>
  <c r="TMD54" i="8"/>
  <c r="TMC54" i="8"/>
  <c r="TMB54" i="8"/>
  <c r="TMA54" i="8"/>
  <c r="TLZ54" i="8"/>
  <c r="TLY54" i="8"/>
  <c r="TLX54" i="8"/>
  <c r="TLW54" i="8"/>
  <c r="TLV54" i="8"/>
  <c r="TLU54" i="8"/>
  <c r="TLT54" i="8"/>
  <c r="TLS54" i="8"/>
  <c r="TLR54" i="8"/>
  <c r="TLQ54" i="8"/>
  <c r="TLP54" i="8"/>
  <c r="TLO54" i="8"/>
  <c r="TLN54" i="8"/>
  <c r="TLM54" i="8"/>
  <c r="TLL54" i="8"/>
  <c r="TLK54" i="8"/>
  <c r="TLJ54" i="8"/>
  <c r="TLI54" i="8"/>
  <c r="TLH54" i="8"/>
  <c r="TLG54" i="8"/>
  <c r="TLF54" i="8"/>
  <c r="TLE54" i="8"/>
  <c r="TLD54" i="8"/>
  <c r="TLC54" i="8"/>
  <c r="TLB54" i="8"/>
  <c r="TLA54" i="8"/>
  <c r="TKZ54" i="8"/>
  <c r="TKY54" i="8"/>
  <c r="TKX54" i="8"/>
  <c r="TKW54" i="8"/>
  <c r="TKV54" i="8"/>
  <c r="TKU54" i="8"/>
  <c r="TKT54" i="8"/>
  <c r="TKS54" i="8"/>
  <c r="TKR54" i="8"/>
  <c r="TKQ54" i="8"/>
  <c r="TKP54" i="8"/>
  <c r="TKO54" i="8"/>
  <c r="TKN54" i="8"/>
  <c r="TKM54" i="8"/>
  <c r="TKL54" i="8"/>
  <c r="TKK54" i="8"/>
  <c r="TKJ54" i="8"/>
  <c r="TKI54" i="8"/>
  <c r="TKH54" i="8"/>
  <c r="TKG54" i="8"/>
  <c r="TKF54" i="8"/>
  <c r="TKE54" i="8"/>
  <c r="TKD54" i="8"/>
  <c r="TKC54" i="8"/>
  <c r="TKB54" i="8"/>
  <c r="TKA54" i="8"/>
  <c r="TJZ54" i="8"/>
  <c r="TJY54" i="8"/>
  <c r="TJX54" i="8"/>
  <c r="TJW54" i="8"/>
  <c r="TJV54" i="8"/>
  <c r="TJU54" i="8"/>
  <c r="TJT54" i="8"/>
  <c r="TJS54" i="8"/>
  <c r="TJR54" i="8"/>
  <c r="TJQ54" i="8"/>
  <c r="TJP54" i="8"/>
  <c r="TJO54" i="8"/>
  <c r="TJN54" i="8"/>
  <c r="TJM54" i="8"/>
  <c r="TJL54" i="8"/>
  <c r="TJK54" i="8"/>
  <c r="TJJ54" i="8"/>
  <c r="TJI54" i="8"/>
  <c r="TJH54" i="8"/>
  <c r="TJG54" i="8"/>
  <c r="TJF54" i="8"/>
  <c r="TJE54" i="8"/>
  <c r="TJD54" i="8"/>
  <c r="TJC54" i="8"/>
  <c r="TJB54" i="8"/>
  <c r="TJA54" i="8"/>
  <c r="TIZ54" i="8"/>
  <c r="TIY54" i="8"/>
  <c r="TIX54" i="8"/>
  <c r="TIW54" i="8"/>
  <c r="TIV54" i="8"/>
  <c r="TIU54" i="8"/>
  <c r="TIT54" i="8"/>
  <c r="TIS54" i="8"/>
  <c r="TIR54" i="8"/>
  <c r="TIQ54" i="8"/>
  <c r="TIP54" i="8"/>
  <c r="TIO54" i="8"/>
  <c r="TIN54" i="8"/>
  <c r="TIM54" i="8"/>
  <c r="TIL54" i="8"/>
  <c r="TIK54" i="8"/>
  <c r="TIJ54" i="8"/>
  <c r="TII54" i="8"/>
  <c r="TIH54" i="8"/>
  <c r="TIG54" i="8"/>
  <c r="TIF54" i="8"/>
  <c r="TIE54" i="8"/>
  <c r="TID54" i="8"/>
  <c r="TIC54" i="8"/>
  <c r="TIB54" i="8"/>
  <c r="TIA54" i="8"/>
  <c r="THZ54" i="8"/>
  <c r="THY54" i="8"/>
  <c r="THX54" i="8"/>
  <c r="THW54" i="8"/>
  <c r="THV54" i="8"/>
  <c r="THU54" i="8"/>
  <c r="THT54" i="8"/>
  <c r="THS54" i="8"/>
  <c r="THR54" i="8"/>
  <c r="THQ54" i="8"/>
  <c r="THP54" i="8"/>
  <c r="THO54" i="8"/>
  <c r="THN54" i="8"/>
  <c r="THM54" i="8"/>
  <c r="THL54" i="8"/>
  <c r="THK54" i="8"/>
  <c r="THJ54" i="8"/>
  <c r="THI54" i="8"/>
  <c r="THH54" i="8"/>
  <c r="THG54" i="8"/>
  <c r="THF54" i="8"/>
  <c r="THE54" i="8"/>
  <c r="THD54" i="8"/>
  <c r="THC54" i="8"/>
  <c r="THB54" i="8"/>
  <c r="THA54" i="8"/>
  <c r="TGZ54" i="8"/>
  <c r="TGY54" i="8"/>
  <c r="TGX54" i="8"/>
  <c r="TGW54" i="8"/>
  <c r="TGV54" i="8"/>
  <c r="TGU54" i="8"/>
  <c r="TGT54" i="8"/>
  <c r="TGS54" i="8"/>
  <c r="TGR54" i="8"/>
  <c r="TGQ54" i="8"/>
  <c r="TGP54" i="8"/>
  <c r="TGO54" i="8"/>
  <c r="TGN54" i="8"/>
  <c r="TGM54" i="8"/>
  <c r="TGL54" i="8"/>
  <c r="TGK54" i="8"/>
  <c r="TGJ54" i="8"/>
  <c r="TGI54" i="8"/>
  <c r="TGH54" i="8"/>
  <c r="TGG54" i="8"/>
  <c r="TGF54" i="8"/>
  <c r="TGE54" i="8"/>
  <c r="TGD54" i="8"/>
  <c r="TGC54" i="8"/>
  <c r="TGB54" i="8"/>
  <c r="TGA54" i="8"/>
  <c r="TFZ54" i="8"/>
  <c r="TFY54" i="8"/>
  <c r="TFX54" i="8"/>
  <c r="TFW54" i="8"/>
  <c r="TFV54" i="8"/>
  <c r="TFU54" i="8"/>
  <c r="TFT54" i="8"/>
  <c r="TFS54" i="8"/>
  <c r="TFR54" i="8"/>
  <c r="TFQ54" i="8"/>
  <c r="TFP54" i="8"/>
  <c r="TFO54" i="8"/>
  <c r="TFN54" i="8"/>
  <c r="TFM54" i="8"/>
  <c r="TFL54" i="8"/>
  <c r="TFK54" i="8"/>
  <c r="TFJ54" i="8"/>
  <c r="TFI54" i="8"/>
  <c r="TFH54" i="8"/>
  <c r="TFG54" i="8"/>
  <c r="TFF54" i="8"/>
  <c r="TFE54" i="8"/>
  <c r="TFD54" i="8"/>
  <c r="TFC54" i="8"/>
  <c r="TFB54" i="8"/>
  <c r="TFA54" i="8"/>
  <c r="TEZ54" i="8"/>
  <c r="TEY54" i="8"/>
  <c r="TEX54" i="8"/>
  <c r="TEW54" i="8"/>
  <c r="TEV54" i="8"/>
  <c r="TEU54" i="8"/>
  <c r="TET54" i="8"/>
  <c r="TES54" i="8"/>
  <c r="TER54" i="8"/>
  <c r="TEQ54" i="8"/>
  <c r="TEP54" i="8"/>
  <c r="TEO54" i="8"/>
  <c r="TEN54" i="8"/>
  <c r="TEM54" i="8"/>
  <c r="TEL54" i="8"/>
  <c r="TEK54" i="8"/>
  <c r="TEJ54" i="8"/>
  <c r="TEI54" i="8"/>
  <c r="TEH54" i="8"/>
  <c r="TEG54" i="8"/>
  <c r="TEF54" i="8"/>
  <c r="TEE54" i="8"/>
  <c r="TED54" i="8"/>
  <c r="TEC54" i="8"/>
  <c r="TEB54" i="8"/>
  <c r="TEA54" i="8"/>
  <c r="TDZ54" i="8"/>
  <c r="TDY54" i="8"/>
  <c r="TDX54" i="8"/>
  <c r="TDW54" i="8"/>
  <c r="TDV54" i="8"/>
  <c r="TDU54" i="8"/>
  <c r="TDT54" i="8"/>
  <c r="TDS54" i="8"/>
  <c r="TDR54" i="8"/>
  <c r="TDQ54" i="8"/>
  <c r="TDP54" i="8"/>
  <c r="TDO54" i="8"/>
  <c r="TDN54" i="8"/>
  <c r="TDM54" i="8"/>
  <c r="TDL54" i="8"/>
  <c r="TDK54" i="8"/>
  <c r="TDJ54" i="8"/>
  <c r="TDI54" i="8"/>
  <c r="TDH54" i="8"/>
  <c r="TDG54" i="8"/>
  <c r="TDF54" i="8"/>
  <c r="TDE54" i="8"/>
  <c r="TDD54" i="8"/>
  <c r="TDC54" i="8"/>
  <c r="TDB54" i="8"/>
  <c r="TDA54" i="8"/>
  <c r="TCZ54" i="8"/>
  <c r="TCY54" i="8"/>
  <c r="TCX54" i="8"/>
  <c r="TCW54" i="8"/>
  <c r="TCV54" i="8"/>
  <c r="TCU54" i="8"/>
  <c r="TCT54" i="8"/>
  <c r="TCS54" i="8"/>
  <c r="TCR54" i="8"/>
  <c r="TCQ54" i="8"/>
  <c r="TCP54" i="8"/>
  <c r="TCO54" i="8"/>
  <c r="TCN54" i="8"/>
  <c r="TCM54" i="8"/>
  <c r="TCL54" i="8"/>
  <c r="TCK54" i="8"/>
  <c r="TCJ54" i="8"/>
  <c r="TCI54" i="8"/>
  <c r="TCH54" i="8"/>
  <c r="TCG54" i="8"/>
  <c r="TCF54" i="8"/>
  <c r="TCE54" i="8"/>
  <c r="TCD54" i="8"/>
  <c r="TCC54" i="8"/>
  <c r="TCB54" i="8"/>
  <c r="TCA54" i="8"/>
  <c r="TBZ54" i="8"/>
  <c r="TBY54" i="8"/>
  <c r="TBX54" i="8"/>
  <c r="TBW54" i="8"/>
  <c r="TBV54" i="8"/>
  <c r="TBU54" i="8"/>
  <c r="TBT54" i="8"/>
  <c r="TBS54" i="8"/>
  <c r="TBR54" i="8"/>
  <c r="TBQ54" i="8"/>
  <c r="TBP54" i="8"/>
  <c r="TBO54" i="8"/>
  <c r="TBN54" i="8"/>
  <c r="TBM54" i="8"/>
  <c r="TBL54" i="8"/>
  <c r="TBK54" i="8"/>
  <c r="TBJ54" i="8"/>
  <c r="TBI54" i="8"/>
  <c r="TBH54" i="8"/>
  <c r="TBG54" i="8"/>
  <c r="TBF54" i="8"/>
  <c r="TBE54" i="8"/>
  <c r="TBD54" i="8"/>
  <c r="TBC54" i="8"/>
  <c r="TBB54" i="8"/>
  <c r="TBA54" i="8"/>
  <c r="TAZ54" i="8"/>
  <c r="TAY54" i="8"/>
  <c r="TAX54" i="8"/>
  <c r="TAW54" i="8"/>
  <c r="TAV54" i="8"/>
  <c r="TAU54" i="8"/>
  <c r="TAT54" i="8"/>
  <c r="TAS54" i="8"/>
  <c r="TAR54" i="8"/>
  <c r="TAQ54" i="8"/>
  <c r="TAP54" i="8"/>
  <c r="TAO54" i="8"/>
  <c r="TAN54" i="8"/>
  <c r="TAM54" i="8"/>
  <c r="TAL54" i="8"/>
  <c r="TAK54" i="8"/>
  <c r="TAJ54" i="8"/>
  <c r="TAI54" i="8"/>
  <c r="TAH54" i="8"/>
  <c r="TAG54" i="8"/>
  <c r="TAF54" i="8"/>
  <c r="TAE54" i="8"/>
  <c r="TAD54" i="8"/>
  <c r="TAC54" i="8"/>
  <c r="TAB54" i="8"/>
  <c r="TAA54" i="8"/>
  <c r="SZZ54" i="8"/>
  <c r="SZY54" i="8"/>
  <c r="SZX54" i="8"/>
  <c r="SZW54" i="8"/>
  <c r="SZV54" i="8"/>
  <c r="SZU54" i="8"/>
  <c r="SZT54" i="8"/>
  <c r="SZS54" i="8"/>
  <c r="SZR54" i="8"/>
  <c r="SZQ54" i="8"/>
  <c r="SZP54" i="8"/>
  <c r="SZO54" i="8"/>
  <c r="SZN54" i="8"/>
  <c r="SZM54" i="8"/>
  <c r="SZL54" i="8"/>
  <c r="SZK54" i="8"/>
  <c r="SZJ54" i="8"/>
  <c r="SZI54" i="8"/>
  <c r="SZH54" i="8"/>
  <c r="SZG54" i="8"/>
  <c r="SZF54" i="8"/>
  <c r="SZE54" i="8"/>
  <c r="SZD54" i="8"/>
  <c r="SZC54" i="8"/>
  <c r="SZB54" i="8"/>
  <c r="SZA54" i="8"/>
  <c r="SYZ54" i="8"/>
  <c r="SYY54" i="8"/>
  <c r="SYX54" i="8"/>
  <c r="SYW54" i="8"/>
  <c r="SYV54" i="8"/>
  <c r="SYU54" i="8"/>
  <c r="SYT54" i="8"/>
  <c r="SYS54" i="8"/>
  <c r="SYR54" i="8"/>
  <c r="SYQ54" i="8"/>
  <c r="SYP54" i="8"/>
  <c r="SYO54" i="8"/>
  <c r="SYN54" i="8"/>
  <c r="SYM54" i="8"/>
  <c r="SYL54" i="8"/>
  <c r="SYK54" i="8"/>
  <c r="SYJ54" i="8"/>
  <c r="SYI54" i="8"/>
  <c r="SYH54" i="8"/>
  <c r="SYG54" i="8"/>
  <c r="SYF54" i="8"/>
  <c r="SYE54" i="8"/>
  <c r="SYD54" i="8"/>
  <c r="SYC54" i="8"/>
  <c r="SYB54" i="8"/>
  <c r="SYA54" i="8"/>
  <c r="SXZ54" i="8"/>
  <c r="SXY54" i="8"/>
  <c r="SXX54" i="8"/>
  <c r="SXW54" i="8"/>
  <c r="SXV54" i="8"/>
  <c r="SXU54" i="8"/>
  <c r="SXT54" i="8"/>
  <c r="SXS54" i="8"/>
  <c r="SXR54" i="8"/>
  <c r="SXQ54" i="8"/>
  <c r="SXP54" i="8"/>
  <c r="SXO54" i="8"/>
  <c r="SXN54" i="8"/>
  <c r="SXM54" i="8"/>
  <c r="SXL54" i="8"/>
  <c r="SXK54" i="8"/>
  <c r="SXJ54" i="8"/>
  <c r="SXI54" i="8"/>
  <c r="SXH54" i="8"/>
  <c r="SXG54" i="8"/>
  <c r="SXF54" i="8"/>
  <c r="SXE54" i="8"/>
  <c r="SXD54" i="8"/>
  <c r="SXC54" i="8"/>
  <c r="SXB54" i="8"/>
  <c r="SXA54" i="8"/>
  <c r="SWZ54" i="8"/>
  <c r="SWY54" i="8"/>
  <c r="SWX54" i="8"/>
  <c r="SWW54" i="8"/>
  <c r="SWV54" i="8"/>
  <c r="SWU54" i="8"/>
  <c r="SWT54" i="8"/>
  <c r="SWS54" i="8"/>
  <c r="SWR54" i="8"/>
  <c r="SWQ54" i="8"/>
  <c r="SWP54" i="8"/>
  <c r="SWO54" i="8"/>
  <c r="SWN54" i="8"/>
  <c r="SWM54" i="8"/>
  <c r="SWL54" i="8"/>
  <c r="SWK54" i="8"/>
  <c r="SWJ54" i="8"/>
  <c r="SWI54" i="8"/>
  <c r="SWH54" i="8"/>
  <c r="SWG54" i="8"/>
  <c r="SWF54" i="8"/>
  <c r="SWE54" i="8"/>
  <c r="SWD54" i="8"/>
  <c r="SWC54" i="8"/>
  <c r="SWB54" i="8"/>
  <c r="SWA54" i="8"/>
  <c r="SVZ54" i="8"/>
  <c r="SVY54" i="8"/>
  <c r="SVX54" i="8"/>
  <c r="SVW54" i="8"/>
  <c r="SVV54" i="8"/>
  <c r="SVU54" i="8"/>
  <c r="SVT54" i="8"/>
  <c r="SVS54" i="8"/>
  <c r="SVR54" i="8"/>
  <c r="SVQ54" i="8"/>
  <c r="SVP54" i="8"/>
  <c r="SVO54" i="8"/>
  <c r="SVN54" i="8"/>
  <c r="SVM54" i="8"/>
  <c r="SVL54" i="8"/>
  <c r="SVK54" i="8"/>
  <c r="SVJ54" i="8"/>
  <c r="SVI54" i="8"/>
  <c r="SVH54" i="8"/>
  <c r="SVG54" i="8"/>
  <c r="SVF54" i="8"/>
  <c r="SVE54" i="8"/>
  <c r="SVD54" i="8"/>
  <c r="SVC54" i="8"/>
  <c r="SVB54" i="8"/>
  <c r="SVA54" i="8"/>
  <c r="SUZ54" i="8"/>
  <c r="SUY54" i="8"/>
  <c r="SUX54" i="8"/>
  <c r="SUW54" i="8"/>
  <c r="SUV54" i="8"/>
  <c r="SUU54" i="8"/>
  <c r="SUT54" i="8"/>
  <c r="SUS54" i="8"/>
  <c r="SUR54" i="8"/>
  <c r="SUQ54" i="8"/>
  <c r="SUP54" i="8"/>
  <c r="SUO54" i="8"/>
  <c r="SUN54" i="8"/>
  <c r="SUM54" i="8"/>
  <c r="SUL54" i="8"/>
  <c r="SUK54" i="8"/>
  <c r="SUJ54" i="8"/>
  <c r="SUI54" i="8"/>
  <c r="SUH54" i="8"/>
  <c r="SUG54" i="8"/>
  <c r="SUF54" i="8"/>
  <c r="SUE54" i="8"/>
  <c r="SUD54" i="8"/>
  <c r="SUC54" i="8"/>
  <c r="SUB54" i="8"/>
  <c r="SUA54" i="8"/>
  <c r="STZ54" i="8"/>
  <c r="STY54" i="8"/>
  <c r="STX54" i="8"/>
  <c r="STW54" i="8"/>
  <c r="STV54" i="8"/>
  <c r="STU54" i="8"/>
  <c r="STT54" i="8"/>
  <c r="STS54" i="8"/>
  <c r="STR54" i="8"/>
  <c r="STQ54" i="8"/>
  <c r="STP54" i="8"/>
  <c r="STO54" i="8"/>
  <c r="STN54" i="8"/>
  <c r="STM54" i="8"/>
  <c r="STL54" i="8"/>
  <c r="STK54" i="8"/>
  <c r="STJ54" i="8"/>
  <c r="STI54" i="8"/>
  <c r="STH54" i="8"/>
  <c r="STG54" i="8"/>
  <c r="STF54" i="8"/>
  <c r="STE54" i="8"/>
  <c r="STD54" i="8"/>
  <c r="STC54" i="8"/>
  <c r="STB54" i="8"/>
  <c r="STA54" i="8"/>
  <c r="SSZ54" i="8"/>
  <c r="SSY54" i="8"/>
  <c r="SSX54" i="8"/>
  <c r="SSW54" i="8"/>
  <c r="SSV54" i="8"/>
  <c r="SSU54" i="8"/>
  <c r="SST54" i="8"/>
  <c r="SSS54" i="8"/>
  <c r="SSR54" i="8"/>
  <c r="SSQ54" i="8"/>
  <c r="SSP54" i="8"/>
  <c r="SSO54" i="8"/>
  <c r="SSN54" i="8"/>
  <c r="SSM54" i="8"/>
  <c r="SSL54" i="8"/>
  <c r="SSK54" i="8"/>
  <c r="SSJ54" i="8"/>
  <c r="SSI54" i="8"/>
  <c r="SSH54" i="8"/>
  <c r="SSG54" i="8"/>
  <c r="SSF54" i="8"/>
  <c r="SSE54" i="8"/>
  <c r="SSD54" i="8"/>
  <c r="SSC54" i="8"/>
  <c r="SSB54" i="8"/>
  <c r="SSA54" i="8"/>
  <c r="SRZ54" i="8"/>
  <c r="SRY54" i="8"/>
  <c r="SRX54" i="8"/>
  <c r="SRW54" i="8"/>
  <c r="SRV54" i="8"/>
  <c r="SRU54" i="8"/>
  <c r="SRT54" i="8"/>
  <c r="SRS54" i="8"/>
  <c r="SRR54" i="8"/>
  <c r="SRQ54" i="8"/>
  <c r="SRP54" i="8"/>
  <c r="SRO54" i="8"/>
  <c r="SRN54" i="8"/>
  <c r="SRM54" i="8"/>
  <c r="SRL54" i="8"/>
  <c r="SRK54" i="8"/>
  <c r="SRJ54" i="8"/>
  <c r="SRI54" i="8"/>
  <c r="SRH54" i="8"/>
  <c r="SRG54" i="8"/>
  <c r="SRF54" i="8"/>
  <c r="SRE54" i="8"/>
  <c r="SRD54" i="8"/>
  <c r="SRC54" i="8"/>
  <c r="SRB54" i="8"/>
  <c r="SRA54" i="8"/>
  <c r="SQZ54" i="8"/>
  <c r="SQY54" i="8"/>
  <c r="SQX54" i="8"/>
  <c r="SQW54" i="8"/>
  <c r="SQV54" i="8"/>
  <c r="SQU54" i="8"/>
  <c r="SQT54" i="8"/>
  <c r="SQS54" i="8"/>
  <c r="SQR54" i="8"/>
  <c r="SQQ54" i="8"/>
  <c r="SQP54" i="8"/>
  <c r="SQO54" i="8"/>
  <c r="SQN54" i="8"/>
  <c r="SQM54" i="8"/>
  <c r="SQL54" i="8"/>
  <c r="SQK54" i="8"/>
  <c r="SQJ54" i="8"/>
  <c r="SQI54" i="8"/>
  <c r="SQH54" i="8"/>
  <c r="SQG54" i="8"/>
  <c r="SQF54" i="8"/>
  <c r="SQE54" i="8"/>
  <c r="SQD54" i="8"/>
  <c r="SQC54" i="8"/>
  <c r="SQB54" i="8"/>
  <c r="SQA54" i="8"/>
  <c r="SPZ54" i="8"/>
  <c r="SPY54" i="8"/>
  <c r="SPX54" i="8"/>
  <c r="SPW54" i="8"/>
  <c r="SPV54" i="8"/>
  <c r="SPU54" i="8"/>
  <c r="SPT54" i="8"/>
  <c r="SPS54" i="8"/>
  <c r="SPR54" i="8"/>
  <c r="SPQ54" i="8"/>
  <c r="SPP54" i="8"/>
  <c r="SPO54" i="8"/>
  <c r="SPN54" i="8"/>
  <c r="SPM54" i="8"/>
  <c r="SPL54" i="8"/>
  <c r="SPK54" i="8"/>
  <c r="SPJ54" i="8"/>
  <c r="SPI54" i="8"/>
  <c r="SPH54" i="8"/>
  <c r="SPG54" i="8"/>
  <c r="SPF54" i="8"/>
  <c r="SPE54" i="8"/>
  <c r="SPD54" i="8"/>
  <c r="SPC54" i="8"/>
  <c r="SPB54" i="8"/>
  <c r="SPA54" i="8"/>
  <c r="SOZ54" i="8"/>
  <c r="SOY54" i="8"/>
  <c r="SOX54" i="8"/>
  <c r="SOW54" i="8"/>
  <c r="SOV54" i="8"/>
  <c r="SOU54" i="8"/>
  <c r="SOT54" i="8"/>
  <c r="SOS54" i="8"/>
  <c r="SOR54" i="8"/>
  <c r="SOQ54" i="8"/>
  <c r="SOP54" i="8"/>
  <c r="SOO54" i="8"/>
  <c r="SON54" i="8"/>
  <c r="SOM54" i="8"/>
  <c r="SOL54" i="8"/>
  <c r="SOK54" i="8"/>
  <c r="SOJ54" i="8"/>
  <c r="SOI54" i="8"/>
  <c r="SOH54" i="8"/>
  <c r="SOG54" i="8"/>
  <c r="SOF54" i="8"/>
  <c r="SOE54" i="8"/>
  <c r="SOD54" i="8"/>
  <c r="SOC54" i="8"/>
  <c r="SOB54" i="8"/>
  <c r="SOA54" i="8"/>
  <c r="SNZ54" i="8"/>
  <c r="SNY54" i="8"/>
  <c r="SNX54" i="8"/>
  <c r="SNW54" i="8"/>
  <c r="SNV54" i="8"/>
  <c r="SNU54" i="8"/>
  <c r="SNT54" i="8"/>
  <c r="SNS54" i="8"/>
  <c r="SNR54" i="8"/>
  <c r="SNQ54" i="8"/>
  <c r="SNP54" i="8"/>
  <c r="SNO54" i="8"/>
  <c r="SNN54" i="8"/>
  <c r="SNM54" i="8"/>
  <c r="SNL54" i="8"/>
  <c r="SNK54" i="8"/>
  <c r="SNJ54" i="8"/>
  <c r="SNI54" i="8"/>
  <c r="SNH54" i="8"/>
  <c r="SNG54" i="8"/>
  <c r="SNF54" i="8"/>
  <c r="SNE54" i="8"/>
  <c r="SND54" i="8"/>
  <c r="SNC54" i="8"/>
  <c r="SNB54" i="8"/>
  <c r="SNA54" i="8"/>
  <c r="SMZ54" i="8"/>
  <c r="SMY54" i="8"/>
  <c r="SMX54" i="8"/>
  <c r="SMW54" i="8"/>
  <c r="SMV54" i="8"/>
  <c r="SMU54" i="8"/>
  <c r="SMT54" i="8"/>
  <c r="SMS54" i="8"/>
  <c r="SMR54" i="8"/>
  <c r="SMQ54" i="8"/>
  <c r="SMP54" i="8"/>
  <c r="SMO54" i="8"/>
  <c r="SMN54" i="8"/>
  <c r="SMM54" i="8"/>
  <c r="SML54" i="8"/>
  <c r="SMK54" i="8"/>
  <c r="SMJ54" i="8"/>
  <c r="SMI54" i="8"/>
  <c r="SMH54" i="8"/>
  <c r="SMG54" i="8"/>
  <c r="SMF54" i="8"/>
  <c r="SME54" i="8"/>
  <c r="SMD54" i="8"/>
  <c r="SMC54" i="8"/>
  <c r="SMB54" i="8"/>
  <c r="SMA54" i="8"/>
  <c r="SLZ54" i="8"/>
  <c r="SLY54" i="8"/>
  <c r="SLX54" i="8"/>
  <c r="SLW54" i="8"/>
  <c r="SLV54" i="8"/>
  <c r="SLU54" i="8"/>
  <c r="SLT54" i="8"/>
  <c r="SLS54" i="8"/>
  <c r="SLR54" i="8"/>
  <c r="SLQ54" i="8"/>
  <c r="SLP54" i="8"/>
  <c r="SLO54" i="8"/>
  <c r="SLN54" i="8"/>
  <c r="SLM54" i="8"/>
  <c r="SLL54" i="8"/>
  <c r="SLK54" i="8"/>
  <c r="SLJ54" i="8"/>
  <c r="SLI54" i="8"/>
  <c r="SLH54" i="8"/>
  <c r="SLG54" i="8"/>
  <c r="SLF54" i="8"/>
  <c r="SLE54" i="8"/>
  <c r="SLD54" i="8"/>
  <c r="SLC54" i="8"/>
  <c r="SLB54" i="8"/>
  <c r="SLA54" i="8"/>
  <c r="SKZ54" i="8"/>
  <c r="SKY54" i="8"/>
  <c r="SKX54" i="8"/>
  <c r="SKW54" i="8"/>
  <c r="SKV54" i="8"/>
  <c r="SKU54" i="8"/>
  <c r="SKT54" i="8"/>
  <c r="SKS54" i="8"/>
  <c r="SKR54" i="8"/>
  <c r="SKQ54" i="8"/>
  <c r="SKP54" i="8"/>
  <c r="SKO54" i="8"/>
  <c r="SKN54" i="8"/>
  <c r="SKM54" i="8"/>
  <c r="SKL54" i="8"/>
  <c r="SKK54" i="8"/>
  <c r="SKJ54" i="8"/>
  <c r="SKI54" i="8"/>
  <c r="SKH54" i="8"/>
  <c r="SKG54" i="8"/>
  <c r="SKF54" i="8"/>
  <c r="SKE54" i="8"/>
  <c r="SKD54" i="8"/>
  <c r="SKC54" i="8"/>
  <c r="SKB54" i="8"/>
  <c r="SKA54" i="8"/>
  <c r="SJZ54" i="8"/>
  <c r="SJY54" i="8"/>
  <c r="SJX54" i="8"/>
  <c r="SJW54" i="8"/>
  <c r="SJV54" i="8"/>
  <c r="SJU54" i="8"/>
  <c r="SJT54" i="8"/>
  <c r="SJS54" i="8"/>
  <c r="SJR54" i="8"/>
  <c r="SJQ54" i="8"/>
  <c r="SJP54" i="8"/>
  <c r="SJO54" i="8"/>
  <c r="SJN54" i="8"/>
  <c r="SJM54" i="8"/>
  <c r="SJL54" i="8"/>
  <c r="SJK54" i="8"/>
  <c r="SJJ54" i="8"/>
  <c r="SJI54" i="8"/>
  <c r="SJH54" i="8"/>
  <c r="SJG54" i="8"/>
  <c r="SJF54" i="8"/>
  <c r="SJE54" i="8"/>
  <c r="SJD54" i="8"/>
  <c r="SJC54" i="8"/>
  <c r="SJB54" i="8"/>
  <c r="SJA54" i="8"/>
  <c r="SIZ54" i="8"/>
  <c r="SIY54" i="8"/>
  <c r="SIX54" i="8"/>
  <c r="SIW54" i="8"/>
  <c r="SIV54" i="8"/>
  <c r="SIU54" i="8"/>
  <c r="SIT54" i="8"/>
  <c r="SIS54" i="8"/>
  <c r="SIR54" i="8"/>
  <c r="SIQ54" i="8"/>
  <c r="SIP54" i="8"/>
  <c r="SIO54" i="8"/>
  <c r="SIN54" i="8"/>
  <c r="SIM54" i="8"/>
  <c r="SIL54" i="8"/>
  <c r="SIK54" i="8"/>
  <c r="SIJ54" i="8"/>
  <c r="SII54" i="8"/>
  <c r="SIH54" i="8"/>
  <c r="SIG54" i="8"/>
  <c r="SIF54" i="8"/>
  <c r="SIE54" i="8"/>
  <c r="SID54" i="8"/>
  <c r="SIC54" i="8"/>
  <c r="SIB54" i="8"/>
  <c r="SIA54" i="8"/>
  <c r="SHZ54" i="8"/>
  <c r="SHY54" i="8"/>
  <c r="SHX54" i="8"/>
  <c r="SHW54" i="8"/>
  <c r="SHV54" i="8"/>
  <c r="SHU54" i="8"/>
  <c r="SHT54" i="8"/>
  <c r="SHS54" i="8"/>
  <c r="SHR54" i="8"/>
  <c r="SHQ54" i="8"/>
  <c r="SHP54" i="8"/>
  <c r="SHO54" i="8"/>
  <c r="SHN54" i="8"/>
  <c r="SHM54" i="8"/>
  <c r="SHL54" i="8"/>
  <c r="SHK54" i="8"/>
  <c r="SHJ54" i="8"/>
  <c r="SHI54" i="8"/>
  <c r="SHH54" i="8"/>
  <c r="SHG54" i="8"/>
  <c r="SHF54" i="8"/>
  <c r="SHE54" i="8"/>
  <c r="SHD54" i="8"/>
  <c r="SHC54" i="8"/>
  <c r="SHB54" i="8"/>
  <c r="SHA54" i="8"/>
  <c r="SGZ54" i="8"/>
  <c r="SGY54" i="8"/>
  <c r="SGX54" i="8"/>
  <c r="SGW54" i="8"/>
  <c r="SGV54" i="8"/>
  <c r="SGU54" i="8"/>
  <c r="SGT54" i="8"/>
  <c r="SGS54" i="8"/>
  <c r="SGR54" i="8"/>
  <c r="SGQ54" i="8"/>
  <c r="SGP54" i="8"/>
  <c r="SGO54" i="8"/>
  <c r="SGN54" i="8"/>
  <c r="SGM54" i="8"/>
  <c r="SGL54" i="8"/>
  <c r="SGK54" i="8"/>
  <c r="SGJ54" i="8"/>
  <c r="SGI54" i="8"/>
  <c r="SGH54" i="8"/>
  <c r="SGG54" i="8"/>
  <c r="SGF54" i="8"/>
  <c r="SGE54" i="8"/>
  <c r="SGD54" i="8"/>
  <c r="SGC54" i="8"/>
  <c r="SGB54" i="8"/>
  <c r="SGA54" i="8"/>
  <c r="SFZ54" i="8"/>
  <c r="SFY54" i="8"/>
  <c r="SFX54" i="8"/>
  <c r="SFW54" i="8"/>
  <c r="SFV54" i="8"/>
  <c r="SFU54" i="8"/>
  <c r="SFT54" i="8"/>
  <c r="SFS54" i="8"/>
  <c r="SFR54" i="8"/>
  <c r="SFQ54" i="8"/>
  <c r="SFP54" i="8"/>
  <c r="SFO54" i="8"/>
  <c r="SFN54" i="8"/>
  <c r="SFM54" i="8"/>
  <c r="SFL54" i="8"/>
  <c r="SFK54" i="8"/>
  <c r="SFJ54" i="8"/>
  <c r="SFI54" i="8"/>
  <c r="SFH54" i="8"/>
  <c r="SFG54" i="8"/>
  <c r="SFF54" i="8"/>
  <c r="SFE54" i="8"/>
  <c r="SFD54" i="8"/>
  <c r="SFC54" i="8"/>
  <c r="SFB54" i="8"/>
  <c r="SFA54" i="8"/>
  <c r="SEZ54" i="8"/>
  <c r="SEY54" i="8"/>
  <c r="SEX54" i="8"/>
  <c r="SEW54" i="8"/>
  <c r="SEV54" i="8"/>
  <c r="SEU54" i="8"/>
  <c r="SET54" i="8"/>
  <c r="SES54" i="8"/>
  <c r="SER54" i="8"/>
  <c r="SEQ54" i="8"/>
  <c r="SEP54" i="8"/>
  <c r="SEO54" i="8"/>
  <c r="SEN54" i="8"/>
  <c r="SEM54" i="8"/>
  <c r="SEL54" i="8"/>
  <c r="SEK54" i="8"/>
  <c r="SEJ54" i="8"/>
  <c r="SEI54" i="8"/>
  <c r="SEH54" i="8"/>
  <c r="SEG54" i="8"/>
  <c r="SEF54" i="8"/>
  <c r="SEE54" i="8"/>
  <c r="SED54" i="8"/>
  <c r="SEC54" i="8"/>
  <c r="SEB54" i="8"/>
  <c r="SEA54" i="8"/>
  <c r="SDZ54" i="8"/>
  <c r="SDY54" i="8"/>
  <c r="SDX54" i="8"/>
  <c r="SDW54" i="8"/>
  <c r="SDV54" i="8"/>
  <c r="SDU54" i="8"/>
  <c r="SDT54" i="8"/>
  <c r="SDS54" i="8"/>
  <c r="SDR54" i="8"/>
  <c r="SDQ54" i="8"/>
  <c r="SDP54" i="8"/>
  <c r="SDO54" i="8"/>
  <c r="SDN54" i="8"/>
  <c r="SDM54" i="8"/>
  <c r="SDL54" i="8"/>
  <c r="SDK54" i="8"/>
  <c r="SDJ54" i="8"/>
  <c r="SDI54" i="8"/>
  <c r="SDH54" i="8"/>
  <c r="SDG54" i="8"/>
  <c r="SDF54" i="8"/>
  <c r="SDE54" i="8"/>
  <c r="SDD54" i="8"/>
  <c r="SDC54" i="8"/>
  <c r="SDB54" i="8"/>
  <c r="SDA54" i="8"/>
  <c r="SCZ54" i="8"/>
  <c r="SCY54" i="8"/>
  <c r="SCX54" i="8"/>
  <c r="SCW54" i="8"/>
  <c r="SCV54" i="8"/>
  <c r="SCU54" i="8"/>
  <c r="SCT54" i="8"/>
  <c r="SCS54" i="8"/>
  <c r="SCR54" i="8"/>
  <c r="SCQ54" i="8"/>
  <c r="SCP54" i="8"/>
  <c r="SCO54" i="8"/>
  <c r="SCN54" i="8"/>
  <c r="SCM54" i="8"/>
  <c r="SCL54" i="8"/>
  <c r="SCK54" i="8"/>
  <c r="SCJ54" i="8"/>
  <c r="SCI54" i="8"/>
  <c r="SCH54" i="8"/>
  <c r="SCG54" i="8"/>
  <c r="SCF54" i="8"/>
  <c r="SCE54" i="8"/>
  <c r="SCD54" i="8"/>
  <c r="SCC54" i="8"/>
  <c r="SCB54" i="8"/>
  <c r="SCA54" i="8"/>
  <c r="SBZ54" i="8"/>
  <c r="SBY54" i="8"/>
  <c r="SBX54" i="8"/>
  <c r="SBW54" i="8"/>
  <c r="SBV54" i="8"/>
  <c r="SBU54" i="8"/>
  <c r="SBT54" i="8"/>
  <c r="SBS54" i="8"/>
  <c r="SBR54" i="8"/>
  <c r="SBQ54" i="8"/>
  <c r="SBP54" i="8"/>
  <c r="SBO54" i="8"/>
  <c r="SBN54" i="8"/>
  <c r="SBM54" i="8"/>
  <c r="SBL54" i="8"/>
  <c r="SBK54" i="8"/>
  <c r="SBJ54" i="8"/>
  <c r="SBI54" i="8"/>
  <c r="SBH54" i="8"/>
  <c r="SBG54" i="8"/>
  <c r="SBF54" i="8"/>
  <c r="SBE54" i="8"/>
  <c r="SBD54" i="8"/>
  <c r="SBC54" i="8"/>
  <c r="SBB54" i="8"/>
  <c r="SBA54" i="8"/>
  <c r="SAZ54" i="8"/>
  <c r="SAY54" i="8"/>
  <c r="SAX54" i="8"/>
  <c r="SAW54" i="8"/>
  <c r="SAV54" i="8"/>
  <c r="SAU54" i="8"/>
  <c r="SAT54" i="8"/>
  <c r="SAS54" i="8"/>
  <c r="SAR54" i="8"/>
  <c r="SAQ54" i="8"/>
  <c r="SAP54" i="8"/>
  <c r="SAO54" i="8"/>
  <c r="SAN54" i="8"/>
  <c r="SAM54" i="8"/>
  <c r="SAL54" i="8"/>
  <c r="SAK54" i="8"/>
  <c r="SAJ54" i="8"/>
  <c r="SAI54" i="8"/>
  <c r="SAH54" i="8"/>
  <c r="SAG54" i="8"/>
  <c r="SAF54" i="8"/>
  <c r="SAE54" i="8"/>
  <c r="SAD54" i="8"/>
  <c r="SAC54" i="8"/>
  <c r="SAB54" i="8"/>
  <c r="SAA54" i="8"/>
  <c r="RZZ54" i="8"/>
  <c r="RZY54" i="8"/>
  <c r="RZX54" i="8"/>
  <c r="RZW54" i="8"/>
  <c r="RZV54" i="8"/>
  <c r="RZU54" i="8"/>
  <c r="RZT54" i="8"/>
  <c r="RZS54" i="8"/>
  <c r="RZR54" i="8"/>
  <c r="RZQ54" i="8"/>
  <c r="RZP54" i="8"/>
  <c r="RZO54" i="8"/>
  <c r="RZN54" i="8"/>
  <c r="RZM54" i="8"/>
  <c r="RZL54" i="8"/>
  <c r="RZK54" i="8"/>
  <c r="RZJ54" i="8"/>
  <c r="RZI54" i="8"/>
  <c r="RZH54" i="8"/>
  <c r="RZG54" i="8"/>
  <c r="RZF54" i="8"/>
  <c r="RZE54" i="8"/>
  <c r="RZD54" i="8"/>
  <c r="RZC54" i="8"/>
  <c r="RZB54" i="8"/>
  <c r="RZA54" i="8"/>
  <c r="RYZ54" i="8"/>
  <c r="RYY54" i="8"/>
  <c r="RYX54" i="8"/>
  <c r="RYW54" i="8"/>
  <c r="RYV54" i="8"/>
  <c r="RYU54" i="8"/>
  <c r="RYT54" i="8"/>
  <c r="RYS54" i="8"/>
  <c r="RYR54" i="8"/>
  <c r="RYQ54" i="8"/>
  <c r="RYP54" i="8"/>
  <c r="RYO54" i="8"/>
  <c r="RYN54" i="8"/>
  <c r="RYM54" i="8"/>
  <c r="RYL54" i="8"/>
  <c r="RYK54" i="8"/>
  <c r="RYJ54" i="8"/>
  <c r="RYI54" i="8"/>
  <c r="RYH54" i="8"/>
  <c r="RYG54" i="8"/>
  <c r="RYF54" i="8"/>
  <c r="RYE54" i="8"/>
  <c r="RYD54" i="8"/>
  <c r="RYC54" i="8"/>
  <c r="RYB54" i="8"/>
  <c r="RYA54" i="8"/>
  <c r="RXZ54" i="8"/>
  <c r="RXY54" i="8"/>
  <c r="RXX54" i="8"/>
  <c r="RXW54" i="8"/>
  <c r="RXV54" i="8"/>
  <c r="RXU54" i="8"/>
  <c r="RXT54" i="8"/>
  <c r="RXS54" i="8"/>
  <c r="RXR54" i="8"/>
  <c r="RXQ54" i="8"/>
  <c r="RXP54" i="8"/>
  <c r="RXO54" i="8"/>
  <c r="RXN54" i="8"/>
  <c r="RXM54" i="8"/>
  <c r="RXL54" i="8"/>
  <c r="RXK54" i="8"/>
  <c r="RXJ54" i="8"/>
  <c r="RXI54" i="8"/>
  <c r="RXH54" i="8"/>
  <c r="RXG54" i="8"/>
  <c r="RXF54" i="8"/>
  <c r="RXE54" i="8"/>
  <c r="RXD54" i="8"/>
  <c r="RXC54" i="8"/>
  <c r="RXB54" i="8"/>
  <c r="RXA54" i="8"/>
  <c r="RWZ54" i="8"/>
  <c r="RWY54" i="8"/>
  <c r="RWX54" i="8"/>
  <c r="RWW54" i="8"/>
  <c r="RWV54" i="8"/>
  <c r="RWU54" i="8"/>
  <c r="RWT54" i="8"/>
  <c r="RWS54" i="8"/>
  <c r="RWR54" i="8"/>
  <c r="RWQ54" i="8"/>
  <c r="RWP54" i="8"/>
  <c r="RWO54" i="8"/>
  <c r="RWN54" i="8"/>
  <c r="RWM54" i="8"/>
  <c r="RWL54" i="8"/>
  <c r="RWK54" i="8"/>
  <c r="RWJ54" i="8"/>
  <c r="RWI54" i="8"/>
  <c r="RWH54" i="8"/>
  <c r="RWG54" i="8"/>
  <c r="RWF54" i="8"/>
  <c r="RWE54" i="8"/>
  <c r="RWD54" i="8"/>
  <c r="RWC54" i="8"/>
  <c r="RWB54" i="8"/>
  <c r="RWA54" i="8"/>
  <c r="RVZ54" i="8"/>
  <c r="RVY54" i="8"/>
  <c r="RVX54" i="8"/>
  <c r="RVW54" i="8"/>
  <c r="RVV54" i="8"/>
  <c r="RVU54" i="8"/>
  <c r="RVT54" i="8"/>
  <c r="RVS54" i="8"/>
  <c r="RVR54" i="8"/>
  <c r="RVQ54" i="8"/>
  <c r="RVP54" i="8"/>
  <c r="RVO54" i="8"/>
  <c r="RVN54" i="8"/>
  <c r="RVM54" i="8"/>
  <c r="RVL54" i="8"/>
  <c r="RVK54" i="8"/>
  <c r="RVJ54" i="8"/>
  <c r="RVI54" i="8"/>
  <c r="RVH54" i="8"/>
  <c r="RVG54" i="8"/>
  <c r="RVF54" i="8"/>
  <c r="RVE54" i="8"/>
  <c r="RVD54" i="8"/>
  <c r="RVC54" i="8"/>
  <c r="RVB54" i="8"/>
  <c r="RVA54" i="8"/>
  <c r="RUZ54" i="8"/>
  <c r="RUY54" i="8"/>
  <c r="RUX54" i="8"/>
  <c r="RUW54" i="8"/>
  <c r="RUV54" i="8"/>
  <c r="RUU54" i="8"/>
  <c r="RUT54" i="8"/>
  <c r="RUS54" i="8"/>
  <c r="RUR54" i="8"/>
  <c r="RUQ54" i="8"/>
  <c r="RUP54" i="8"/>
  <c r="RUO54" i="8"/>
  <c r="RUN54" i="8"/>
  <c r="RUM54" i="8"/>
  <c r="RUL54" i="8"/>
  <c r="RUK54" i="8"/>
  <c r="RUJ54" i="8"/>
  <c r="RUI54" i="8"/>
  <c r="RUH54" i="8"/>
  <c r="RUG54" i="8"/>
  <c r="RUF54" i="8"/>
  <c r="RUE54" i="8"/>
  <c r="RUD54" i="8"/>
  <c r="RUC54" i="8"/>
  <c r="RUB54" i="8"/>
  <c r="RUA54" i="8"/>
  <c r="RTZ54" i="8"/>
  <c r="RTY54" i="8"/>
  <c r="RTX54" i="8"/>
  <c r="RTW54" i="8"/>
  <c r="RTV54" i="8"/>
  <c r="RTU54" i="8"/>
  <c r="RTT54" i="8"/>
  <c r="RTS54" i="8"/>
  <c r="RTR54" i="8"/>
  <c r="RTQ54" i="8"/>
  <c r="RTP54" i="8"/>
  <c r="RTO54" i="8"/>
  <c r="RTN54" i="8"/>
  <c r="RTM54" i="8"/>
  <c r="RTL54" i="8"/>
  <c r="RTK54" i="8"/>
  <c r="RTJ54" i="8"/>
  <c r="RTI54" i="8"/>
  <c r="RTH54" i="8"/>
  <c r="RTG54" i="8"/>
  <c r="RTF54" i="8"/>
  <c r="RTE54" i="8"/>
  <c r="RTD54" i="8"/>
  <c r="RTC54" i="8"/>
  <c r="RTB54" i="8"/>
  <c r="RTA54" i="8"/>
  <c r="RSZ54" i="8"/>
  <c r="RSY54" i="8"/>
  <c r="RSX54" i="8"/>
  <c r="RSW54" i="8"/>
  <c r="RSV54" i="8"/>
  <c r="RSU54" i="8"/>
  <c r="RST54" i="8"/>
  <c r="RSS54" i="8"/>
  <c r="RSR54" i="8"/>
  <c r="RSQ54" i="8"/>
  <c r="RSP54" i="8"/>
  <c r="RSO54" i="8"/>
  <c r="RSN54" i="8"/>
  <c r="RSM54" i="8"/>
  <c r="RSL54" i="8"/>
  <c r="RSK54" i="8"/>
  <c r="RSJ54" i="8"/>
  <c r="RSI54" i="8"/>
  <c r="RSH54" i="8"/>
  <c r="RSG54" i="8"/>
  <c r="RSF54" i="8"/>
  <c r="RSE54" i="8"/>
  <c r="RSD54" i="8"/>
  <c r="RSC54" i="8"/>
  <c r="RSB54" i="8"/>
  <c r="RSA54" i="8"/>
  <c r="RRZ54" i="8"/>
  <c r="RRY54" i="8"/>
  <c r="RRX54" i="8"/>
  <c r="RRW54" i="8"/>
  <c r="RRV54" i="8"/>
  <c r="RRU54" i="8"/>
  <c r="RRT54" i="8"/>
  <c r="RRS54" i="8"/>
  <c r="RRR54" i="8"/>
  <c r="RRQ54" i="8"/>
  <c r="RRP54" i="8"/>
  <c r="RRO54" i="8"/>
  <c r="RRN54" i="8"/>
  <c r="RRM54" i="8"/>
  <c r="RRL54" i="8"/>
  <c r="RRK54" i="8"/>
  <c r="RRJ54" i="8"/>
  <c r="RRI54" i="8"/>
  <c r="RRH54" i="8"/>
  <c r="RRG54" i="8"/>
  <c r="RRF54" i="8"/>
  <c r="RRE54" i="8"/>
  <c r="RRD54" i="8"/>
  <c r="RRC54" i="8"/>
  <c r="RRB54" i="8"/>
  <c r="RRA54" i="8"/>
  <c r="RQZ54" i="8"/>
  <c r="RQY54" i="8"/>
  <c r="RQX54" i="8"/>
  <c r="RQW54" i="8"/>
  <c r="RQV54" i="8"/>
  <c r="RQU54" i="8"/>
  <c r="RQT54" i="8"/>
  <c r="RQS54" i="8"/>
  <c r="RQR54" i="8"/>
  <c r="RQQ54" i="8"/>
  <c r="RQP54" i="8"/>
  <c r="RQO54" i="8"/>
  <c r="RQN54" i="8"/>
  <c r="RQM54" i="8"/>
  <c r="RQL54" i="8"/>
  <c r="RQK54" i="8"/>
  <c r="RQJ54" i="8"/>
  <c r="RQI54" i="8"/>
  <c r="RQH54" i="8"/>
  <c r="RQG54" i="8"/>
  <c r="RQF54" i="8"/>
  <c r="RQE54" i="8"/>
  <c r="RQD54" i="8"/>
  <c r="RQC54" i="8"/>
  <c r="RQB54" i="8"/>
  <c r="RQA54" i="8"/>
  <c r="RPZ54" i="8"/>
  <c r="RPY54" i="8"/>
  <c r="RPX54" i="8"/>
  <c r="RPW54" i="8"/>
  <c r="RPV54" i="8"/>
  <c r="RPU54" i="8"/>
  <c r="RPT54" i="8"/>
  <c r="RPS54" i="8"/>
  <c r="RPR54" i="8"/>
  <c r="RPQ54" i="8"/>
  <c r="RPP54" i="8"/>
  <c r="RPO54" i="8"/>
  <c r="RPN54" i="8"/>
  <c r="RPM54" i="8"/>
  <c r="RPL54" i="8"/>
  <c r="RPK54" i="8"/>
  <c r="RPJ54" i="8"/>
  <c r="RPI54" i="8"/>
  <c r="RPH54" i="8"/>
  <c r="RPG54" i="8"/>
  <c r="RPF54" i="8"/>
  <c r="RPE54" i="8"/>
  <c r="RPD54" i="8"/>
  <c r="RPC54" i="8"/>
  <c r="RPB54" i="8"/>
  <c r="RPA54" i="8"/>
  <c r="ROZ54" i="8"/>
  <c r="ROY54" i="8"/>
  <c r="ROX54" i="8"/>
  <c r="ROW54" i="8"/>
  <c r="ROV54" i="8"/>
  <c r="ROU54" i="8"/>
  <c r="ROT54" i="8"/>
  <c r="ROS54" i="8"/>
  <c r="ROR54" i="8"/>
  <c r="ROQ54" i="8"/>
  <c r="ROP54" i="8"/>
  <c r="ROO54" i="8"/>
  <c r="RON54" i="8"/>
  <c r="ROM54" i="8"/>
  <c r="ROL54" i="8"/>
  <c r="ROK54" i="8"/>
  <c r="ROJ54" i="8"/>
  <c r="ROI54" i="8"/>
  <c r="ROH54" i="8"/>
  <c r="ROG54" i="8"/>
  <c r="ROF54" i="8"/>
  <c r="ROE54" i="8"/>
  <c r="ROD54" i="8"/>
  <c r="ROC54" i="8"/>
  <c r="ROB54" i="8"/>
  <c r="ROA54" i="8"/>
  <c r="RNZ54" i="8"/>
  <c r="RNY54" i="8"/>
  <c r="RNX54" i="8"/>
  <c r="RNW54" i="8"/>
  <c r="RNV54" i="8"/>
  <c r="RNU54" i="8"/>
  <c r="RNT54" i="8"/>
  <c r="RNS54" i="8"/>
  <c r="RNR54" i="8"/>
  <c r="RNQ54" i="8"/>
  <c r="RNP54" i="8"/>
  <c r="RNO54" i="8"/>
  <c r="RNN54" i="8"/>
  <c r="RNM54" i="8"/>
  <c r="RNL54" i="8"/>
  <c r="RNK54" i="8"/>
  <c r="RNJ54" i="8"/>
  <c r="RNI54" i="8"/>
  <c r="RNH54" i="8"/>
  <c r="RNG54" i="8"/>
  <c r="RNF54" i="8"/>
  <c r="RNE54" i="8"/>
  <c r="RND54" i="8"/>
  <c r="RNC54" i="8"/>
  <c r="RNB54" i="8"/>
  <c r="RNA54" i="8"/>
  <c r="RMZ54" i="8"/>
  <c r="RMY54" i="8"/>
  <c r="RMX54" i="8"/>
  <c r="RMW54" i="8"/>
  <c r="RMV54" i="8"/>
  <c r="RMU54" i="8"/>
  <c r="RMT54" i="8"/>
  <c r="RMS54" i="8"/>
  <c r="RMR54" i="8"/>
  <c r="RMQ54" i="8"/>
  <c r="RMP54" i="8"/>
  <c r="RMO54" i="8"/>
  <c r="RMN54" i="8"/>
  <c r="RMM54" i="8"/>
  <c r="RML54" i="8"/>
  <c r="RMK54" i="8"/>
  <c r="RMJ54" i="8"/>
  <c r="RMI54" i="8"/>
  <c r="RMH54" i="8"/>
  <c r="RMG54" i="8"/>
  <c r="RMF54" i="8"/>
  <c r="RME54" i="8"/>
  <c r="RMD54" i="8"/>
  <c r="RMC54" i="8"/>
  <c r="RMB54" i="8"/>
  <c r="RMA54" i="8"/>
  <c r="RLZ54" i="8"/>
  <c r="RLY54" i="8"/>
  <c r="RLX54" i="8"/>
  <c r="RLW54" i="8"/>
  <c r="RLV54" i="8"/>
  <c r="RLU54" i="8"/>
  <c r="RLT54" i="8"/>
  <c r="RLS54" i="8"/>
  <c r="RLR54" i="8"/>
  <c r="RLQ54" i="8"/>
  <c r="RLP54" i="8"/>
  <c r="RLO54" i="8"/>
  <c r="RLN54" i="8"/>
  <c r="RLM54" i="8"/>
  <c r="RLL54" i="8"/>
  <c r="RLK54" i="8"/>
  <c r="RLJ54" i="8"/>
  <c r="RLI54" i="8"/>
  <c r="RLH54" i="8"/>
  <c r="RLG54" i="8"/>
  <c r="RLF54" i="8"/>
  <c r="RLE54" i="8"/>
  <c r="RLD54" i="8"/>
  <c r="RLC54" i="8"/>
  <c r="RLB54" i="8"/>
  <c r="RLA54" i="8"/>
  <c r="RKZ54" i="8"/>
  <c r="RKY54" i="8"/>
  <c r="RKX54" i="8"/>
  <c r="RKW54" i="8"/>
  <c r="RKV54" i="8"/>
  <c r="RKU54" i="8"/>
  <c r="RKT54" i="8"/>
  <c r="RKS54" i="8"/>
  <c r="RKR54" i="8"/>
  <c r="RKQ54" i="8"/>
  <c r="RKP54" i="8"/>
  <c r="RKO54" i="8"/>
  <c r="RKN54" i="8"/>
  <c r="RKM54" i="8"/>
  <c r="RKL54" i="8"/>
  <c r="RKK54" i="8"/>
  <c r="RKJ54" i="8"/>
  <c r="RKI54" i="8"/>
  <c r="RKH54" i="8"/>
  <c r="RKG54" i="8"/>
  <c r="RKF54" i="8"/>
  <c r="RKE54" i="8"/>
  <c r="RKD54" i="8"/>
  <c r="RKC54" i="8"/>
  <c r="RKB54" i="8"/>
  <c r="RKA54" i="8"/>
  <c r="RJZ54" i="8"/>
  <c r="RJY54" i="8"/>
  <c r="RJX54" i="8"/>
  <c r="RJW54" i="8"/>
  <c r="RJV54" i="8"/>
  <c r="RJU54" i="8"/>
  <c r="RJT54" i="8"/>
  <c r="RJS54" i="8"/>
  <c r="RJR54" i="8"/>
  <c r="RJQ54" i="8"/>
  <c r="RJP54" i="8"/>
  <c r="RJO54" i="8"/>
  <c r="RJN54" i="8"/>
  <c r="RJM54" i="8"/>
  <c r="RJL54" i="8"/>
  <c r="RJK54" i="8"/>
  <c r="RJJ54" i="8"/>
  <c r="RJI54" i="8"/>
  <c r="RJH54" i="8"/>
  <c r="RJG54" i="8"/>
  <c r="RJF54" i="8"/>
  <c r="RJE54" i="8"/>
  <c r="RJD54" i="8"/>
  <c r="RJC54" i="8"/>
  <c r="RJB54" i="8"/>
  <c r="RJA54" i="8"/>
  <c r="RIZ54" i="8"/>
  <c r="RIY54" i="8"/>
  <c r="RIX54" i="8"/>
  <c r="RIW54" i="8"/>
  <c r="RIV54" i="8"/>
  <c r="RIU54" i="8"/>
  <c r="RIT54" i="8"/>
  <c r="RIS54" i="8"/>
  <c r="RIR54" i="8"/>
  <c r="RIQ54" i="8"/>
  <c r="RIP54" i="8"/>
  <c r="RIO54" i="8"/>
  <c r="RIN54" i="8"/>
  <c r="RIM54" i="8"/>
  <c r="RIL54" i="8"/>
  <c r="RIK54" i="8"/>
  <c r="RIJ54" i="8"/>
  <c r="RII54" i="8"/>
  <c r="RIH54" i="8"/>
  <c r="RIG54" i="8"/>
  <c r="RIF54" i="8"/>
  <c r="RIE54" i="8"/>
  <c r="RID54" i="8"/>
  <c r="RIC54" i="8"/>
  <c r="RIB54" i="8"/>
  <c r="RIA54" i="8"/>
  <c r="RHZ54" i="8"/>
  <c r="RHY54" i="8"/>
  <c r="RHX54" i="8"/>
  <c r="RHW54" i="8"/>
  <c r="RHV54" i="8"/>
  <c r="RHU54" i="8"/>
  <c r="RHT54" i="8"/>
  <c r="RHS54" i="8"/>
  <c r="RHR54" i="8"/>
  <c r="RHQ54" i="8"/>
  <c r="RHP54" i="8"/>
  <c r="RHO54" i="8"/>
  <c r="RHN54" i="8"/>
  <c r="RHM54" i="8"/>
  <c r="RHL54" i="8"/>
  <c r="RHK54" i="8"/>
  <c r="RHJ54" i="8"/>
  <c r="RHI54" i="8"/>
  <c r="RHH54" i="8"/>
  <c r="RHG54" i="8"/>
  <c r="RHF54" i="8"/>
  <c r="RHE54" i="8"/>
  <c r="RHD54" i="8"/>
  <c r="RHC54" i="8"/>
  <c r="RHB54" i="8"/>
  <c r="RHA54" i="8"/>
  <c r="RGZ54" i="8"/>
  <c r="RGY54" i="8"/>
  <c r="RGX54" i="8"/>
  <c r="RGW54" i="8"/>
  <c r="RGV54" i="8"/>
  <c r="RGU54" i="8"/>
  <c r="RGT54" i="8"/>
  <c r="RGS54" i="8"/>
  <c r="RGR54" i="8"/>
  <c r="RGQ54" i="8"/>
  <c r="RGP54" i="8"/>
  <c r="RGO54" i="8"/>
  <c r="RGN54" i="8"/>
  <c r="RGM54" i="8"/>
  <c r="RGL54" i="8"/>
  <c r="RGK54" i="8"/>
  <c r="RGJ54" i="8"/>
  <c r="RGI54" i="8"/>
  <c r="RGH54" i="8"/>
  <c r="RGG54" i="8"/>
  <c r="RGF54" i="8"/>
  <c r="RGE54" i="8"/>
  <c r="RGD54" i="8"/>
  <c r="RGC54" i="8"/>
  <c r="RGB54" i="8"/>
  <c r="RGA54" i="8"/>
  <c r="RFZ54" i="8"/>
  <c r="RFY54" i="8"/>
  <c r="RFX54" i="8"/>
  <c r="RFW54" i="8"/>
  <c r="RFV54" i="8"/>
  <c r="RFU54" i="8"/>
  <c r="RFT54" i="8"/>
  <c r="RFS54" i="8"/>
  <c r="RFR54" i="8"/>
  <c r="RFQ54" i="8"/>
  <c r="RFP54" i="8"/>
  <c r="RFO54" i="8"/>
  <c r="RFN54" i="8"/>
  <c r="RFM54" i="8"/>
  <c r="RFL54" i="8"/>
  <c r="RFK54" i="8"/>
  <c r="RFJ54" i="8"/>
  <c r="RFI54" i="8"/>
  <c r="RFH54" i="8"/>
  <c r="RFG54" i="8"/>
  <c r="RFF54" i="8"/>
  <c r="RFE54" i="8"/>
  <c r="RFD54" i="8"/>
  <c r="RFC54" i="8"/>
  <c r="RFB54" i="8"/>
  <c r="RFA54" i="8"/>
  <c r="REZ54" i="8"/>
  <c r="REY54" i="8"/>
  <c r="REX54" i="8"/>
  <c r="REW54" i="8"/>
  <c r="REV54" i="8"/>
  <c r="REU54" i="8"/>
  <c r="RET54" i="8"/>
  <c r="RES54" i="8"/>
  <c r="RER54" i="8"/>
  <c r="REQ54" i="8"/>
  <c r="REP54" i="8"/>
  <c r="REO54" i="8"/>
  <c r="REN54" i="8"/>
  <c r="REM54" i="8"/>
  <c r="REL54" i="8"/>
  <c r="REK54" i="8"/>
  <c r="REJ54" i="8"/>
  <c r="REI54" i="8"/>
  <c r="REH54" i="8"/>
  <c r="REG54" i="8"/>
  <c r="REF54" i="8"/>
  <c r="REE54" i="8"/>
  <c r="RED54" i="8"/>
  <c r="REC54" i="8"/>
  <c r="REB54" i="8"/>
  <c r="REA54" i="8"/>
  <c r="RDZ54" i="8"/>
  <c r="RDY54" i="8"/>
  <c r="RDX54" i="8"/>
  <c r="RDW54" i="8"/>
  <c r="RDV54" i="8"/>
  <c r="RDU54" i="8"/>
  <c r="RDT54" i="8"/>
  <c r="RDS54" i="8"/>
  <c r="RDR54" i="8"/>
  <c r="RDQ54" i="8"/>
  <c r="RDP54" i="8"/>
  <c r="RDO54" i="8"/>
  <c r="RDN54" i="8"/>
  <c r="RDM54" i="8"/>
  <c r="RDL54" i="8"/>
  <c r="RDK54" i="8"/>
  <c r="RDJ54" i="8"/>
  <c r="RDI54" i="8"/>
  <c r="RDH54" i="8"/>
  <c r="RDG54" i="8"/>
  <c r="RDF54" i="8"/>
  <c r="RDE54" i="8"/>
  <c r="RDD54" i="8"/>
  <c r="RDC54" i="8"/>
  <c r="RDB54" i="8"/>
  <c r="RDA54" i="8"/>
  <c r="RCZ54" i="8"/>
  <c r="RCY54" i="8"/>
  <c r="RCX54" i="8"/>
  <c r="RCW54" i="8"/>
  <c r="RCV54" i="8"/>
  <c r="RCU54" i="8"/>
  <c r="RCT54" i="8"/>
  <c r="RCS54" i="8"/>
  <c r="RCR54" i="8"/>
  <c r="RCQ54" i="8"/>
  <c r="RCP54" i="8"/>
  <c r="RCO54" i="8"/>
  <c r="RCN54" i="8"/>
  <c r="RCM54" i="8"/>
  <c r="RCL54" i="8"/>
  <c r="RCK54" i="8"/>
  <c r="RCJ54" i="8"/>
  <c r="RCI54" i="8"/>
  <c r="RCH54" i="8"/>
  <c r="RCG54" i="8"/>
  <c r="RCF54" i="8"/>
  <c r="RCE54" i="8"/>
  <c r="RCD54" i="8"/>
  <c r="RCC54" i="8"/>
  <c r="RCB54" i="8"/>
  <c r="RCA54" i="8"/>
  <c r="RBZ54" i="8"/>
  <c r="RBY54" i="8"/>
  <c r="RBX54" i="8"/>
  <c r="RBW54" i="8"/>
  <c r="RBV54" i="8"/>
  <c r="RBU54" i="8"/>
  <c r="RBT54" i="8"/>
  <c r="RBS54" i="8"/>
  <c r="RBR54" i="8"/>
  <c r="RBQ54" i="8"/>
  <c r="RBP54" i="8"/>
  <c r="RBO54" i="8"/>
  <c r="RBN54" i="8"/>
  <c r="RBM54" i="8"/>
  <c r="RBL54" i="8"/>
  <c r="RBK54" i="8"/>
  <c r="RBJ54" i="8"/>
  <c r="RBI54" i="8"/>
  <c r="RBH54" i="8"/>
  <c r="RBG54" i="8"/>
  <c r="RBF54" i="8"/>
  <c r="RBE54" i="8"/>
  <c r="RBD54" i="8"/>
  <c r="RBC54" i="8"/>
  <c r="RBB54" i="8"/>
  <c r="RBA54" i="8"/>
  <c r="RAZ54" i="8"/>
  <c r="RAY54" i="8"/>
  <c r="RAX54" i="8"/>
  <c r="RAW54" i="8"/>
  <c r="RAV54" i="8"/>
  <c r="RAU54" i="8"/>
  <c r="RAT54" i="8"/>
  <c r="RAS54" i="8"/>
  <c r="RAR54" i="8"/>
  <c r="RAQ54" i="8"/>
  <c r="RAP54" i="8"/>
  <c r="RAO54" i="8"/>
  <c r="RAN54" i="8"/>
  <c r="RAM54" i="8"/>
  <c r="RAL54" i="8"/>
  <c r="RAK54" i="8"/>
  <c r="RAJ54" i="8"/>
  <c r="RAI54" i="8"/>
  <c r="RAH54" i="8"/>
  <c r="RAG54" i="8"/>
  <c r="RAF54" i="8"/>
  <c r="RAE54" i="8"/>
  <c r="RAD54" i="8"/>
  <c r="RAC54" i="8"/>
  <c r="RAB54" i="8"/>
  <c r="RAA54" i="8"/>
  <c r="QZZ54" i="8"/>
  <c r="QZY54" i="8"/>
  <c r="QZX54" i="8"/>
  <c r="QZW54" i="8"/>
  <c r="QZV54" i="8"/>
  <c r="QZU54" i="8"/>
  <c r="QZT54" i="8"/>
  <c r="QZS54" i="8"/>
  <c r="QZR54" i="8"/>
  <c r="QZQ54" i="8"/>
  <c r="QZP54" i="8"/>
  <c r="QZO54" i="8"/>
  <c r="QZN54" i="8"/>
  <c r="QZM54" i="8"/>
  <c r="QZL54" i="8"/>
  <c r="QZK54" i="8"/>
  <c r="QZJ54" i="8"/>
  <c r="QZI54" i="8"/>
  <c r="QZH54" i="8"/>
  <c r="QZG54" i="8"/>
  <c r="QZF54" i="8"/>
  <c r="QZE54" i="8"/>
  <c r="QZD54" i="8"/>
  <c r="QZC54" i="8"/>
  <c r="QZB54" i="8"/>
  <c r="QZA54" i="8"/>
  <c r="QYZ54" i="8"/>
  <c r="QYY54" i="8"/>
  <c r="QYX54" i="8"/>
  <c r="QYW54" i="8"/>
  <c r="QYV54" i="8"/>
  <c r="QYU54" i="8"/>
  <c r="QYT54" i="8"/>
  <c r="QYS54" i="8"/>
  <c r="QYR54" i="8"/>
  <c r="QYQ54" i="8"/>
  <c r="QYP54" i="8"/>
  <c r="QYO54" i="8"/>
  <c r="QYN54" i="8"/>
  <c r="QYM54" i="8"/>
  <c r="QYL54" i="8"/>
  <c r="QYK54" i="8"/>
  <c r="QYJ54" i="8"/>
  <c r="QYI54" i="8"/>
  <c r="QYH54" i="8"/>
  <c r="QYG54" i="8"/>
  <c r="QYF54" i="8"/>
  <c r="QYE54" i="8"/>
  <c r="QYD54" i="8"/>
  <c r="QYC54" i="8"/>
  <c r="QYB54" i="8"/>
  <c r="QYA54" i="8"/>
  <c r="QXZ54" i="8"/>
  <c r="QXY54" i="8"/>
  <c r="QXX54" i="8"/>
  <c r="QXW54" i="8"/>
  <c r="QXV54" i="8"/>
  <c r="QXU54" i="8"/>
  <c r="QXT54" i="8"/>
  <c r="QXS54" i="8"/>
  <c r="QXR54" i="8"/>
  <c r="QXQ54" i="8"/>
  <c r="QXP54" i="8"/>
  <c r="QXO54" i="8"/>
  <c r="QXN54" i="8"/>
  <c r="QXM54" i="8"/>
  <c r="QXL54" i="8"/>
  <c r="QXK54" i="8"/>
  <c r="QXJ54" i="8"/>
  <c r="QXI54" i="8"/>
  <c r="QXH54" i="8"/>
  <c r="QXG54" i="8"/>
  <c r="QXF54" i="8"/>
  <c r="QXE54" i="8"/>
  <c r="QXD54" i="8"/>
  <c r="QXC54" i="8"/>
  <c r="QXB54" i="8"/>
  <c r="QXA54" i="8"/>
  <c r="QWZ54" i="8"/>
  <c r="QWY54" i="8"/>
  <c r="QWX54" i="8"/>
  <c r="QWW54" i="8"/>
  <c r="QWV54" i="8"/>
  <c r="QWU54" i="8"/>
  <c r="QWT54" i="8"/>
  <c r="QWS54" i="8"/>
  <c r="QWR54" i="8"/>
  <c r="QWQ54" i="8"/>
  <c r="QWP54" i="8"/>
  <c r="QWO54" i="8"/>
  <c r="QWN54" i="8"/>
  <c r="QWM54" i="8"/>
  <c r="QWL54" i="8"/>
  <c r="QWK54" i="8"/>
  <c r="QWJ54" i="8"/>
  <c r="QWI54" i="8"/>
  <c r="QWH54" i="8"/>
  <c r="QWG54" i="8"/>
  <c r="QWF54" i="8"/>
  <c r="QWE54" i="8"/>
  <c r="QWD54" i="8"/>
  <c r="QWC54" i="8"/>
  <c r="QWB54" i="8"/>
  <c r="QWA54" i="8"/>
  <c r="QVZ54" i="8"/>
  <c r="QVY54" i="8"/>
  <c r="QVX54" i="8"/>
  <c r="QVW54" i="8"/>
  <c r="QVV54" i="8"/>
  <c r="QVU54" i="8"/>
  <c r="QVT54" i="8"/>
  <c r="QVS54" i="8"/>
  <c r="QVR54" i="8"/>
  <c r="QVQ54" i="8"/>
  <c r="QVP54" i="8"/>
  <c r="QVO54" i="8"/>
  <c r="QVN54" i="8"/>
  <c r="QVM54" i="8"/>
  <c r="QVL54" i="8"/>
  <c r="QVK54" i="8"/>
  <c r="QVJ54" i="8"/>
  <c r="QVI54" i="8"/>
  <c r="QVH54" i="8"/>
  <c r="QVG54" i="8"/>
  <c r="QVF54" i="8"/>
  <c r="QVE54" i="8"/>
  <c r="QVD54" i="8"/>
  <c r="QVC54" i="8"/>
  <c r="QVB54" i="8"/>
  <c r="QVA54" i="8"/>
  <c r="QUZ54" i="8"/>
  <c r="QUY54" i="8"/>
  <c r="QUX54" i="8"/>
  <c r="QUW54" i="8"/>
  <c r="QUV54" i="8"/>
  <c r="QUU54" i="8"/>
  <c r="QUT54" i="8"/>
  <c r="QUS54" i="8"/>
  <c r="QUR54" i="8"/>
  <c r="QUQ54" i="8"/>
  <c r="QUP54" i="8"/>
  <c r="QUO54" i="8"/>
  <c r="QUN54" i="8"/>
  <c r="QUM54" i="8"/>
  <c r="QUL54" i="8"/>
  <c r="QUK54" i="8"/>
  <c r="QUJ54" i="8"/>
  <c r="QUI54" i="8"/>
  <c r="QUH54" i="8"/>
  <c r="QUG54" i="8"/>
  <c r="QUF54" i="8"/>
  <c r="QUE54" i="8"/>
  <c r="QUD54" i="8"/>
  <c r="QUC54" i="8"/>
  <c r="QUB54" i="8"/>
  <c r="QUA54" i="8"/>
  <c r="QTZ54" i="8"/>
  <c r="QTY54" i="8"/>
  <c r="QTX54" i="8"/>
  <c r="QTW54" i="8"/>
  <c r="QTV54" i="8"/>
  <c r="QTU54" i="8"/>
  <c r="QTT54" i="8"/>
  <c r="QTS54" i="8"/>
  <c r="QTR54" i="8"/>
  <c r="QTQ54" i="8"/>
  <c r="QTP54" i="8"/>
  <c r="QTO54" i="8"/>
  <c r="QTN54" i="8"/>
  <c r="QTM54" i="8"/>
  <c r="QTL54" i="8"/>
  <c r="QTK54" i="8"/>
  <c r="QTJ54" i="8"/>
  <c r="QTI54" i="8"/>
  <c r="QTH54" i="8"/>
  <c r="QTG54" i="8"/>
  <c r="QTF54" i="8"/>
  <c r="QTE54" i="8"/>
  <c r="QTD54" i="8"/>
  <c r="QTC54" i="8"/>
  <c r="QTB54" i="8"/>
  <c r="QTA54" i="8"/>
  <c r="QSZ54" i="8"/>
  <c r="QSY54" i="8"/>
  <c r="QSX54" i="8"/>
  <c r="QSW54" i="8"/>
  <c r="QSV54" i="8"/>
  <c r="QSU54" i="8"/>
  <c r="QST54" i="8"/>
  <c r="QSS54" i="8"/>
  <c r="QSR54" i="8"/>
  <c r="QSQ54" i="8"/>
  <c r="QSP54" i="8"/>
  <c r="QSO54" i="8"/>
  <c r="QSN54" i="8"/>
  <c r="QSM54" i="8"/>
  <c r="QSL54" i="8"/>
  <c r="QSK54" i="8"/>
  <c r="QSJ54" i="8"/>
  <c r="QSI54" i="8"/>
  <c r="QSH54" i="8"/>
  <c r="QSG54" i="8"/>
  <c r="QSF54" i="8"/>
  <c r="QSE54" i="8"/>
  <c r="QSD54" i="8"/>
  <c r="QSC54" i="8"/>
  <c r="QSB54" i="8"/>
  <c r="QSA54" i="8"/>
  <c r="QRZ54" i="8"/>
  <c r="QRY54" i="8"/>
  <c r="QRX54" i="8"/>
  <c r="QRW54" i="8"/>
  <c r="QRV54" i="8"/>
  <c r="QRU54" i="8"/>
  <c r="QRT54" i="8"/>
  <c r="QRS54" i="8"/>
  <c r="QRR54" i="8"/>
  <c r="QRQ54" i="8"/>
  <c r="QRP54" i="8"/>
  <c r="QRO54" i="8"/>
  <c r="QRN54" i="8"/>
  <c r="QRM54" i="8"/>
  <c r="QRL54" i="8"/>
  <c r="QRK54" i="8"/>
  <c r="QRJ54" i="8"/>
  <c r="QRI54" i="8"/>
  <c r="QRH54" i="8"/>
  <c r="QRG54" i="8"/>
  <c r="QRF54" i="8"/>
  <c r="QRE54" i="8"/>
  <c r="QRD54" i="8"/>
  <c r="QRC54" i="8"/>
  <c r="QRB54" i="8"/>
  <c r="QRA54" i="8"/>
  <c r="QQZ54" i="8"/>
  <c r="QQY54" i="8"/>
  <c r="QQX54" i="8"/>
  <c r="QQW54" i="8"/>
  <c r="QQV54" i="8"/>
  <c r="QQU54" i="8"/>
  <c r="QQT54" i="8"/>
  <c r="QQS54" i="8"/>
  <c r="QQR54" i="8"/>
  <c r="QQQ54" i="8"/>
  <c r="QQP54" i="8"/>
  <c r="QQO54" i="8"/>
  <c r="QQN54" i="8"/>
  <c r="QQM54" i="8"/>
  <c r="QQL54" i="8"/>
  <c r="QQK54" i="8"/>
  <c r="QQJ54" i="8"/>
  <c r="QQI54" i="8"/>
  <c r="QQH54" i="8"/>
  <c r="QQG54" i="8"/>
  <c r="QQF54" i="8"/>
  <c r="QQE54" i="8"/>
  <c r="QQD54" i="8"/>
  <c r="QQC54" i="8"/>
  <c r="QQB54" i="8"/>
  <c r="QQA54" i="8"/>
  <c r="QPZ54" i="8"/>
  <c r="QPY54" i="8"/>
  <c r="QPX54" i="8"/>
  <c r="QPW54" i="8"/>
  <c r="QPV54" i="8"/>
  <c r="QPU54" i="8"/>
  <c r="QPT54" i="8"/>
  <c r="QPS54" i="8"/>
  <c r="QPR54" i="8"/>
  <c r="QPQ54" i="8"/>
  <c r="QPP54" i="8"/>
  <c r="QPO54" i="8"/>
  <c r="QPN54" i="8"/>
  <c r="QPM54" i="8"/>
  <c r="QPL54" i="8"/>
  <c r="QPK54" i="8"/>
  <c r="QPJ54" i="8"/>
  <c r="QPI54" i="8"/>
  <c r="QPH54" i="8"/>
  <c r="QPG54" i="8"/>
  <c r="QPF54" i="8"/>
  <c r="QPE54" i="8"/>
  <c r="QPD54" i="8"/>
  <c r="QPC54" i="8"/>
  <c r="QPB54" i="8"/>
  <c r="QPA54" i="8"/>
  <c r="QOZ54" i="8"/>
  <c r="QOY54" i="8"/>
  <c r="QOX54" i="8"/>
  <c r="QOW54" i="8"/>
  <c r="QOV54" i="8"/>
  <c r="QOU54" i="8"/>
  <c r="QOT54" i="8"/>
  <c r="QOS54" i="8"/>
  <c r="QOR54" i="8"/>
  <c r="QOQ54" i="8"/>
  <c r="QOP54" i="8"/>
  <c r="QOO54" i="8"/>
  <c r="QON54" i="8"/>
  <c r="QOM54" i="8"/>
  <c r="QOL54" i="8"/>
  <c r="QOK54" i="8"/>
  <c r="QOJ54" i="8"/>
  <c r="QOI54" i="8"/>
  <c r="QOH54" i="8"/>
  <c r="QOG54" i="8"/>
  <c r="QOF54" i="8"/>
  <c r="QOE54" i="8"/>
  <c r="QOD54" i="8"/>
  <c r="QOC54" i="8"/>
  <c r="QOB54" i="8"/>
  <c r="QOA54" i="8"/>
  <c r="QNZ54" i="8"/>
  <c r="QNY54" i="8"/>
  <c r="QNX54" i="8"/>
  <c r="QNW54" i="8"/>
  <c r="QNV54" i="8"/>
  <c r="QNU54" i="8"/>
  <c r="QNT54" i="8"/>
  <c r="QNS54" i="8"/>
  <c r="QNR54" i="8"/>
  <c r="QNQ54" i="8"/>
  <c r="QNP54" i="8"/>
  <c r="QNO54" i="8"/>
  <c r="QNN54" i="8"/>
  <c r="QNM54" i="8"/>
  <c r="QNL54" i="8"/>
  <c r="QNK54" i="8"/>
  <c r="QNJ54" i="8"/>
  <c r="QNI54" i="8"/>
  <c r="QNH54" i="8"/>
  <c r="QNG54" i="8"/>
  <c r="QNF54" i="8"/>
  <c r="QNE54" i="8"/>
  <c r="QND54" i="8"/>
  <c r="QNC54" i="8"/>
  <c r="QNB54" i="8"/>
  <c r="QNA54" i="8"/>
  <c r="QMZ54" i="8"/>
  <c r="QMY54" i="8"/>
  <c r="QMX54" i="8"/>
  <c r="QMW54" i="8"/>
  <c r="QMV54" i="8"/>
  <c r="QMU54" i="8"/>
  <c r="QMT54" i="8"/>
  <c r="QMS54" i="8"/>
  <c r="QMR54" i="8"/>
  <c r="QMQ54" i="8"/>
  <c r="QMP54" i="8"/>
  <c r="QMO54" i="8"/>
  <c r="QMN54" i="8"/>
  <c r="QMM54" i="8"/>
  <c r="QML54" i="8"/>
  <c r="QMK54" i="8"/>
  <c r="QMJ54" i="8"/>
  <c r="QMI54" i="8"/>
  <c r="QMH54" i="8"/>
  <c r="QMG54" i="8"/>
  <c r="QMF54" i="8"/>
  <c r="QME54" i="8"/>
  <c r="QMD54" i="8"/>
  <c r="QMC54" i="8"/>
  <c r="QMB54" i="8"/>
  <c r="QMA54" i="8"/>
  <c r="QLZ54" i="8"/>
  <c r="QLY54" i="8"/>
  <c r="QLX54" i="8"/>
  <c r="QLW54" i="8"/>
  <c r="QLV54" i="8"/>
  <c r="QLU54" i="8"/>
  <c r="QLT54" i="8"/>
  <c r="QLS54" i="8"/>
  <c r="QLR54" i="8"/>
  <c r="QLQ54" i="8"/>
  <c r="QLP54" i="8"/>
  <c r="QLO54" i="8"/>
  <c r="QLN54" i="8"/>
  <c r="QLM54" i="8"/>
  <c r="QLL54" i="8"/>
  <c r="QLK54" i="8"/>
  <c r="QLJ54" i="8"/>
  <c r="QLI54" i="8"/>
  <c r="QLH54" i="8"/>
  <c r="QLG54" i="8"/>
  <c r="QLF54" i="8"/>
  <c r="QLE54" i="8"/>
  <c r="QLD54" i="8"/>
  <c r="QLC54" i="8"/>
  <c r="QLB54" i="8"/>
  <c r="QLA54" i="8"/>
  <c r="QKZ54" i="8"/>
  <c r="QKY54" i="8"/>
  <c r="QKX54" i="8"/>
  <c r="QKW54" i="8"/>
  <c r="QKV54" i="8"/>
  <c r="QKU54" i="8"/>
  <c r="QKT54" i="8"/>
  <c r="QKS54" i="8"/>
  <c r="QKR54" i="8"/>
  <c r="QKQ54" i="8"/>
  <c r="QKP54" i="8"/>
  <c r="QKO54" i="8"/>
  <c r="QKN54" i="8"/>
  <c r="QKM54" i="8"/>
  <c r="QKL54" i="8"/>
  <c r="QKK54" i="8"/>
  <c r="QKJ54" i="8"/>
  <c r="QKI54" i="8"/>
  <c r="QKH54" i="8"/>
  <c r="QKG54" i="8"/>
  <c r="QKF54" i="8"/>
  <c r="QKE54" i="8"/>
  <c r="QKD54" i="8"/>
  <c r="QKC54" i="8"/>
  <c r="QKB54" i="8"/>
  <c r="QKA54" i="8"/>
  <c r="QJZ54" i="8"/>
  <c r="QJY54" i="8"/>
  <c r="QJX54" i="8"/>
  <c r="QJW54" i="8"/>
  <c r="QJV54" i="8"/>
  <c r="QJU54" i="8"/>
  <c r="QJT54" i="8"/>
  <c r="QJS54" i="8"/>
  <c r="QJR54" i="8"/>
  <c r="QJQ54" i="8"/>
  <c r="QJP54" i="8"/>
  <c r="QJO54" i="8"/>
  <c r="QJN54" i="8"/>
  <c r="QJM54" i="8"/>
  <c r="QJL54" i="8"/>
  <c r="QJK54" i="8"/>
  <c r="QJJ54" i="8"/>
  <c r="QJI54" i="8"/>
  <c r="QJH54" i="8"/>
  <c r="QJG54" i="8"/>
  <c r="QJF54" i="8"/>
  <c r="QJE54" i="8"/>
  <c r="QJD54" i="8"/>
  <c r="QJC54" i="8"/>
  <c r="QJB54" i="8"/>
  <c r="QJA54" i="8"/>
  <c r="QIZ54" i="8"/>
  <c r="QIY54" i="8"/>
  <c r="QIX54" i="8"/>
  <c r="QIW54" i="8"/>
  <c r="QIV54" i="8"/>
  <c r="QIU54" i="8"/>
  <c r="QIT54" i="8"/>
  <c r="QIS54" i="8"/>
  <c r="QIR54" i="8"/>
  <c r="QIQ54" i="8"/>
  <c r="QIP54" i="8"/>
  <c r="QIO54" i="8"/>
  <c r="QIN54" i="8"/>
  <c r="QIM54" i="8"/>
  <c r="QIL54" i="8"/>
  <c r="QIK54" i="8"/>
  <c r="QIJ54" i="8"/>
  <c r="QII54" i="8"/>
  <c r="QIH54" i="8"/>
  <c r="QIG54" i="8"/>
  <c r="QIF54" i="8"/>
  <c r="QIE54" i="8"/>
  <c r="QID54" i="8"/>
  <c r="QIC54" i="8"/>
  <c r="QIB54" i="8"/>
  <c r="QIA54" i="8"/>
  <c r="QHZ54" i="8"/>
  <c r="QHY54" i="8"/>
  <c r="QHX54" i="8"/>
  <c r="QHW54" i="8"/>
  <c r="QHV54" i="8"/>
  <c r="QHU54" i="8"/>
  <c r="QHT54" i="8"/>
  <c r="QHS54" i="8"/>
  <c r="QHR54" i="8"/>
  <c r="QHQ54" i="8"/>
  <c r="QHP54" i="8"/>
  <c r="QHO54" i="8"/>
  <c r="QHN54" i="8"/>
  <c r="QHM54" i="8"/>
  <c r="QHL54" i="8"/>
  <c r="QHK54" i="8"/>
  <c r="QHJ54" i="8"/>
  <c r="QHI54" i="8"/>
  <c r="QHH54" i="8"/>
  <c r="QHG54" i="8"/>
  <c r="QHF54" i="8"/>
  <c r="QHE54" i="8"/>
  <c r="QHD54" i="8"/>
  <c r="QHC54" i="8"/>
  <c r="QHB54" i="8"/>
  <c r="QHA54" i="8"/>
  <c r="QGZ54" i="8"/>
  <c r="QGY54" i="8"/>
  <c r="QGX54" i="8"/>
  <c r="QGW54" i="8"/>
  <c r="QGV54" i="8"/>
  <c r="QGU54" i="8"/>
  <c r="QGT54" i="8"/>
  <c r="QGS54" i="8"/>
  <c r="QGR54" i="8"/>
  <c r="QGQ54" i="8"/>
  <c r="QGP54" i="8"/>
  <c r="QGO54" i="8"/>
  <c r="QGN54" i="8"/>
  <c r="QGM54" i="8"/>
  <c r="QGL54" i="8"/>
  <c r="QGK54" i="8"/>
  <c r="QGJ54" i="8"/>
  <c r="QGI54" i="8"/>
  <c r="QGH54" i="8"/>
  <c r="QGG54" i="8"/>
  <c r="QGF54" i="8"/>
  <c r="QGE54" i="8"/>
  <c r="QGD54" i="8"/>
  <c r="QGC54" i="8"/>
  <c r="QGB54" i="8"/>
  <c r="QGA54" i="8"/>
  <c r="QFZ54" i="8"/>
  <c r="QFY54" i="8"/>
  <c r="QFX54" i="8"/>
  <c r="QFW54" i="8"/>
  <c r="QFV54" i="8"/>
  <c r="QFU54" i="8"/>
  <c r="QFT54" i="8"/>
  <c r="QFS54" i="8"/>
  <c r="QFR54" i="8"/>
  <c r="QFQ54" i="8"/>
  <c r="QFP54" i="8"/>
  <c r="QFO54" i="8"/>
  <c r="QFN54" i="8"/>
  <c r="QFM54" i="8"/>
  <c r="QFL54" i="8"/>
  <c r="QFK54" i="8"/>
  <c r="QFJ54" i="8"/>
  <c r="QFI54" i="8"/>
  <c r="QFH54" i="8"/>
  <c r="QFG54" i="8"/>
  <c r="QFF54" i="8"/>
  <c r="QFE54" i="8"/>
  <c r="QFD54" i="8"/>
  <c r="QFC54" i="8"/>
  <c r="QFB54" i="8"/>
  <c r="QFA54" i="8"/>
  <c r="QEZ54" i="8"/>
  <c r="QEY54" i="8"/>
  <c r="QEX54" i="8"/>
  <c r="QEW54" i="8"/>
  <c r="QEV54" i="8"/>
  <c r="QEU54" i="8"/>
  <c r="QET54" i="8"/>
  <c r="QES54" i="8"/>
  <c r="QER54" i="8"/>
  <c r="QEQ54" i="8"/>
  <c r="QEP54" i="8"/>
  <c r="QEO54" i="8"/>
  <c r="QEN54" i="8"/>
  <c r="QEM54" i="8"/>
  <c r="QEL54" i="8"/>
  <c r="QEK54" i="8"/>
  <c r="QEJ54" i="8"/>
  <c r="QEI54" i="8"/>
  <c r="QEH54" i="8"/>
  <c r="QEG54" i="8"/>
  <c r="QEF54" i="8"/>
  <c r="QEE54" i="8"/>
  <c r="QED54" i="8"/>
  <c r="QEC54" i="8"/>
  <c r="QEB54" i="8"/>
  <c r="QEA54" i="8"/>
  <c r="QDZ54" i="8"/>
  <c r="QDY54" i="8"/>
  <c r="QDX54" i="8"/>
  <c r="QDW54" i="8"/>
  <c r="QDV54" i="8"/>
  <c r="QDU54" i="8"/>
  <c r="QDT54" i="8"/>
  <c r="QDS54" i="8"/>
  <c r="QDR54" i="8"/>
  <c r="QDQ54" i="8"/>
  <c r="QDP54" i="8"/>
  <c r="QDO54" i="8"/>
  <c r="QDN54" i="8"/>
  <c r="QDM54" i="8"/>
  <c r="QDL54" i="8"/>
  <c r="QDK54" i="8"/>
  <c r="QDJ54" i="8"/>
  <c r="QDI54" i="8"/>
  <c r="QDH54" i="8"/>
  <c r="QDG54" i="8"/>
  <c r="QDF54" i="8"/>
  <c r="QDE54" i="8"/>
  <c r="QDD54" i="8"/>
  <c r="QDC54" i="8"/>
  <c r="QDB54" i="8"/>
  <c r="QDA54" i="8"/>
  <c r="QCZ54" i="8"/>
  <c r="QCY54" i="8"/>
  <c r="QCX54" i="8"/>
  <c r="QCW54" i="8"/>
  <c r="QCV54" i="8"/>
  <c r="QCU54" i="8"/>
  <c r="QCT54" i="8"/>
  <c r="QCS54" i="8"/>
  <c r="QCR54" i="8"/>
  <c r="QCQ54" i="8"/>
  <c r="QCP54" i="8"/>
  <c r="QCO54" i="8"/>
  <c r="QCN54" i="8"/>
  <c r="QCM54" i="8"/>
  <c r="QCL54" i="8"/>
  <c r="QCK54" i="8"/>
  <c r="QCJ54" i="8"/>
  <c r="QCI54" i="8"/>
  <c r="QCH54" i="8"/>
  <c r="QCG54" i="8"/>
  <c r="QCF54" i="8"/>
  <c r="QCE54" i="8"/>
  <c r="QCD54" i="8"/>
  <c r="QCC54" i="8"/>
  <c r="QCB54" i="8"/>
  <c r="QCA54" i="8"/>
  <c r="QBZ54" i="8"/>
  <c r="QBY54" i="8"/>
  <c r="QBX54" i="8"/>
  <c r="QBW54" i="8"/>
  <c r="QBV54" i="8"/>
  <c r="QBU54" i="8"/>
  <c r="QBT54" i="8"/>
  <c r="QBS54" i="8"/>
  <c r="QBR54" i="8"/>
  <c r="QBQ54" i="8"/>
  <c r="QBP54" i="8"/>
  <c r="QBO54" i="8"/>
  <c r="QBN54" i="8"/>
  <c r="QBM54" i="8"/>
  <c r="QBL54" i="8"/>
  <c r="QBK54" i="8"/>
  <c r="QBJ54" i="8"/>
  <c r="QBI54" i="8"/>
  <c r="QBH54" i="8"/>
  <c r="QBG54" i="8"/>
  <c r="QBF54" i="8"/>
  <c r="QBE54" i="8"/>
  <c r="QBD54" i="8"/>
  <c r="QBC54" i="8"/>
  <c r="QBB54" i="8"/>
  <c r="QBA54" i="8"/>
  <c r="QAZ54" i="8"/>
  <c r="QAY54" i="8"/>
  <c r="QAX54" i="8"/>
  <c r="QAW54" i="8"/>
  <c r="QAV54" i="8"/>
  <c r="QAU54" i="8"/>
  <c r="QAT54" i="8"/>
  <c r="QAS54" i="8"/>
  <c r="QAR54" i="8"/>
  <c r="QAQ54" i="8"/>
  <c r="QAP54" i="8"/>
  <c r="QAO54" i="8"/>
  <c r="QAN54" i="8"/>
  <c r="QAM54" i="8"/>
  <c r="QAL54" i="8"/>
  <c r="QAK54" i="8"/>
  <c r="QAJ54" i="8"/>
  <c r="QAI54" i="8"/>
  <c r="QAH54" i="8"/>
  <c r="QAG54" i="8"/>
  <c r="QAF54" i="8"/>
  <c r="QAE54" i="8"/>
  <c r="QAD54" i="8"/>
  <c r="QAC54" i="8"/>
  <c r="QAB54" i="8"/>
  <c r="QAA54" i="8"/>
  <c r="PZZ54" i="8"/>
  <c r="PZY54" i="8"/>
  <c r="PZX54" i="8"/>
  <c r="PZW54" i="8"/>
  <c r="PZV54" i="8"/>
  <c r="PZU54" i="8"/>
  <c r="PZT54" i="8"/>
  <c r="PZS54" i="8"/>
  <c r="PZR54" i="8"/>
  <c r="PZQ54" i="8"/>
  <c r="PZP54" i="8"/>
  <c r="PZO54" i="8"/>
  <c r="PZN54" i="8"/>
  <c r="PZM54" i="8"/>
  <c r="PZL54" i="8"/>
  <c r="PZK54" i="8"/>
  <c r="PZJ54" i="8"/>
  <c r="PZI54" i="8"/>
  <c r="PZH54" i="8"/>
  <c r="PZG54" i="8"/>
  <c r="PZF54" i="8"/>
  <c r="PZE54" i="8"/>
  <c r="PZD54" i="8"/>
  <c r="PZC54" i="8"/>
  <c r="PZB54" i="8"/>
  <c r="PZA54" i="8"/>
  <c r="PYZ54" i="8"/>
  <c r="PYY54" i="8"/>
  <c r="PYX54" i="8"/>
  <c r="PYW54" i="8"/>
  <c r="PYV54" i="8"/>
  <c r="PYU54" i="8"/>
  <c r="PYT54" i="8"/>
  <c r="PYS54" i="8"/>
  <c r="PYR54" i="8"/>
  <c r="PYQ54" i="8"/>
  <c r="PYP54" i="8"/>
  <c r="PYO54" i="8"/>
  <c r="PYN54" i="8"/>
  <c r="PYM54" i="8"/>
  <c r="PYL54" i="8"/>
  <c r="PYK54" i="8"/>
  <c r="PYJ54" i="8"/>
  <c r="PYI54" i="8"/>
  <c r="PYH54" i="8"/>
  <c r="PYG54" i="8"/>
  <c r="PYF54" i="8"/>
  <c r="PYE54" i="8"/>
  <c r="PYD54" i="8"/>
  <c r="PYC54" i="8"/>
  <c r="PYB54" i="8"/>
  <c r="PYA54" i="8"/>
  <c r="PXZ54" i="8"/>
  <c r="PXY54" i="8"/>
  <c r="PXX54" i="8"/>
  <c r="PXW54" i="8"/>
  <c r="PXV54" i="8"/>
  <c r="PXU54" i="8"/>
  <c r="PXT54" i="8"/>
  <c r="PXS54" i="8"/>
  <c r="PXR54" i="8"/>
  <c r="PXQ54" i="8"/>
  <c r="PXP54" i="8"/>
  <c r="PXO54" i="8"/>
  <c r="PXN54" i="8"/>
  <c r="PXM54" i="8"/>
  <c r="PXL54" i="8"/>
  <c r="PXK54" i="8"/>
  <c r="PXJ54" i="8"/>
  <c r="PXI54" i="8"/>
  <c r="PXH54" i="8"/>
  <c r="PXG54" i="8"/>
  <c r="PXF54" i="8"/>
  <c r="PXE54" i="8"/>
  <c r="PXD54" i="8"/>
  <c r="PXC54" i="8"/>
  <c r="PXB54" i="8"/>
  <c r="PXA54" i="8"/>
  <c r="PWZ54" i="8"/>
  <c r="PWY54" i="8"/>
  <c r="PWX54" i="8"/>
  <c r="PWW54" i="8"/>
  <c r="PWV54" i="8"/>
  <c r="PWU54" i="8"/>
  <c r="PWT54" i="8"/>
  <c r="PWS54" i="8"/>
  <c r="PWR54" i="8"/>
  <c r="PWQ54" i="8"/>
  <c r="PWP54" i="8"/>
  <c r="PWO54" i="8"/>
  <c r="PWN54" i="8"/>
  <c r="PWM54" i="8"/>
  <c r="PWL54" i="8"/>
  <c r="PWK54" i="8"/>
  <c r="PWJ54" i="8"/>
  <c r="PWI54" i="8"/>
  <c r="PWH54" i="8"/>
  <c r="PWG54" i="8"/>
  <c r="PWF54" i="8"/>
  <c r="PWE54" i="8"/>
  <c r="PWD54" i="8"/>
  <c r="PWC54" i="8"/>
  <c r="PWB54" i="8"/>
  <c r="PWA54" i="8"/>
  <c r="PVZ54" i="8"/>
  <c r="PVY54" i="8"/>
  <c r="PVX54" i="8"/>
  <c r="PVW54" i="8"/>
  <c r="PVV54" i="8"/>
  <c r="PVU54" i="8"/>
  <c r="PVT54" i="8"/>
  <c r="PVS54" i="8"/>
  <c r="PVR54" i="8"/>
  <c r="PVQ54" i="8"/>
  <c r="PVP54" i="8"/>
  <c r="PVO54" i="8"/>
  <c r="PVN54" i="8"/>
  <c r="PVM54" i="8"/>
  <c r="PVL54" i="8"/>
  <c r="PVK54" i="8"/>
  <c r="PVJ54" i="8"/>
  <c r="PVI54" i="8"/>
  <c r="PVH54" i="8"/>
  <c r="PVG54" i="8"/>
  <c r="PVF54" i="8"/>
  <c r="PVE54" i="8"/>
  <c r="PVD54" i="8"/>
  <c r="PVC54" i="8"/>
  <c r="PVB54" i="8"/>
  <c r="PVA54" i="8"/>
  <c r="PUZ54" i="8"/>
  <c r="PUY54" i="8"/>
  <c r="PUX54" i="8"/>
  <c r="PUW54" i="8"/>
  <c r="PUV54" i="8"/>
  <c r="PUU54" i="8"/>
  <c r="PUT54" i="8"/>
  <c r="PUS54" i="8"/>
  <c r="PUR54" i="8"/>
  <c r="PUQ54" i="8"/>
  <c r="PUP54" i="8"/>
  <c r="PUO54" i="8"/>
  <c r="PUN54" i="8"/>
  <c r="PUM54" i="8"/>
  <c r="PUL54" i="8"/>
  <c r="PUK54" i="8"/>
  <c r="PUJ54" i="8"/>
  <c r="PUI54" i="8"/>
  <c r="PUH54" i="8"/>
  <c r="PUG54" i="8"/>
  <c r="PUF54" i="8"/>
  <c r="PUE54" i="8"/>
  <c r="PUD54" i="8"/>
  <c r="PUC54" i="8"/>
  <c r="PUB54" i="8"/>
  <c r="PUA54" i="8"/>
  <c r="PTZ54" i="8"/>
  <c r="PTY54" i="8"/>
  <c r="PTX54" i="8"/>
  <c r="PTW54" i="8"/>
  <c r="PTV54" i="8"/>
  <c r="PTU54" i="8"/>
  <c r="PTT54" i="8"/>
  <c r="PTS54" i="8"/>
  <c r="PTR54" i="8"/>
  <c r="PTQ54" i="8"/>
  <c r="PTP54" i="8"/>
  <c r="PTO54" i="8"/>
  <c r="PTN54" i="8"/>
  <c r="PTM54" i="8"/>
  <c r="PTL54" i="8"/>
  <c r="PTK54" i="8"/>
  <c r="PTJ54" i="8"/>
  <c r="PTI54" i="8"/>
  <c r="PTH54" i="8"/>
  <c r="PTG54" i="8"/>
  <c r="PTF54" i="8"/>
  <c r="PTE54" i="8"/>
  <c r="PTD54" i="8"/>
  <c r="PTC54" i="8"/>
  <c r="PTB54" i="8"/>
  <c r="PTA54" i="8"/>
  <c r="PSZ54" i="8"/>
  <c r="PSY54" i="8"/>
  <c r="PSX54" i="8"/>
  <c r="PSW54" i="8"/>
  <c r="PSV54" i="8"/>
  <c r="PSU54" i="8"/>
  <c r="PST54" i="8"/>
  <c r="PSS54" i="8"/>
  <c r="PSR54" i="8"/>
  <c r="PSQ54" i="8"/>
  <c r="PSP54" i="8"/>
  <c r="PSO54" i="8"/>
  <c r="PSN54" i="8"/>
  <c r="PSM54" i="8"/>
  <c r="PSL54" i="8"/>
  <c r="PSK54" i="8"/>
  <c r="PSJ54" i="8"/>
  <c r="PSI54" i="8"/>
  <c r="PSH54" i="8"/>
  <c r="PSG54" i="8"/>
  <c r="PSF54" i="8"/>
  <c r="PSE54" i="8"/>
  <c r="PSD54" i="8"/>
  <c r="PSC54" i="8"/>
  <c r="PSB54" i="8"/>
  <c r="PSA54" i="8"/>
  <c r="PRZ54" i="8"/>
  <c r="PRY54" i="8"/>
  <c r="PRX54" i="8"/>
  <c r="PRW54" i="8"/>
  <c r="PRV54" i="8"/>
  <c r="PRU54" i="8"/>
  <c r="PRT54" i="8"/>
  <c r="PRS54" i="8"/>
  <c r="PRR54" i="8"/>
  <c r="PRQ54" i="8"/>
  <c r="PRP54" i="8"/>
  <c r="PRO54" i="8"/>
  <c r="PRN54" i="8"/>
  <c r="PRM54" i="8"/>
  <c r="PRL54" i="8"/>
  <c r="PRK54" i="8"/>
  <c r="PRJ54" i="8"/>
  <c r="PRI54" i="8"/>
  <c r="PRH54" i="8"/>
  <c r="PRG54" i="8"/>
  <c r="PRF54" i="8"/>
  <c r="PRE54" i="8"/>
  <c r="PRD54" i="8"/>
  <c r="PRC54" i="8"/>
  <c r="PRB54" i="8"/>
  <c r="PRA54" i="8"/>
  <c r="PQZ54" i="8"/>
  <c r="PQY54" i="8"/>
  <c r="PQX54" i="8"/>
  <c r="PQW54" i="8"/>
  <c r="PQV54" i="8"/>
  <c r="PQU54" i="8"/>
  <c r="PQT54" i="8"/>
  <c r="PQS54" i="8"/>
  <c r="PQR54" i="8"/>
  <c r="PQQ54" i="8"/>
  <c r="PQP54" i="8"/>
  <c r="PQO54" i="8"/>
  <c r="PQN54" i="8"/>
  <c r="PQM54" i="8"/>
  <c r="PQL54" i="8"/>
  <c r="PQK54" i="8"/>
  <c r="PQJ54" i="8"/>
  <c r="PQI54" i="8"/>
  <c r="PQH54" i="8"/>
  <c r="PQG54" i="8"/>
  <c r="PQF54" i="8"/>
  <c r="PQE54" i="8"/>
  <c r="PQD54" i="8"/>
  <c r="PQC54" i="8"/>
  <c r="PQB54" i="8"/>
  <c r="PQA54" i="8"/>
  <c r="PPZ54" i="8"/>
  <c r="PPY54" i="8"/>
  <c r="PPX54" i="8"/>
  <c r="PPW54" i="8"/>
  <c r="PPV54" i="8"/>
  <c r="PPU54" i="8"/>
  <c r="PPT54" i="8"/>
  <c r="PPS54" i="8"/>
  <c r="PPR54" i="8"/>
  <c r="PPQ54" i="8"/>
  <c r="PPP54" i="8"/>
  <c r="PPO54" i="8"/>
  <c r="PPN54" i="8"/>
  <c r="PPM54" i="8"/>
  <c r="PPL54" i="8"/>
  <c r="PPK54" i="8"/>
  <c r="PPJ54" i="8"/>
  <c r="PPI54" i="8"/>
  <c r="PPH54" i="8"/>
  <c r="PPG54" i="8"/>
  <c r="PPF54" i="8"/>
  <c r="PPE54" i="8"/>
  <c r="PPD54" i="8"/>
  <c r="PPC54" i="8"/>
  <c r="PPB54" i="8"/>
  <c r="PPA54" i="8"/>
  <c r="POZ54" i="8"/>
  <c r="POY54" i="8"/>
  <c r="POX54" i="8"/>
  <c r="POW54" i="8"/>
  <c r="POV54" i="8"/>
  <c r="POU54" i="8"/>
  <c r="POT54" i="8"/>
  <c r="POS54" i="8"/>
  <c r="POR54" i="8"/>
  <c r="POQ54" i="8"/>
  <c r="POP54" i="8"/>
  <c r="POO54" i="8"/>
  <c r="PON54" i="8"/>
  <c r="POM54" i="8"/>
  <c r="POL54" i="8"/>
  <c r="POK54" i="8"/>
  <c r="POJ54" i="8"/>
  <c r="POI54" i="8"/>
  <c r="POH54" i="8"/>
  <c r="POG54" i="8"/>
  <c r="POF54" i="8"/>
  <c r="POE54" i="8"/>
  <c r="POD54" i="8"/>
  <c r="POC54" i="8"/>
  <c r="POB54" i="8"/>
  <c r="POA54" i="8"/>
  <c r="PNZ54" i="8"/>
  <c r="PNY54" i="8"/>
  <c r="PNX54" i="8"/>
  <c r="PNW54" i="8"/>
  <c r="PNV54" i="8"/>
  <c r="PNU54" i="8"/>
  <c r="PNT54" i="8"/>
  <c r="PNS54" i="8"/>
  <c r="PNR54" i="8"/>
  <c r="PNQ54" i="8"/>
  <c r="PNP54" i="8"/>
  <c r="PNO54" i="8"/>
  <c r="PNN54" i="8"/>
  <c r="PNM54" i="8"/>
  <c r="PNL54" i="8"/>
  <c r="PNK54" i="8"/>
  <c r="PNJ54" i="8"/>
  <c r="PNI54" i="8"/>
  <c r="PNH54" i="8"/>
  <c r="PNG54" i="8"/>
  <c r="PNF54" i="8"/>
  <c r="PNE54" i="8"/>
  <c r="PND54" i="8"/>
  <c r="PNC54" i="8"/>
  <c r="PNB54" i="8"/>
  <c r="PNA54" i="8"/>
  <c r="PMZ54" i="8"/>
  <c r="PMY54" i="8"/>
  <c r="PMX54" i="8"/>
  <c r="PMW54" i="8"/>
  <c r="PMV54" i="8"/>
  <c r="PMU54" i="8"/>
  <c r="PMT54" i="8"/>
  <c r="PMS54" i="8"/>
  <c r="PMR54" i="8"/>
  <c r="PMQ54" i="8"/>
  <c r="PMP54" i="8"/>
  <c r="PMO54" i="8"/>
  <c r="PMN54" i="8"/>
  <c r="PMM54" i="8"/>
  <c r="PML54" i="8"/>
  <c r="PMK54" i="8"/>
  <c r="PMJ54" i="8"/>
  <c r="PMI54" i="8"/>
  <c r="PMH54" i="8"/>
  <c r="PMG54" i="8"/>
  <c r="PMF54" i="8"/>
  <c r="PME54" i="8"/>
  <c r="PMD54" i="8"/>
  <c r="PMC54" i="8"/>
  <c r="PMB54" i="8"/>
  <c r="PMA54" i="8"/>
  <c r="PLZ54" i="8"/>
  <c r="PLY54" i="8"/>
  <c r="PLX54" i="8"/>
  <c r="PLW54" i="8"/>
  <c r="PLV54" i="8"/>
  <c r="PLU54" i="8"/>
  <c r="PLT54" i="8"/>
  <c r="PLS54" i="8"/>
  <c r="PLR54" i="8"/>
  <c r="PLQ54" i="8"/>
  <c r="PLP54" i="8"/>
  <c r="PLO54" i="8"/>
  <c r="PLN54" i="8"/>
  <c r="PLM54" i="8"/>
  <c r="PLL54" i="8"/>
  <c r="PLK54" i="8"/>
  <c r="PLJ54" i="8"/>
  <c r="PLI54" i="8"/>
  <c r="PLH54" i="8"/>
  <c r="PLG54" i="8"/>
  <c r="PLF54" i="8"/>
  <c r="PLE54" i="8"/>
  <c r="PLD54" i="8"/>
  <c r="PLC54" i="8"/>
  <c r="PLB54" i="8"/>
  <c r="PLA54" i="8"/>
  <c r="PKZ54" i="8"/>
  <c r="PKY54" i="8"/>
  <c r="PKX54" i="8"/>
  <c r="PKW54" i="8"/>
  <c r="PKV54" i="8"/>
  <c r="PKU54" i="8"/>
  <c r="PKT54" i="8"/>
  <c r="PKS54" i="8"/>
  <c r="PKR54" i="8"/>
  <c r="PKQ54" i="8"/>
  <c r="PKP54" i="8"/>
  <c r="PKO54" i="8"/>
  <c r="PKN54" i="8"/>
  <c r="PKM54" i="8"/>
  <c r="PKL54" i="8"/>
  <c r="PKK54" i="8"/>
  <c r="PKJ54" i="8"/>
  <c r="PKI54" i="8"/>
  <c r="PKH54" i="8"/>
  <c r="PKG54" i="8"/>
  <c r="PKF54" i="8"/>
  <c r="PKE54" i="8"/>
  <c r="PKD54" i="8"/>
  <c r="PKC54" i="8"/>
  <c r="PKB54" i="8"/>
  <c r="PKA54" i="8"/>
  <c r="PJZ54" i="8"/>
  <c r="PJY54" i="8"/>
  <c r="PJX54" i="8"/>
  <c r="PJW54" i="8"/>
  <c r="PJV54" i="8"/>
  <c r="PJU54" i="8"/>
  <c r="PJT54" i="8"/>
  <c r="PJS54" i="8"/>
  <c r="PJR54" i="8"/>
  <c r="PJQ54" i="8"/>
  <c r="PJP54" i="8"/>
  <c r="PJO54" i="8"/>
  <c r="PJN54" i="8"/>
  <c r="PJM54" i="8"/>
  <c r="PJL54" i="8"/>
  <c r="PJK54" i="8"/>
  <c r="PJJ54" i="8"/>
  <c r="PJI54" i="8"/>
  <c r="PJH54" i="8"/>
  <c r="PJG54" i="8"/>
  <c r="PJF54" i="8"/>
  <c r="PJE54" i="8"/>
  <c r="PJD54" i="8"/>
  <c r="PJC54" i="8"/>
  <c r="PJB54" i="8"/>
  <c r="PJA54" i="8"/>
  <c r="PIZ54" i="8"/>
  <c r="PIY54" i="8"/>
  <c r="PIX54" i="8"/>
  <c r="PIW54" i="8"/>
  <c r="PIV54" i="8"/>
  <c r="PIU54" i="8"/>
  <c r="PIT54" i="8"/>
  <c r="PIS54" i="8"/>
  <c r="PIR54" i="8"/>
  <c r="PIQ54" i="8"/>
  <c r="PIP54" i="8"/>
  <c r="PIO54" i="8"/>
  <c r="PIN54" i="8"/>
  <c r="PIM54" i="8"/>
  <c r="PIL54" i="8"/>
  <c r="PIK54" i="8"/>
  <c r="PIJ54" i="8"/>
  <c r="PII54" i="8"/>
  <c r="PIH54" i="8"/>
  <c r="PIG54" i="8"/>
  <c r="PIF54" i="8"/>
  <c r="PIE54" i="8"/>
  <c r="PID54" i="8"/>
  <c r="PIC54" i="8"/>
  <c r="PIB54" i="8"/>
  <c r="PIA54" i="8"/>
  <c r="PHZ54" i="8"/>
  <c r="PHY54" i="8"/>
  <c r="PHX54" i="8"/>
  <c r="PHW54" i="8"/>
  <c r="PHV54" i="8"/>
  <c r="PHU54" i="8"/>
  <c r="PHT54" i="8"/>
  <c r="PHS54" i="8"/>
  <c r="PHR54" i="8"/>
  <c r="PHQ54" i="8"/>
  <c r="PHP54" i="8"/>
  <c r="PHO54" i="8"/>
  <c r="PHN54" i="8"/>
  <c r="PHM54" i="8"/>
  <c r="PHL54" i="8"/>
  <c r="PHK54" i="8"/>
  <c r="PHJ54" i="8"/>
  <c r="PHI54" i="8"/>
  <c r="PHH54" i="8"/>
  <c r="PHG54" i="8"/>
  <c r="PHF54" i="8"/>
  <c r="PHE54" i="8"/>
  <c r="PHD54" i="8"/>
  <c r="PHC54" i="8"/>
  <c r="PHB54" i="8"/>
  <c r="PHA54" i="8"/>
  <c r="PGZ54" i="8"/>
  <c r="PGY54" i="8"/>
  <c r="PGX54" i="8"/>
  <c r="PGW54" i="8"/>
  <c r="PGV54" i="8"/>
  <c r="PGU54" i="8"/>
  <c r="PGT54" i="8"/>
  <c r="PGS54" i="8"/>
  <c r="PGR54" i="8"/>
  <c r="PGQ54" i="8"/>
  <c r="PGP54" i="8"/>
  <c r="PGO54" i="8"/>
  <c r="PGN54" i="8"/>
  <c r="PGM54" i="8"/>
  <c r="PGL54" i="8"/>
  <c r="PGK54" i="8"/>
  <c r="PGJ54" i="8"/>
  <c r="PGI54" i="8"/>
  <c r="PGH54" i="8"/>
  <c r="PGG54" i="8"/>
  <c r="PGF54" i="8"/>
  <c r="PGE54" i="8"/>
  <c r="PGD54" i="8"/>
  <c r="PGC54" i="8"/>
  <c r="PGB54" i="8"/>
  <c r="PGA54" i="8"/>
  <c r="PFZ54" i="8"/>
  <c r="PFY54" i="8"/>
  <c r="PFX54" i="8"/>
  <c r="PFW54" i="8"/>
  <c r="PFV54" i="8"/>
  <c r="PFU54" i="8"/>
  <c r="PFT54" i="8"/>
  <c r="PFS54" i="8"/>
  <c r="PFR54" i="8"/>
  <c r="PFQ54" i="8"/>
  <c r="PFP54" i="8"/>
  <c r="PFO54" i="8"/>
  <c r="PFN54" i="8"/>
  <c r="PFM54" i="8"/>
  <c r="PFL54" i="8"/>
  <c r="PFK54" i="8"/>
  <c r="PFJ54" i="8"/>
  <c r="PFI54" i="8"/>
  <c r="PFH54" i="8"/>
  <c r="PFG54" i="8"/>
  <c r="PFF54" i="8"/>
  <c r="PFE54" i="8"/>
  <c r="PFD54" i="8"/>
  <c r="PFC54" i="8"/>
  <c r="PFB54" i="8"/>
  <c r="PFA54" i="8"/>
  <c r="PEZ54" i="8"/>
  <c r="PEY54" i="8"/>
  <c r="PEX54" i="8"/>
  <c r="PEW54" i="8"/>
  <c r="PEV54" i="8"/>
  <c r="PEU54" i="8"/>
  <c r="PET54" i="8"/>
  <c r="PES54" i="8"/>
  <c r="PER54" i="8"/>
  <c r="PEQ54" i="8"/>
  <c r="PEP54" i="8"/>
  <c r="PEO54" i="8"/>
  <c r="PEN54" i="8"/>
  <c r="PEM54" i="8"/>
  <c r="PEL54" i="8"/>
  <c r="PEK54" i="8"/>
  <c r="PEJ54" i="8"/>
  <c r="PEI54" i="8"/>
  <c r="PEH54" i="8"/>
  <c r="PEG54" i="8"/>
  <c r="PEF54" i="8"/>
  <c r="PEE54" i="8"/>
  <c r="PED54" i="8"/>
  <c r="PEC54" i="8"/>
  <c r="PEB54" i="8"/>
  <c r="PEA54" i="8"/>
  <c r="PDZ54" i="8"/>
  <c r="PDY54" i="8"/>
  <c r="PDX54" i="8"/>
  <c r="PDW54" i="8"/>
  <c r="PDV54" i="8"/>
  <c r="PDU54" i="8"/>
  <c r="PDT54" i="8"/>
  <c r="PDS54" i="8"/>
  <c r="PDR54" i="8"/>
  <c r="PDQ54" i="8"/>
  <c r="PDP54" i="8"/>
  <c r="PDO54" i="8"/>
  <c r="PDN54" i="8"/>
  <c r="PDM54" i="8"/>
  <c r="PDL54" i="8"/>
  <c r="PDK54" i="8"/>
  <c r="PDJ54" i="8"/>
  <c r="PDI54" i="8"/>
  <c r="PDH54" i="8"/>
  <c r="PDG54" i="8"/>
  <c r="PDF54" i="8"/>
  <c r="PDE54" i="8"/>
  <c r="PDD54" i="8"/>
  <c r="PDC54" i="8"/>
  <c r="PDB54" i="8"/>
  <c r="PDA54" i="8"/>
  <c r="PCZ54" i="8"/>
  <c r="PCY54" i="8"/>
  <c r="PCX54" i="8"/>
  <c r="PCW54" i="8"/>
  <c r="PCV54" i="8"/>
  <c r="PCU54" i="8"/>
  <c r="PCT54" i="8"/>
  <c r="PCS54" i="8"/>
  <c r="PCR54" i="8"/>
  <c r="PCQ54" i="8"/>
  <c r="PCP54" i="8"/>
  <c r="PCO54" i="8"/>
  <c r="PCN54" i="8"/>
  <c r="PCM54" i="8"/>
  <c r="PCL54" i="8"/>
  <c r="PCK54" i="8"/>
  <c r="PCJ54" i="8"/>
  <c r="PCI54" i="8"/>
  <c r="PCH54" i="8"/>
  <c r="PCG54" i="8"/>
  <c r="PCF54" i="8"/>
  <c r="PCE54" i="8"/>
  <c r="PCD54" i="8"/>
  <c r="PCC54" i="8"/>
  <c r="PCB54" i="8"/>
  <c r="PCA54" i="8"/>
  <c r="PBZ54" i="8"/>
  <c r="PBY54" i="8"/>
  <c r="PBX54" i="8"/>
  <c r="PBW54" i="8"/>
  <c r="PBV54" i="8"/>
  <c r="PBU54" i="8"/>
  <c r="PBT54" i="8"/>
  <c r="PBS54" i="8"/>
  <c r="PBR54" i="8"/>
  <c r="PBQ54" i="8"/>
  <c r="PBP54" i="8"/>
  <c r="PBO54" i="8"/>
  <c r="PBN54" i="8"/>
  <c r="PBM54" i="8"/>
  <c r="PBL54" i="8"/>
  <c r="PBK54" i="8"/>
  <c r="PBJ54" i="8"/>
  <c r="PBI54" i="8"/>
  <c r="PBH54" i="8"/>
  <c r="PBG54" i="8"/>
  <c r="PBF54" i="8"/>
  <c r="PBE54" i="8"/>
  <c r="PBD54" i="8"/>
  <c r="PBC54" i="8"/>
  <c r="PBB54" i="8"/>
  <c r="PBA54" i="8"/>
  <c r="PAZ54" i="8"/>
  <c r="PAY54" i="8"/>
  <c r="PAX54" i="8"/>
  <c r="PAW54" i="8"/>
  <c r="PAV54" i="8"/>
  <c r="PAU54" i="8"/>
  <c r="PAT54" i="8"/>
  <c r="PAS54" i="8"/>
  <c r="PAR54" i="8"/>
  <c r="PAQ54" i="8"/>
  <c r="PAP54" i="8"/>
  <c r="PAO54" i="8"/>
  <c r="PAN54" i="8"/>
  <c r="PAM54" i="8"/>
  <c r="PAL54" i="8"/>
  <c r="PAK54" i="8"/>
  <c r="PAJ54" i="8"/>
  <c r="PAI54" i="8"/>
  <c r="PAH54" i="8"/>
  <c r="PAG54" i="8"/>
  <c r="PAF54" i="8"/>
  <c r="PAE54" i="8"/>
  <c r="PAD54" i="8"/>
  <c r="PAC54" i="8"/>
  <c r="PAB54" i="8"/>
  <c r="PAA54" i="8"/>
  <c r="OZZ54" i="8"/>
  <c r="OZY54" i="8"/>
  <c r="OZX54" i="8"/>
  <c r="OZW54" i="8"/>
  <c r="OZV54" i="8"/>
  <c r="OZU54" i="8"/>
  <c r="OZT54" i="8"/>
  <c r="OZS54" i="8"/>
  <c r="OZR54" i="8"/>
  <c r="OZQ54" i="8"/>
  <c r="OZP54" i="8"/>
  <c r="OZO54" i="8"/>
  <c r="OZN54" i="8"/>
  <c r="OZM54" i="8"/>
  <c r="OZL54" i="8"/>
  <c r="OZK54" i="8"/>
  <c r="OZJ54" i="8"/>
  <c r="OZI54" i="8"/>
  <c r="OZH54" i="8"/>
  <c r="OZG54" i="8"/>
  <c r="OZF54" i="8"/>
  <c r="OZE54" i="8"/>
  <c r="OZD54" i="8"/>
  <c r="OZC54" i="8"/>
  <c r="OZB54" i="8"/>
  <c r="OZA54" i="8"/>
  <c r="OYZ54" i="8"/>
  <c r="OYY54" i="8"/>
  <c r="OYX54" i="8"/>
  <c r="OYW54" i="8"/>
  <c r="OYV54" i="8"/>
  <c r="OYU54" i="8"/>
  <c r="OYT54" i="8"/>
  <c r="OYS54" i="8"/>
  <c r="OYR54" i="8"/>
  <c r="OYQ54" i="8"/>
  <c r="OYP54" i="8"/>
  <c r="OYO54" i="8"/>
  <c r="OYN54" i="8"/>
  <c r="OYM54" i="8"/>
  <c r="OYL54" i="8"/>
  <c r="OYK54" i="8"/>
  <c r="OYJ54" i="8"/>
  <c r="OYI54" i="8"/>
  <c r="OYH54" i="8"/>
  <c r="OYG54" i="8"/>
  <c r="OYF54" i="8"/>
  <c r="OYE54" i="8"/>
  <c r="OYD54" i="8"/>
  <c r="OYC54" i="8"/>
  <c r="OYB54" i="8"/>
  <c r="OYA54" i="8"/>
  <c r="OXZ54" i="8"/>
  <c r="OXY54" i="8"/>
  <c r="OXX54" i="8"/>
  <c r="OXW54" i="8"/>
  <c r="OXV54" i="8"/>
  <c r="OXU54" i="8"/>
  <c r="OXT54" i="8"/>
  <c r="OXS54" i="8"/>
  <c r="OXR54" i="8"/>
  <c r="OXQ54" i="8"/>
  <c r="OXP54" i="8"/>
  <c r="OXO54" i="8"/>
  <c r="OXN54" i="8"/>
  <c r="OXM54" i="8"/>
  <c r="OXL54" i="8"/>
  <c r="OXK54" i="8"/>
  <c r="OXJ54" i="8"/>
  <c r="OXI54" i="8"/>
  <c r="OXH54" i="8"/>
  <c r="OXG54" i="8"/>
  <c r="OXF54" i="8"/>
  <c r="OXE54" i="8"/>
  <c r="OXD54" i="8"/>
  <c r="OXC54" i="8"/>
  <c r="OXB54" i="8"/>
  <c r="OXA54" i="8"/>
  <c r="OWZ54" i="8"/>
  <c r="OWY54" i="8"/>
  <c r="OWX54" i="8"/>
  <c r="OWW54" i="8"/>
  <c r="OWV54" i="8"/>
  <c r="OWU54" i="8"/>
  <c r="OWT54" i="8"/>
  <c r="OWS54" i="8"/>
  <c r="OWR54" i="8"/>
  <c r="OWQ54" i="8"/>
  <c r="OWP54" i="8"/>
  <c r="OWO54" i="8"/>
  <c r="OWN54" i="8"/>
  <c r="OWM54" i="8"/>
  <c r="OWL54" i="8"/>
  <c r="OWK54" i="8"/>
  <c r="OWJ54" i="8"/>
  <c r="OWI54" i="8"/>
  <c r="OWH54" i="8"/>
  <c r="OWG54" i="8"/>
  <c r="OWF54" i="8"/>
  <c r="OWE54" i="8"/>
  <c r="OWD54" i="8"/>
  <c r="OWC54" i="8"/>
  <c r="OWB54" i="8"/>
  <c r="OWA54" i="8"/>
  <c r="OVZ54" i="8"/>
  <c r="OVY54" i="8"/>
  <c r="OVX54" i="8"/>
  <c r="OVW54" i="8"/>
  <c r="OVV54" i="8"/>
  <c r="OVU54" i="8"/>
  <c r="OVT54" i="8"/>
  <c r="OVS54" i="8"/>
  <c r="OVR54" i="8"/>
  <c r="OVQ54" i="8"/>
  <c r="OVP54" i="8"/>
  <c r="OVO54" i="8"/>
  <c r="OVN54" i="8"/>
  <c r="OVM54" i="8"/>
  <c r="OVL54" i="8"/>
  <c r="OVK54" i="8"/>
  <c r="OVJ54" i="8"/>
  <c r="OVI54" i="8"/>
  <c r="OVH54" i="8"/>
  <c r="OVG54" i="8"/>
  <c r="OVF54" i="8"/>
  <c r="OVE54" i="8"/>
  <c r="OVD54" i="8"/>
  <c r="OVC54" i="8"/>
  <c r="OVB54" i="8"/>
  <c r="OVA54" i="8"/>
  <c r="OUZ54" i="8"/>
  <c r="OUY54" i="8"/>
  <c r="OUX54" i="8"/>
  <c r="OUW54" i="8"/>
  <c r="OUV54" i="8"/>
  <c r="OUU54" i="8"/>
  <c r="OUT54" i="8"/>
  <c r="OUS54" i="8"/>
  <c r="OUR54" i="8"/>
  <c r="OUQ54" i="8"/>
  <c r="OUP54" i="8"/>
  <c r="OUO54" i="8"/>
  <c r="OUN54" i="8"/>
  <c r="OUM54" i="8"/>
  <c r="OUL54" i="8"/>
  <c r="OUK54" i="8"/>
  <c r="OUJ54" i="8"/>
  <c r="OUI54" i="8"/>
  <c r="OUH54" i="8"/>
  <c r="OUG54" i="8"/>
  <c r="OUF54" i="8"/>
  <c r="OUE54" i="8"/>
  <c r="OUD54" i="8"/>
  <c r="OUC54" i="8"/>
  <c r="OUB54" i="8"/>
  <c r="OUA54" i="8"/>
  <c r="OTZ54" i="8"/>
  <c r="OTY54" i="8"/>
  <c r="OTX54" i="8"/>
  <c r="OTW54" i="8"/>
  <c r="OTV54" i="8"/>
  <c r="OTU54" i="8"/>
  <c r="OTT54" i="8"/>
  <c r="OTS54" i="8"/>
  <c r="OTR54" i="8"/>
  <c r="OTQ54" i="8"/>
  <c r="OTP54" i="8"/>
  <c r="OTO54" i="8"/>
  <c r="OTN54" i="8"/>
  <c r="OTM54" i="8"/>
  <c r="OTL54" i="8"/>
  <c r="OTK54" i="8"/>
  <c r="OTJ54" i="8"/>
  <c r="OTI54" i="8"/>
  <c r="OTH54" i="8"/>
  <c r="OTG54" i="8"/>
  <c r="OTF54" i="8"/>
  <c r="OTE54" i="8"/>
  <c r="OTD54" i="8"/>
  <c r="OTC54" i="8"/>
  <c r="OTB54" i="8"/>
  <c r="OTA54" i="8"/>
  <c r="OSZ54" i="8"/>
  <c r="OSY54" i="8"/>
  <c r="OSX54" i="8"/>
  <c r="OSW54" i="8"/>
  <c r="OSV54" i="8"/>
  <c r="OSU54" i="8"/>
  <c r="OST54" i="8"/>
  <c r="OSS54" i="8"/>
  <c r="OSR54" i="8"/>
  <c r="OSQ54" i="8"/>
  <c r="OSP54" i="8"/>
  <c r="OSO54" i="8"/>
  <c r="OSN54" i="8"/>
  <c r="OSM54" i="8"/>
  <c r="OSL54" i="8"/>
  <c r="OSK54" i="8"/>
  <c r="OSJ54" i="8"/>
  <c r="OSI54" i="8"/>
  <c r="OSH54" i="8"/>
  <c r="OSG54" i="8"/>
  <c r="OSF54" i="8"/>
  <c r="OSE54" i="8"/>
  <c r="OSD54" i="8"/>
  <c r="OSC54" i="8"/>
  <c r="OSB54" i="8"/>
  <c r="OSA54" i="8"/>
  <c r="ORZ54" i="8"/>
  <c r="ORY54" i="8"/>
  <c r="ORX54" i="8"/>
  <c r="ORW54" i="8"/>
  <c r="ORV54" i="8"/>
  <c r="ORU54" i="8"/>
  <c r="ORT54" i="8"/>
  <c r="ORS54" i="8"/>
  <c r="ORR54" i="8"/>
  <c r="ORQ54" i="8"/>
  <c r="ORP54" i="8"/>
  <c r="ORO54" i="8"/>
  <c r="ORN54" i="8"/>
  <c r="ORM54" i="8"/>
  <c r="ORL54" i="8"/>
  <c r="ORK54" i="8"/>
  <c r="ORJ54" i="8"/>
  <c r="ORI54" i="8"/>
  <c r="ORH54" i="8"/>
  <c r="ORG54" i="8"/>
  <c r="ORF54" i="8"/>
  <c r="ORE54" i="8"/>
  <c r="ORD54" i="8"/>
  <c r="ORC54" i="8"/>
  <c r="ORB54" i="8"/>
  <c r="ORA54" i="8"/>
  <c r="OQZ54" i="8"/>
  <c r="OQY54" i="8"/>
  <c r="OQX54" i="8"/>
  <c r="OQW54" i="8"/>
  <c r="OQV54" i="8"/>
  <c r="OQU54" i="8"/>
  <c r="OQT54" i="8"/>
  <c r="OQS54" i="8"/>
  <c r="OQR54" i="8"/>
  <c r="OQQ54" i="8"/>
  <c r="OQP54" i="8"/>
  <c r="OQO54" i="8"/>
  <c r="OQN54" i="8"/>
  <c r="OQM54" i="8"/>
  <c r="OQL54" i="8"/>
  <c r="OQK54" i="8"/>
  <c r="OQJ54" i="8"/>
  <c r="OQI54" i="8"/>
  <c r="OQH54" i="8"/>
  <c r="OQG54" i="8"/>
  <c r="OQF54" i="8"/>
  <c r="OQE54" i="8"/>
  <c r="OQD54" i="8"/>
  <c r="OQC54" i="8"/>
  <c r="OQB54" i="8"/>
  <c r="OQA54" i="8"/>
  <c r="OPZ54" i="8"/>
  <c r="OPY54" i="8"/>
  <c r="OPX54" i="8"/>
  <c r="OPW54" i="8"/>
  <c r="OPV54" i="8"/>
  <c r="OPU54" i="8"/>
  <c r="OPT54" i="8"/>
  <c r="OPS54" i="8"/>
  <c r="OPR54" i="8"/>
  <c r="OPQ54" i="8"/>
  <c r="OPP54" i="8"/>
  <c r="OPO54" i="8"/>
  <c r="OPN54" i="8"/>
  <c r="OPM54" i="8"/>
  <c r="OPL54" i="8"/>
  <c r="OPK54" i="8"/>
  <c r="OPJ54" i="8"/>
  <c r="OPI54" i="8"/>
  <c r="OPH54" i="8"/>
  <c r="OPG54" i="8"/>
  <c r="OPF54" i="8"/>
  <c r="OPE54" i="8"/>
  <c r="OPD54" i="8"/>
  <c r="OPC54" i="8"/>
  <c r="OPB54" i="8"/>
  <c r="OPA54" i="8"/>
  <c r="OOZ54" i="8"/>
  <c r="OOY54" i="8"/>
  <c r="OOX54" i="8"/>
  <c r="OOW54" i="8"/>
  <c r="OOV54" i="8"/>
  <c r="OOU54" i="8"/>
  <c r="OOT54" i="8"/>
  <c r="OOS54" i="8"/>
  <c r="OOR54" i="8"/>
  <c r="OOQ54" i="8"/>
  <c r="OOP54" i="8"/>
  <c r="OOO54" i="8"/>
  <c r="OON54" i="8"/>
  <c r="OOM54" i="8"/>
  <c r="OOL54" i="8"/>
  <c r="OOK54" i="8"/>
  <c r="OOJ54" i="8"/>
  <c r="OOI54" i="8"/>
  <c r="OOH54" i="8"/>
  <c r="OOG54" i="8"/>
  <c r="OOF54" i="8"/>
  <c r="OOE54" i="8"/>
  <c r="OOD54" i="8"/>
  <c r="OOC54" i="8"/>
  <c r="OOB54" i="8"/>
  <c r="OOA54" i="8"/>
  <c r="ONZ54" i="8"/>
  <c r="ONY54" i="8"/>
  <c r="ONX54" i="8"/>
  <c r="ONW54" i="8"/>
  <c r="ONV54" i="8"/>
  <c r="ONU54" i="8"/>
  <c r="ONT54" i="8"/>
  <c r="ONS54" i="8"/>
  <c r="ONR54" i="8"/>
  <c r="ONQ54" i="8"/>
  <c r="ONP54" i="8"/>
  <c r="ONO54" i="8"/>
  <c r="ONN54" i="8"/>
  <c r="ONM54" i="8"/>
  <c r="ONL54" i="8"/>
  <c r="ONK54" i="8"/>
  <c r="ONJ54" i="8"/>
  <c r="ONI54" i="8"/>
  <c r="ONH54" i="8"/>
  <c r="ONG54" i="8"/>
  <c r="ONF54" i="8"/>
  <c r="ONE54" i="8"/>
  <c r="OND54" i="8"/>
  <c r="ONC54" i="8"/>
  <c r="ONB54" i="8"/>
  <c r="ONA54" i="8"/>
  <c r="OMZ54" i="8"/>
  <c r="OMY54" i="8"/>
  <c r="OMX54" i="8"/>
  <c r="OMW54" i="8"/>
  <c r="OMV54" i="8"/>
  <c r="OMU54" i="8"/>
  <c r="OMT54" i="8"/>
  <c r="OMS54" i="8"/>
  <c r="OMR54" i="8"/>
  <c r="OMQ54" i="8"/>
  <c r="OMP54" i="8"/>
  <c r="OMO54" i="8"/>
  <c r="OMN54" i="8"/>
  <c r="OMM54" i="8"/>
  <c r="OML54" i="8"/>
  <c r="OMK54" i="8"/>
  <c r="OMJ54" i="8"/>
  <c r="OMI54" i="8"/>
  <c r="OMH54" i="8"/>
  <c r="OMG54" i="8"/>
  <c r="OMF54" i="8"/>
  <c r="OME54" i="8"/>
  <c r="OMD54" i="8"/>
  <c r="OMC54" i="8"/>
  <c r="OMB54" i="8"/>
  <c r="OMA54" i="8"/>
  <c r="OLZ54" i="8"/>
  <c r="OLY54" i="8"/>
  <c r="OLX54" i="8"/>
  <c r="OLW54" i="8"/>
  <c r="OLV54" i="8"/>
  <c r="OLU54" i="8"/>
  <c r="OLT54" i="8"/>
  <c r="OLS54" i="8"/>
  <c r="OLR54" i="8"/>
  <c r="OLQ54" i="8"/>
  <c r="OLP54" i="8"/>
  <c r="OLO54" i="8"/>
  <c r="OLN54" i="8"/>
  <c r="OLM54" i="8"/>
  <c r="OLL54" i="8"/>
  <c r="OLK54" i="8"/>
  <c r="OLJ54" i="8"/>
  <c r="OLI54" i="8"/>
  <c r="OLH54" i="8"/>
  <c r="OLG54" i="8"/>
  <c r="OLF54" i="8"/>
  <c r="OLE54" i="8"/>
  <c r="OLD54" i="8"/>
  <c r="OLC54" i="8"/>
  <c r="OLB54" i="8"/>
  <c r="OLA54" i="8"/>
  <c r="OKZ54" i="8"/>
  <c r="OKY54" i="8"/>
  <c r="OKX54" i="8"/>
  <c r="OKW54" i="8"/>
  <c r="OKV54" i="8"/>
  <c r="OKU54" i="8"/>
  <c r="OKT54" i="8"/>
  <c r="OKS54" i="8"/>
  <c r="OKR54" i="8"/>
  <c r="OKQ54" i="8"/>
  <c r="OKP54" i="8"/>
  <c r="OKO54" i="8"/>
  <c r="OKN54" i="8"/>
  <c r="OKM54" i="8"/>
  <c r="OKL54" i="8"/>
  <c r="OKK54" i="8"/>
  <c r="OKJ54" i="8"/>
  <c r="OKI54" i="8"/>
  <c r="OKH54" i="8"/>
  <c r="OKG54" i="8"/>
  <c r="OKF54" i="8"/>
  <c r="OKE54" i="8"/>
  <c r="OKD54" i="8"/>
  <c r="OKC54" i="8"/>
  <c r="OKB54" i="8"/>
  <c r="OKA54" i="8"/>
  <c r="OJZ54" i="8"/>
  <c r="OJY54" i="8"/>
  <c r="OJX54" i="8"/>
  <c r="OJW54" i="8"/>
  <c r="OJV54" i="8"/>
  <c r="OJU54" i="8"/>
  <c r="OJT54" i="8"/>
  <c r="OJS54" i="8"/>
  <c r="OJR54" i="8"/>
  <c r="OJQ54" i="8"/>
  <c r="OJP54" i="8"/>
  <c r="OJO54" i="8"/>
  <c r="OJN54" i="8"/>
  <c r="OJM54" i="8"/>
  <c r="OJL54" i="8"/>
  <c r="OJK54" i="8"/>
  <c r="OJJ54" i="8"/>
  <c r="OJI54" i="8"/>
  <c r="OJH54" i="8"/>
  <c r="OJG54" i="8"/>
  <c r="OJF54" i="8"/>
  <c r="OJE54" i="8"/>
  <c r="OJD54" i="8"/>
  <c r="OJC54" i="8"/>
  <c r="OJB54" i="8"/>
  <c r="OJA54" i="8"/>
  <c r="OIZ54" i="8"/>
  <c r="OIY54" i="8"/>
  <c r="OIX54" i="8"/>
  <c r="OIW54" i="8"/>
  <c r="OIV54" i="8"/>
  <c r="OIU54" i="8"/>
  <c r="OIT54" i="8"/>
  <c r="OIS54" i="8"/>
  <c r="OIR54" i="8"/>
  <c r="OIQ54" i="8"/>
  <c r="OIP54" i="8"/>
  <c r="OIO54" i="8"/>
  <c r="OIN54" i="8"/>
  <c r="OIM54" i="8"/>
  <c r="OIL54" i="8"/>
  <c r="OIK54" i="8"/>
  <c r="OIJ54" i="8"/>
  <c r="OII54" i="8"/>
  <c r="OIH54" i="8"/>
  <c r="OIG54" i="8"/>
  <c r="OIF54" i="8"/>
  <c r="OIE54" i="8"/>
  <c r="OID54" i="8"/>
  <c r="OIC54" i="8"/>
  <c r="OIB54" i="8"/>
  <c r="OIA54" i="8"/>
  <c r="OHZ54" i="8"/>
  <c r="OHY54" i="8"/>
  <c r="OHX54" i="8"/>
  <c r="OHW54" i="8"/>
  <c r="OHV54" i="8"/>
  <c r="OHU54" i="8"/>
  <c r="OHT54" i="8"/>
  <c r="OHS54" i="8"/>
  <c r="OHR54" i="8"/>
  <c r="OHQ54" i="8"/>
  <c r="OHP54" i="8"/>
  <c r="OHO54" i="8"/>
  <c r="OHN54" i="8"/>
  <c r="OHM54" i="8"/>
  <c r="OHL54" i="8"/>
  <c r="OHK54" i="8"/>
  <c r="OHJ54" i="8"/>
  <c r="OHI54" i="8"/>
  <c r="OHH54" i="8"/>
  <c r="OHG54" i="8"/>
  <c r="OHF54" i="8"/>
  <c r="OHE54" i="8"/>
  <c r="OHD54" i="8"/>
  <c r="OHC54" i="8"/>
  <c r="OHB54" i="8"/>
  <c r="OHA54" i="8"/>
  <c r="OGZ54" i="8"/>
  <c r="OGY54" i="8"/>
  <c r="OGX54" i="8"/>
  <c r="OGW54" i="8"/>
  <c r="OGV54" i="8"/>
  <c r="OGU54" i="8"/>
  <c r="OGT54" i="8"/>
  <c r="OGS54" i="8"/>
  <c r="OGR54" i="8"/>
  <c r="OGQ54" i="8"/>
  <c r="OGP54" i="8"/>
  <c r="OGO54" i="8"/>
  <c r="OGN54" i="8"/>
  <c r="OGM54" i="8"/>
  <c r="OGL54" i="8"/>
  <c r="OGK54" i="8"/>
  <c r="OGJ54" i="8"/>
  <c r="OGI54" i="8"/>
  <c r="OGH54" i="8"/>
  <c r="OGG54" i="8"/>
  <c r="OGF54" i="8"/>
  <c r="OGE54" i="8"/>
  <c r="OGD54" i="8"/>
  <c r="OGC54" i="8"/>
  <c r="OGB54" i="8"/>
  <c r="OGA54" i="8"/>
  <c r="OFZ54" i="8"/>
  <c r="OFY54" i="8"/>
  <c r="OFX54" i="8"/>
  <c r="OFW54" i="8"/>
  <c r="OFV54" i="8"/>
  <c r="OFU54" i="8"/>
  <c r="OFT54" i="8"/>
  <c r="OFS54" i="8"/>
  <c r="OFR54" i="8"/>
  <c r="OFQ54" i="8"/>
  <c r="OFP54" i="8"/>
  <c r="OFO54" i="8"/>
  <c r="OFN54" i="8"/>
  <c r="OFM54" i="8"/>
  <c r="OFL54" i="8"/>
  <c r="OFK54" i="8"/>
  <c r="OFJ54" i="8"/>
  <c r="OFI54" i="8"/>
  <c r="OFH54" i="8"/>
  <c r="OFG54" i="8"/>
  <c r="OFF54" i="8"/>
  <c r="OFE54" i="8"/>
  <c r="OFD54" i="8"/>
  <c r="OFC54" i="8"/>
  <c r="OFB54" i="8"/>
  <c r="OFA54" i="8"/>
  <c r="OEZ54" i="8"/>
  <c r="OEY54" i="8"/>
  <c r="OEX54" i="8"/>
  <c r="OEW54" i="8"/>
  <c r="OEV54" i="8"/>
  <c r="OEU54" i="8"/>
  <c r="OET54" i="8"/>
  <c r="OES54" i="8"/>
  <c r="OER54" i="8"/>
  <c r="OEQ54" i="8"/>
  <c r="OEP54" i="8"/>
  <c r="OEO54" i="8"/>
  <c r="OEN54" i="8"/>
  <c r="OEM54" i="8"/>
  <c r="OEL54" i="8"/>
  <c r="OEK54" i="8"/>
  <c r="OEJ54" i="8"/>
  <c r="OEI54" i="8"/>
  <c r="OEH54" i="8"/>
  <c r="OEG54" i="8"/>
  <c r="OEF54" i="8"/>
  <c r="OEE54" i="8"/>
  <c r="OED54" i="8"/>
  <c r="OEC54" i="8"/>
  <c r="OEB54" i="8"/>
  <c r="OEA54" i="8"/>
  <c r="ODZ54" i="8"/>
  <c r="ODY54" i="8"/>
  <c r="ODX54" i="8"/>
  <c r="ODW54" i="8"/>
  <c r="ODV54" i="8"/>
  <c r="ODU54" i="8"/>
  <c r="ODT54" i="8"/>
  <c r="ODS54" i="8"/>
  <c r="ODR54" i="8"/>
  <c r="ODQ54" i="8"/>
  <c r="ODP54" i="8"/>
  <c r="ODO54" i="8"/>
  <c r="ODN54" i="8"/>
  <c r="ODM54" i="8"/>
  <c r="ODL54" i="8"/>
  <c r="ODK54" i="8"/>
  <c r="ODJ54" i="8"/>
  <c r="ODI54" i="8"/>
  <c r="ODH54" i="8"/>
  <c r="ODG54" i="8"/>
  <c r="ODF54" i="8"/>
  <c r="ODE54" i="8"/>
  <c r="ODD54" i="8"/>
  <c r="ODC54" i="8"/>
  <c r="ODB54" i="8"/>
  <c r="ODA54" i="8"/>
  <c r="OCZ54" i="8"/>
  <c r="OCY54" i="8"/>
  <c r="OCX54" i="8"/>
  <c r="OCW54" i="8"/>
  <c r="OCV54" i="8"/>
  <c r="OCU54" i="8"/>
  <c r="OCT54" i="8"/>
  <c r="OCS54" i="8"/>
  <c r="OCR54" i="8"/>
  <c r="OCQ54" i="8"/>
  <c r="OCP54" i="8"/>
  <c r="OCO54" i="8"/>
  <c r="OCN54" i="8"/>
  <c r="OCM54" i="8"/>
  <c r="OCL54" i="8"/>
  <c r="OCK54" i="8"/>
  <c r="OCJ54" i="8"/>
  <c r="OCI54" i="8"/>
  <c r="OCH54" i="8"/>
  <c r="OCG54" i="8"/>
  <c r="OCF54" i="8"/>
  <c r="OCE54" i="8"/>
  <c r="OCD54" i="8"/>
  <c r="OCC54" i="8"/>
  <c r="OCB54" i="8"/>
  <c r="OCA54" i="8"/>
  <c r="OBZ54" i="8"/>
  <c r="OBY54" i="8"/>
  <c r="OBX54" i="8"/>
  <c r="OBW54" i="8"/>
  <c r="OBV54" i="8"/>
  <c r="OBU54" i="8"/>
  <c r="OBT54" i="8"/>
  <c r="OBS54" i="8"/>
  <c r="OBR54" i="8"/>
  <c r="OBQ54" i="8"/>
  <c r="OBP54" i="8"/>
  <c r="OBO54" i="8"/>
  <c r="OBN54" i="8"/>
  <c r="OBM54" i="8"/>
  <c r="OBL54" i="8"/>
  <c r="OBK54" i="8"/>
  <c r="OBJ54" i="8"/>
  <c r="OBI54" i="8"/>
  <c r="OBH54" i="8"/>
  <c r="OBG54" i="8"/>
  <c r="OBF54" i="8"/>
  <c r="OBE54" i="8"/>
  <c r="OBD54" i="8"/>
  <c r="OBC54" i="8"/>
  <c r="OBB54" i="8"/>
  <c r="OBA54" i="8"/>
  <c r="OAZ54" i="8"/>
  <c r="OAY54" i="8"/>
  <c r="OAX54" i="8"/>
  <c r="OAW54" i="8"/>
  <c r="OAV54" i="8"/>
  <c r="OAU54" i="8"/>
  <c r="OAT54" i="8"/>
  <c r="OAS54" i="8"/>
  <c r="OAR54" i="8"/>
  <c r="OAQ54" i="8"/>
  <c r="OAP54" i="8"/>
  <c r="OAO54" i="8"/>
  <c r="OAN54" i="8"/>
  <c r="OAM54" i="8"/>
  <c r="OAL54" i="8"/>
  <c r="OAK54" i="8"/>
  <c r="OAJ54" i="8"/>
  <c r="OAI54" i="8"/>
  <c r="OAH54" i="8"/>
  <c r="OAG54" i="8"/>
  <c r="OAF54" i="8"/>
  <c r="OAE54" i="8"/>
  <c r="OAD54" i="8"/>
  <c r="OAC54" i="8"/>
  <c r="OAB54" i="8"/>
  <c r="OAA54" i="8"/>
  <c r="NZZ54" i="8"/>
  <c r="NZY54" i="8"/>
  <c r="NZX54" i="8"/>
  <c r="NZW54" i="8"/>
  <c r="NZV54" i="8"/>
  <c r="NZU54" i="8"/>
  <c r="NZT54" i="8"/>
  <c r="NZS54" i="8"/>
  <c r="NZR54" i="8"/>
  <c r="NZQ54" i="8"/>
  <c r="NZP54" i="8"/>
  <c r="NZO54" i="8"/>
  <c r="NZN54" i="8"/>
  <c r="NZM54" i="8"/>
  <c r="NZL54" i="8"/>
  <c r="NZK54" i="8"/>
  <c r="NZJ54" i="8"/>
  <c r="NZI54" i="8"/>
  <c r="NZH54" i="8"/>
  <c r="NZG54" i="8"/>
  <c r="NZF54" i="8"/>
  <c r="NZE54" i="8"/>
  <c r="NZD54" i="8"/>
  <c r="NZC54" i="8"/>
  <c r="NZB54" i="8"/>
  <c r="NZA54" i="8"/>
  <c r="NYZ54" i="8"/>
  <c r="NYY54" i="8"/>
  <c r="NYX54" i="8"/>
  <c r="NYW54" i="8"/>
  <c r="NYV54" i="8"/>
  <c r="NYU54" i="8"/>
  <c r="NYT54" i="8"/>
  <c r="NYS54" i="8"/>
  <c r="NYR54" i="8"/>
  <c r="NYQ54" i="8"/>
  <c r="NYP54" i="8"/>
  <c r="NYO54" i="8"/>
  <c r="NYN54" i="8"/>
  <c r="NYM54" i="8"/>
  <c r="NYL54" i="8"/>
  <c r="NYK54" i="8"/>
  <c r="NYJ54" i="8"/>
  <c r="NYI54" i="8"/>
  <c r="NYH54" i="8"/>
  <c r="NYG54" i="8"/>
  <c r="NYF54" i="8"/>
  <c r="NYE54" i="8"/>
  <c r="NYD54" i="8"/>
  <c r="NYC54" i="8"/>
  <c r="NYB54" i="8"/>
  <c r="NYA54" i="8"/>
  <c r="NXZ54" i="8"/>
  <c r="NXY54" i="8"/>
  <c r="NXX54" i="8"/>
  <c r="NXW54" i="8"/>
  <c r="NXV54" i="8"/>
  <c r="NXU54" i="8"/>
  <c r="NXT54" i="8"/>
  <c r="NXS54" i="8"/>
  <c r="NXR54" i="8"/>
  <c r="NXQ54" i="8"/>
  <c r="NXP54" i="8"/>
  <c r="NXO54" i="8"/>
  <c r="NXN54" i="8"/>
  <c r="NXM54" i="8"/>
  <c r="NXL54" i="8"/>
  <c r="NXK54" i="8"/>
  <c r="NXJ54" i="8"/>
  <c r="NXI54" i="8"/>
  <c r="NXH54" i="8"/>
  <c r="NXG54" i="8"/>
  <c r="NXF54" i="8"/>
  <c r="NXE54" i="8"/>
  <c r="NXD54" i="8"/>
  <c r="NXC54" i="8"/>
  <c r="NXB54" i="8"/>
  <c r="NXA54" i="8"/>
  <c r="NWZ54" i="8"/>
  <c r="NWY54" i="8"/>
  <c r="NWX54" i="8"/>
  <c r="NWW54" i="8"/>
  <c r="NWV54" i="8"/>
  <c r="NWU54" i="8"/>
  <c r="NWT54" i="8"/>
  <c r="NWS54" i="8"/>
  <c r="NWR54" i="8"/>
  <c r="NWQ54" i="8"/>
  <c r="NWP54" i="8"/>
  <c r="NWO54" i="8"/>
  <c r="NWN54" i="8"/>
  <c r="NWM54" i="8"/>
  <c r="NWL54" i="8"/>
  <c r="NWK54" i="8"/>
  <c r="NWJ54" i="8"/>
  <c r="NWI54" i="8"/>
  <c r="NWH54" i="8"/>
  <c r="NWG54" i="8"/>
  <c r="NWF54" i="8"/>
  <c r="NWE54" i="8"/>
  <c r="NWD54" i="8"/>
  <c r="NWC54" i="8"/>
  <c r="NWB54" i="8"/>
  <c r="NWA54" i="8"/>
  <c r="NVZ54" i="8"/>
  <c r="NVY54" i="8"/>
  <c r="NVX54" i="8"/>
  <c r="NVW54" i="8"/>
  <c r="NVV54" i="8"/>
  <c r="NVU54" i="8"/>
  <c r="NVT54" i="8"/>
  <c r="NVS54" i="8"/>
  <c r="NVR54" i="8"/>
  <c r="NVQ54" i="8"/>
  <c r="NVP54" i="8"/>
  <c r="NVO54" i="8"/>
  <c r="NVN54" i="8"/>
  <c r="NVM54" i="8"/>
  <c r="NVL54" i="8"/>
  <c r="NVK54" i="8"/>
  <c r="NVJ54" i="8"/>
  <c r="NVI54" i="8"/>
  <c r="NVH54" i="8"/>
  <c r="NVG54" i="8"/>
  <c r="NVF54" i="8"/>
  <c r="NVE54" i="8"/>
  <c r="NVD54" i="8"/>
  <c r="NVC54" i="8"/>
  <c r="NVB54" i="8"/>
  <c r="NVA54" i="8"/>
  <c r="NUZ54" i="8"/>
  <c r="NUY54" i="8"/>
  <c r="NUX54" i="8"/>
  <c r="NUW54" i="8"/>
  <c r="NUV54" i="8"/>
  <c r="NUU54" i="8"/>
  <c r="NUT54" i="8"/>
  <c r="NUS54" i="8"/>
  <c r="NUR54" i="8"/>
  <c r="NUQ54" i="8"/>
  <c r="NUP54" i="8"/>
  <c r="NUO54" i="8"/>
  <c r="NUN54" i="8"/>
  <c r="NUM54" i="8"/>
  <c r="NUL54" i="8"/>
  <c r="NUK54" i="8"/>
  <c r="NUJ54" i="8"/>
  <c r="NUI54" i="8"/>
  <c r="NUH54" i="8"/>
  <c r="NUG54" i="8"/>
  <c r="NUF54" i="8"/>
  <c r="NUE54" i="8"/>
  <c r="NUD54" i="8"/>
  <c r="NUC54" i="8"/>
  <c r="NUB54" i="8"/>
  <c r="NUA54" i="8"/>
  <c r="NTZ54" i="8"/>
  <c r="NTY54" i="8"/>
  <c r="NTX54" i="8"/>
  <c r="NTW54" i="8"/>
  <c r="NTV54" i="8"/>
  <c r="NTU54" i="8"/>
  <c r="NTT54" i="8"/>
  <c r="NTS54" i="8"/>
  <c r="NTR54" i="8"/>
  <c r="NTQ54" i="8"/>
  <c r="NTP54" i="8"/>
  <c r="NTO54" i="8"/>
  <c r="NTN54" i="8"/>
  <c r="NTM54" i="8"/>
  <c r="NTL54" i="8"/>
  <c r="NTK54" i="8"/>
  <c r="NTJ54" i="8"/>
  <c r="NTI54" i="8"/>
  <c r="NTH54" i="8"/>
  <c r="NTG54" i="8"/>
  <c r="NTF54" i="8"/>
  <c r="NTE54" i="8"/>
  <c r="NTD54" i="8"/>
  <c r="NTC54" i="8"/>
  <c r="NTB54" i="8"/>
  <c r="NTA54" i="8"/>
  <c r="NSZ54" i="8"/>
  <c r="NSY54" i="8"/>
  <c r="NSX54" i="8"/>
  <c r="NSW54" i="8"/>
  <c r="NSV54" i="8"/>
  <c r="NSU54" i="8"/>
  <c r="NST54" i="8"/>
  <c r="NSS54" i="8"/>
  <c r="NSR54" i="8"/>
  <c r="NSQ54" i="8"/>
  <c r="NSP54" i="8"/>
  <c r="NSO54" i="8"/>
  <c r="NSN54" i="8"/>
  <c r="NSM54" i="8"/>
  <c r="NSL54" i="8"/>
  <c r="NSK54" i="8"/>
  <c r="NSJ54" i="8"/>
  <c r="NSI54" i="8"/>
  <c r="NSH54" i="8"/>
  <c r="NSG54" i="8"/>
  <c r="NSF54" i="8"/>
  <c r="NSE54" i="8"/>
  <c r="NSD54" i="8"/>
  <c r="NSC54" i="8"/>
  <c r="NSB54" i="8"/>
  <c r="NSA54" i="8"/>
  <c r="NRZ54" i="8"/>
  <c r="NRY54" i="8"/>
  <c r="NRX54" i="8"/>
  <c r="NRW54" i="8"/>
  <c r="NRV54" i="8"/>
  <c r="NRU54" i="8"/>
  <c r="NRT54" i="8"/>
  <c r="NRS54" i="8"/>
  <c r="NRR54" i="8"/>
  <c r="NRQ54" i="8"/>
  <c r="NRP54" i="8"/>
  <c r="NRO54" i="8"/>
  <c r="NRN54" i="8"/>
  <c r="NRM54" i="8"/>
  <c r="NRL54" i="8"/>
  <c r="NRK54" i="8"/>
  <c r="NRJ54" i="8"/>
  <c r="NRI54" i="8"/>
  <c r="NRH54" i="8"/>
  <c r="NRG54" i="8"/>
  <c r="NRF54" i="8"/>
  <c r="NRE54" i="8"/>
  <c r="NRD54" i="8"/>
  <c r="NRC54" i="8"/>
  <c r="NRB54" i="8"/>
  <c r="NRA54" i="8"/>
  <c r="NQZ54" i="8"/>
  <c r="NQY54" i="8"/>
  <c r="NQX54" i="8"/>
  <c r="NQW54" i="8"/>
  <c r="NQV54" i="8"/>
  <c r="NQU54" i="8"/>
  <c r="NQT54" i="8"/>
  <c r="NQS54" i="8"/>
  <c r="NQR54" i="8"/>
  <c r="NQQ54" i="8"/>
  <c r="NQP54" i="8"/>
  <c r="NQO54" i="8"/>
  <c r="NQN54" i="8"/>
  <c r="NQM54" i="8"/>
  <c r="NQL54" i="8"/>
  <c r="NQK54" i="8"/>
  <c r="NQJ54" i="8"/>
  <c r="NQI54" i="8"/>
  <c r="NQH54" i="8"/>
  <c r="NQG54" i="8"/>
  <c r="NQF54" i="8"/>
  <c r="NQE54" i="8"/>
  <c r="NQD54" i="8"/>
  <c r="NQC54" i="8"/>
  <c r="NQB54" i="8"/>
  <c r="NQA54" i="8"/>
  <c r="NPZ54" i="8"/>
  <c r="NPY54" i="8"/>
  <c r="NPX54" i="8"/>
  <c r="NPW54" i="8"/>
  <c r="NPV54" i="8"/>
  <c r="NPU54" i="8"/>
  <c r="NPT54" i="8"/>
  <c r="NPS54" i="8"/>
  <c r="NPR54" i="8"/>
  <c r="NPQ54" i="8"/>
  <c r="NPP54" i="8"/>
  <c r="NPO54" i="8"/>
  <c r="NPN54" i="8"/>
  <c r="NPM54" i="8"/>
  <c r="NPL54" i="8"/>
  <c r="NPK54" i="8"/>
  <c r="NPJ54" i="8"/>
  <c r="NPI54" i="8"/>
  <c r="NPH54" i="8"/>
  <c r="NPG54" i="8"/>
  <c r="NPF54" i="8"/>
  <c r="NPE54" i="8"/>
  <c r="NPD54" i="8"/>
  <c r="NPC54" i="8"/>
  <c r="NPB54" i="8"/>
  <c r="NPA54" i="8"/>
  <c r="NOZ54" i="8"/>
  <c r="NOY54" i="8"/>
  <c r="NOX54" i="8"/>
  <c r="NOW54" i="8"/>
  <c r="NOV54" i="8"/>
  <c r="NOU54" i="8"/>
  <c r="NOT54" i="8"/>
  <c r="NOS54" i="8"/>
  <c r="NOR54" i="8"/>
  <c r="NOQ54" i="8"/>
  <c r="NOP54" i="8"/>
  <c r="NOO54" i="8"/>
  <c r="NON54" i="8"/>
  <c r="NOM54" i="8"/>
  <c r="NOL54" i="8"/>
  <c r="NOK54" i="8"/>
  <c r="NOJ54" i="8"/>
  <c r="NOI54" i="8"/>
  <c r="NOH54" i="8"/>
  <c r="NOG54" i="8"/>
  <c r="NOF54" i="8"/>
  <c r="NOE54" i="8"/>
  <c r="NOD54" i="8"/>
  <c r="NOC54" i="8"/>
  <c r="NOB54" i="8"/>
  <c r="NOA54" i="8"/>
  <c r="NNZ54" i="8"/>
  <c r="NNY54" i="8"/>
  <c r="NNX54" i="8"/>
  <c r="NNW54" i="8"/>
  <c r="NNV54" i="8"/>
  <c r="NNU54" i="8"/>
  <c r="NNT54" i="8"/>
  <c r="NNS54" i="8"/>
  <c r="NNR54" i="8"/>
  <c r="NNQ54" i="8"/>
  <c r="NNP54" i="8"/>
  <c r="NNO54" i="8"/>
  <c r="NNN54" i="8"/>
  <c r="NNM54" i="8"/>
  <c r="NNL54" i="8"/>
  <c r="NNK54" i="8"/>
  <c r="NNJ54" i="8"/>
  <c r="NNI54" i="8"/>
  <c r="NNH54" i="8"/>
  <c r="NNG54" i="8"/>
  <c r="NNF54" i="8"/>
  <c r="NNE54" i="8"/>
  <c r="NND54" i="8"/>
  <c r="NNC54" i="8"/>
  <c r="NNB54" i="8"/>
  <c r="NNA54" i="8"/>
  <c r="NMZ54" i="8"/>
  <c r="NMY54" i="8"/>
  <c r="NMX54" i="8"/>
  <c r="NMW54" i="8"/>
  <c r="NMV54" i="8"/>
  <c r="NMU54" i="8"/>
  <c r="NMT54" i="8"/>
  <c r="NMS54" i="8"/>
  <c r="NMR54" i="8"/>
  <c r="NMQ54" i="8"/>
  <c r="NMP54" i="8"/>
  <c r="NMO54" i="8"/>
  <c r="NMN54" i="8"/>
  <c r="NMM54" i="8"/>
  <c r="NML54" i="8"/>
  <c r="NMK54" i="8"/>
  <c r="NMJ54" i="8"/>
  <c r="NMI54" i="8"/>
  <c r="NMH54" i="8"/>
  <c r="NMG54" i="8"/>
  <c r="NMF54" i="8"/>
  <c r="NME54" i="8"/>
  <c r="NMD54" i="8"/>
  <c r="NMC54" i="8"/>
  <c r="NMB54" i="8"/>
  <c r="NMA54" i="8"/>
  <c r="NLZ54" i="8"/>
  <c r="NLY54" i="8"/>
  <c r="NLX54" i="8"/>
  <c r="NLW54" i="8"/>
  <c r="NLV54" i="8"/>
  <c r="NLU54" i="8"/>
  <c r="NLT54" i="8"/>
  <c r="NLS54" i="8"/>
  <c r="NLR54" i="8"/>
  <c r="NLQ54" i="8"/>
  <c r="NLP54" i="8"/>
  <c r="NLO54" i="8"/>
  <c r="NLN54" i="8"/>
  <c r="NLM54" i="8"/>
  <c r="NLL54" i="8"/>
  <c r="NLK54" i="8"/>
  <c r="NLJ54" i="8"/>
  <c r="NLI54" i="8"/>
  <c r="NLH54" i="8"/>
  <c r="NLG54" i="8"/>
  <c r="NLF54" i="8"/>
  <c r="NLE54" i="8"/>
  <c r="NLD54" i="8"/>
  <c r="NLC54" i="8"/>
  <c r="NLB54" i="8"/>
  <c r="NLA54" i="8"/>
  <c r="NKZ54" i="8"/>
  <c r="NKY54" i="8"/>
  <c r="NKX54" i="8"/>
  <c r="NKW54" i="8"/>
  <c r="NKV54" i="8"/>
  <c r="NKU54" i="8"/>
  <c r="NKT54" i="8"/>
  <c r="NKS54" i="8"/>
  <c r="NKR54" i="8"/>
  <c r="NKQ54" i="8"/>
  <c r="NKP54" i="8"/>
  <c r="NKO54" i="8"/>
  <c r="NKN54" i="8"/>
  <c r="NKM54" i="8"/>
  <c r="NKL54" i="8"/>
  <c r="NKK54" i="8"/>
  <c r="NKJ54" i="8"/>
  <c r="NKI54" i="8"/>
  <c r="NKH54" i="8"/>
  <c r="NKG54" i="8"/>
  <c r="NKF54" i="8"/>
  <c r="NKE54" i="8"/>
  <c r="NKD54" i="8"/>
  <c r="NKC54" i="8"/>
  <c r="NKB54" i="8"/>
  <c r="NKA54" i="8"/>
  <c r="NJZ54" i="8"/>
  <c r="NJY54" i="8"/>
  <c r="NJX54" i="8"/>
  <c r="NJW54" i="8"/>
  <c r="NJV54" i="8"/>
  <c r="NJU54" i="8"/>
  <c r="NJT54" i="8"/>
  <c r="NJS54" i="8"/>
  <c r="NJR54" i="8"/>
  <c r="NJQ54" i="8"/>
  <c r="NJP54" i="8"/>
  <c r="NJO54" i="8"/>
  <c r="NJN54" i="8"/>
  <c r="NJM54" i="8"/>
  <c r="NJL54" i="8"/>
  <c r="NJK54" i="8"/>
  <c r="NJJ54" i="8"/>
  <c r="NJI54" i="8"/>
  <c r="NJH54" i="8"/>
  <c r="NJG54" i="8"/>
  <c r="NJF54" i="8"/>
  <c r="NJE54" i="8"/>
  <c r="NJD54" i="8"/>
  <c r="NJC54" i="8"/>
  <c r="NJB54" i="8"/>
  <c r="NJA54" i="8"/>
  <c r="NIZ54" i="8"/>
  <c r="NIY54" i="8"/>
  <c r="NIX54" i="8"/>
  <c r="NIW54" i="8"/>
  <c r="NIV54" i="8"/>
  <c r="NIU54" i="8"/>
  <c r="NIT54" i="8"/>
  <c r="NIS54" i="8"/>
  <c r="NIR54" i="8"/>
  <c r="NIQ54" i="8"/>
  <c r="NIP54" i="8"/>
  <c r="NIO54" i="8"/>
  <c r="NIN54" i="8"/>
  <c r="NIM54" i="8"/>
  <c r="NIL54" i="8"/>
  <c r="NIK54" i="8"/>
  <c r="NIJ54" i="8"/>
  <c r="NII54" i="8"/>
  <c r="NIH54" i="8"/>
  <c r="NIG54" i="8"/>
  <c r="NIF54" i="8"/>
  <c r="NIE54" i="8"/>
  <c r="NID54" i="8"/>
  <c r="NIC54" i="8"/>
  <c r="NIB54" i="8"/>
  <c r="NIA54" i="8"/>
  <c r="NHZ54" i="8"/>
  <c r="NHY54" i="8"/>
  <c r="NHX54" i="8"/>
  <c r="NHW54" i="8"/>
  <c r="NHV54" i="8"/>
  <c r="NHU54" i="8"/>
  <c r="NHT54" i="8"/>
  <c r="NHS54" i="8"/>
  <c r="NHR54" i="8"/>
  <c r="NHQ54" i="8"/>
  <c r="NHP54" i="8"/>
  <c r="NHO54" i="8"/>
  <c r="NHN54" i="8"/>
  <c r="NHM54" i="8"/>
  <c r="NHL54" i="8"/>
  <c r="NHK54" i="8"/>
  <c r="NHJ54" i="8"/>
  <c r="NHI54" i="8"/>
  <c r="NHH54" i="8"/>
  <c r="NHG54" i="8"/>
  <c r="NHF54" i="8"/>
  <c r="NHE54" i="8"/>
  <c r="NHD54" i="8"/>
  <c r="NHC54" i="8"/>
  <c r="NHB54" i="8"/>
  <c r="NHA54" i="8"/>
  <c r="NGZ54" i="8"/>
  <c r="NGY54" i="8"/>
  <c r="NGX54" i="8"/>
  <c r="NGW54" i="8"/>
  <c r="NGV54" i="8"/>
  <c r="NGU54" i="8"/>
  <c r="NGT54" i="8"/>
  <c r="NGS54" i="8"/>
  <c r="NGR54" i="8"/>
  <c r="NGQ54" i="8"/>
  <c r="NGP54" i="8"/>
  <c r="NGO54" i="8"/>
  <c r="NGN54" i="8"/>
  <c r="NGM54" i="8"/>
  <c r="NGL54" i="8"/>
  <c r="NGK54" i="8"/>
  <c r="NGJ54" i="8"/>
  <c r="NGI54" i="8"/>
  <c r="NGH54" i="8"/>
  <c r="NGG54" i="8"/>
  <c r="NGF54" i="8"/>
  <c r="NGE54" i="8"/>
  <c r="NGD54" i="8"/>
  <c r="NGC54" i="8"/>
  <c r="NGB54" i="8"/>
  <c r="NGA54" i="8"/>
  <c r="NFZ54" i="8"/>
  <c r="NFY54" i="8"/>
  <c r="NFX54" i="8"/>
  <c r="NFW54" i="8"/>
  <c r="NFV54" i="8"/>
  <c r="NFU54" i="8"/>
  <c r="NFT54" i="8"/>
  <c r="NFS54" i="8"/>
  <c r="NFR54" i="8"/>
  <c r="NFQ54" i="8"/>
  <c r="NFP54" i="8"/>
  <c r="NFO54" i="8"/>
  <c r="NFN54" i="8"/>
  <c r="NFM54" i="8"/>
  <c r="NFL54" i="8"/>
  <c r="NFK54" i="8"/>
  <c r="NFJ54" i="8"/>
  <c r="NFI54" i="8"/>
  <c r="NFH54" i="8"/>
  <c r="NFG54" i="8"/>
  <c r="NFF54" i="8"/>
  <c r="NFE54" i="8"/>
  <c r="NFD54" i="8"/>
  <c r="NFC54" i="8"/>
  <c r="NFB54" i="8"/>
  <c r="NFA54" i="8"/>
  <c r="NEZ54" i="8"/>
  <c r="NEY54" i="8"/>
  <c r="NEX54" i="8"/>
  <c r="NEW54" i="8"/>
  <c r="NEV54" i="8"/>
  <c r="NEU54" i="8"/>
  <c r="NET54" i="8"/>
  <c r="NES54" i="8"/>
  <c r="NER54" i="8"/>
  <c r="NEQ54" i="8"/>
  <c r="NEP54" i="8"/>
  <c r="NEO54" i="8"/>
  <c r="NEN54" i="8"/>
  <c r="NEM54" i="8"/>
  <c r="NEL54" i="8"/>
  <c r="NEK54" i="8"/>
  <c r="NEJ54" i="8"/>
  <c r="NEI54" i="8"/>
  <c r="NEH54" i="8"/>
  <c r="NEG54" i="8"/>
  <c r="NEF54" i="8"/>
  <c r="NEE54" i="8"/>
  <c r="NED54" i="8"/>
  <c r="NEC54" i="8"/>
  <c r="NEB54" i="8"/>
  <c r="NEA54" i="8"/>
  <c r="NDZ54" i="8"/>
  <c r="NDY54" i="8"/>
  <c r="NDX54" i="8"/>
  <c r="NDW54" i="8"/>
  <c r="NDV54" i="8"/>
  <c r="NDU54" i="8"/>
  <c r="NDT54" i="8"/>
  <c r="NDS54" i="8"/>
  <c r="NDR54" i="8"/>
  <c r="NDQ54" i="8"/>
  <c r="NDP54" i="8"/>
  <c r="NDO54" i="8"/>
  <c r="NDN54" i="8"/>
  <c r="NDM54" i="8"/>
  <c r="NDL54" i="8"/>
  <c r="NDK54" i="8"/>
  <c r="NDJ54" i="8"/>
  <c r="NDI54" i="8"/>
  <c r="NDH54" i="8"/>
  <c r="NDG54" i="8"/>
  <c r="NDF54" i="8"/>
  <c r="NDE54" i="8"/>
  <c r="NDD54" i="8"/>
  <c r="NDC54" i="8"/>
  <c r="NDB54" i="8"/>
  <c r="NDA54" i="8"/>
  <c r="NCZ54" i="8"/>
  <c r="NCY54" i="8"/>
  <c r="NCX54" i="8"/>
  <c r="NCW54" i="8"/>
  <c r="NCV54" i="8"/>
  <c r="NCU54" i="8"/>
  <c r="NCT54" i="8"/>
  <c r="NCS54" i="8"/>
  <c r="NCR54" i="8"/>
  <c r="NCQ54" i="8"/>
  <c r="NCP54" i="8"/>
  <c r="NCO54" i="8"/>
  <c r="NCN54" i="8"/>
  <c r="NCM54" i="8"/>
  <c r="NCL54" i="8"/>
  <c r="NCK54" i="8"/>
  <c r="NCJ54" i="8"/>
  <c r="NCI54" i="8"/>
  <c r="NCH54" i="8"/>
  <c r="NCG54" i="8"/>
  <c r="NCF54" i="8"/>
  <c r="NCE54" i="8"/>
  <c r="NCD54" i="8"/>
  <c r="NCC54" i="8"/>
  <c r="NCB54" i="8"/>
  <c r="NCA54" i="8"/>
  <c r="NBZ54" i="8"/>
  <c r="NBY54" i="8"/>
  <c r="NBX54" i="8"/>
  <c r="NBW54" i="8"/>
  <c r="NBV54" i="8"/>
  <c r="NBU54" i="8"/>
  <c r="NBT54" i="8"/>
  <c r="NBS54" i="8"/>
  <c r="NBR54" i="8"/>
  <c r="NBQ54" i="8"/>
  <c r="NBP54" i="8"/>
  <c r="NBO54" i="8"/>
  <c r="NBN54" i="8"/>
  <c r="NBM54" i="8"/>
  <c r="NBL54" i="8"/>
  <c r="NBK54" i="8"/>
  <c r="NBJ54" i="8"/>
  <c r="NBI54" i="8"/>
  <c r="NBH54" i="8"/>
  <c r="NBG54" i="8"/>
  <c r="NBF54" i="8"/>
  <c r="NBE54" i="8"/>
  <c r="NBD54" i="8"/>
  <c r="NBC54" i="8"/>
  <c r="NBB54" i="8"/>
  <c r="NBA54" i="8"/>
  <c r="NAZ54" i="8"/>
  <c r="NAY54" i="8"/>
  <c r="NAX54" i="8"/>
  <c r="NAW54" i="8"/>
  <c r="NAV54" i="8"/>
  <c r="NAU54" i="8"/>
  <c r="NAT54" i="8"/>
  <c r="NAS54" i="8"/>
  <c r="NAR54" i="8"/>
  <c r="NAQ54" i="8"/>
  <c r="NAP54" i="8"/>
  <c r="NAO54" i="8"/>
  <c r="NAN54" i="8"/>
  <c r="NAM54" i="8"/>
  <c r="NAL54" i="8"/>
  <c r="NAK54" i="8"/>
  <c r="NAJ54" i="8"/>
  <c r="NAI54" i="8"/>
  <c r="NAH54" i="8"/>
  <c r="NAG54" i="8"/>
  <c r="NAF54" i="8"/>
  <c r="NAE54" i="8"/>
  <c r="NAD54" i="8"/>
  <c r="NAC54" i="8"/>
  <c r="NAB54" i="8"/>
  <c r="NAA54" i="8"/>
  <c r="MZZ54" i="8"/>
  <c r="MZY54" i="8"/>
  <c r="MZX54" i="8"/>
  <c r="MZW54" i="8"/>
  <c r="MZV54" i="8"/>
  <c r="MZU54" i="8"/>
  <c r="MZT54" i="8"/>
  <c r="MZS54" i="8"/>
  <c r="MZR54" i="8"/>
  <c r="MZQ54" i="8"/>
  <c r="MZP54" i="8"/>
  <c r="MZO54" i="8"/>
  <c r="MZN54" i="8"/>
  <c r="MZM54" i="8"/>
  <c r="MZL54" i="8"/>
  <c r="MZK54" i="8"/>
  <c r="MZJ54" i="8"/>
  <c r="MZI54" i="8"/>
  <c r="MZH54" i="8"/>
  <c r="MZG54" i="8"/>
  <c r="MZF54" i="8"/>
  <c r="MZE54" i="8"/>
  <c r="MZD54" i="8"/>
  <c r="MZC54" i="8"/>
  <c r="MZB54" i="8"/>
  <c r="MZA54" i="8"/>
  <c r="MYZ54" i="8"/>
  <c r="MYY54" i="8"/>
  <c r="MYX54" i="8"/>
  <c r="MYW54" i="8"/>
  <c r="MYV54" i="8"/>
  <c r="MYU54" i="8"/>
  <c r="MYT54" i="8"/>
  <c r="MYS54" i="8"/>
  <c r="MYR54" i="8"/>
  <c r="MYQ54" i="8"/>
  <c r="MYP54" i="8"/>
  <c r="MYO54" i="8"/>
  <c r="MYN54" i="8"/>
  <c r="MYM54" i="8"/>
  <c r="MYL54" i="8"/>
  <c r="MYK54" i="8"/>
  <c r="MYJ54" i="8"/>
  <c r="MYI54" i="8"/>
  <c r="MYH54" i="8"/>
  <c r="MYG54" i="8"/>
  <c r="MYF54" i="8"/>
  <c r="MYE54" i="8"/>
  <c r="MYD54" i="8"/>
  <c r="MYC54" i="8"/>
  <c r="MYB54" i="8"/>
  <c r="MYA54" i="8"/>
  <c r="MXZ54" i="8"/>
  <c r="MXY54" i="8"/>
  <c r="MXX54" i="8"/>
  <c r="MXW54" i="8"/>
  <c r="MXV54" i="8"/>
  <c r="MXU54" i="8"/>
  <c r="MXT54" i="8"/>
  <c r="MXS54" i="8"/>
  <c r="MXR54" i="8"/>
  <c r="MXQ54" i="8"/>
  <c r="MXP54" i="8"/>
  <c r="MXO54" i="8"/>
  <c r="MXN54" i="8"/>
  <c r="MXM54" i="8"/>
  <c r="MXL54" i="8"/>
  <c r="MXK54" i="8"/>
  <c r="MXJ54" i="8"/>
  <c r="MXI54" i="8"/>
  <c r="MXH54" i="8"/>
  <c r="MXG54" i="8"/>
  <c r="MXF54" i="8"/>
  <c r="MXE54" i="8"/>
  <c r="MXD54" i="8"/>
  <c r="MXC54" i="8"/>
  <c r="MXB54" i="8"/>
  <c r="MXA54" i="8"/>
  <c r="MWZ54" i="8"/>
  <c r="MWY54" i="8"/>
  <c r="MWX54" i="8"/>
  <c r="MWW54" i="8"/>
  <c r="MWV54" i="8"/>
  <c r="MWU54" i="8"/>
  <c r="MWT54" i="8"/>
  <c r="MWS54" i="8"/>
  <c r="MWR54" i="8"/>
  <c r="MWQ54" i="8"/>
  <c r="MWP54" i="8"/>
  <c r="MWO54" i="8"/>
  <c r="MWN54" i="8"/>
  <c r="MWM54" i="8"/>
  <c r="MWL54" i="8"/>
  <c r="MWK54" i="8"/>
  <c r="MWJ54" i="8"/>
  <c r="MWI54" i="8"/>
  <c r="MWH54" i="8"/>
  <c r="MWG54" i="8"/>
  <c r="MWF54" i="8"/>
  <c r="MWE54" i="8"/>
  <c r="MWD54" i="8"/>
  <c r="MWC54" i="8"/>
  <c r="MWB54" i="8"/>
  <c r="MWA54" i="8"/>
  <c r="MVZ54" i="8"/>
  <c r="MVY54" i="8"/>
  <c r="MVX54" i="8"/>
  <c r="MVW54" i="8"/>
  <c r="MVV54" i="8"/>
  <c r="MVU54" i="8"/>
  <c r="MVT54" i="8"/>
  <c r="MVS54" i="8"/>
  <c r="MVR54" i="8"/>
  <c r="MVQ54" i="8"/>
  <c r="MVP54" i="8"/>
  <c r="MVO54" i="8"/>
  <c r="MVN54" i="8"/>
  <c r="MVM54" i="8"/>
  <c r="MVL54" i="8"/>
  <c r="MVK54" i="8"/>
  <c r="MVJ54" i="8"/>
  <c r="MVI54" i="8"/>
  <c r="MVH54" i="8"/>
  <c r="MVG54" i="8"/>
  <c r="MVF54" i="8"/>
  <c r="MVE54" i="8"/>
  <c r="MVD54" i="8"/>
  <c r="MVC54" i="8"/>
  <c r="MVB54" i="8"/>
  <c r="MVA54" i="8"/>
  <c r="MUZ54" i="8"/>
  <c r="MUY54" i="8"/>
  <c r="MUX54" i="8"/>
  <c r="MUW54" i="8"/>
  <c r="MUV54" i="8"/>
  <c r="MUU54" i="8"/>
  <c r="MUT54" i="8"/>
  <c r="MUS54" i="8"/>
  <c r="MUR54" i="8"/>
  <c r="MUQ54" i="8"/>
  <c r="MUP54" i="8"/>
  <c r="MUO54" i="8"/>
  <c r="MUN54" i="8"/>
  <c r="MUM54" i="8"/>
  <c r="MUL54" i="8"/>
  <c r="MUK54" i="8"/>
  <c r="MUJ54" i="8"/>
  <c r="MUI54" i="8"/>
  <c r="MUH54" i="8"/>
  <c r="MUG54" i="8"/>
  <c r="MUF54" i="8"/>
  <c r="MUE54" i="8"/>
  <c r="MUD54" i="8"/>
  <c r="MUC54" i="8"/>
  <c r="MUB54" i="8"/>
  <c r="MUA54" i="8"/>
  <c r="MTZ54" i="8"/>
  <c r="MTY54" i="8"/>
  <c r="MTX54" i="8"/>
  <c r="MTW54" i="8"/>
  <c r="MTV54" i="8"/>
  <c r="MTU54" i="8"/>
  <c r="MTT54" i="8"/>
  <c r="MTS54" i="8"/>
  <c r="MTR54" i="8"/>
  <c r="MTQ54" i="8"/>
  <c r="MTP54" i="8"/>
  <c r="MTO54" i="8"/>
  <c r="MTN54" i="8"/>
  <c r="MTM54" i="8"/>
  <c r="MTL54" i="8"/>
  <c r="MTK54" i="8"/>
  <c r="MTJ54" i="8"/>
  <c r="MTI54" i="8"/>
  <c r="MTH54" i="8"/>
  <c r="MTG54" i="8"/>
  <c r="MTF54" i="8"/>
  <c r="MTE54" i="8"/>
  <c r="MTD54" i="8"/>
  <c r="MTC54" i="8"/>
  <c r="MTB54" i="8"/>
  <c r="MTA54" i="8"/>
  <c r="MSZ54" i="8"/>
  <c r="MSY54" i="8"/>
  <c r="MSX54" i="8"/>
  <c r="MSW54" i="8"/>
  <c r="MSV54" i="8"/>
  <c r="MSU54" i="8"/>
  <c r="MST54" i="8"/>
  <c r="MSS54" i="8"/>
  <c r="MSR54" i="8"/>
  <c r="MSQ54" i="8"/>
  <c r="MSP54" i="8"/>
  <c r="MSO54" i="8"/>
  <c r="MSN54" i="8"/>
  <c r="MSM54" i="8"/>
  <c r="MSL54" i="8"/>
  <c r="MSK54" i="8"/>
  <c r="MSJ54" i="8"/>
  <c r="MSI54" i="8"/>
  <c r="MSH54" i="8"/>
  <c r="MSG54" i="8"/>
  <c r="MSF54" i="8"/>
  <c r="MSE54" i="8"/>
  <c r="MSD54" i="8"/>
  <c r="MSC54" i="8"/>
  <c r="MSB54" i="8"/>
  <c r="MSA54" i="8"/>
  <c r="MRZ54" i="8"/>
  <c r="MRY54" i="8"/>
  <c r="MRX54" i="8"/>
  <c r="MRW54" i="8"/>
  <c r="MRV54" i="8"/>
  <c r="MRU54" i="8"/>
  <c r="MRT54" i="8"/>
  <c r="MRS54" i="8"/>
  <c r="MRR54" i="8"/>
  <c r="MRQ54" i="8"/>
  <c r="MRP54" i="8"/>
  <c r="MRO54" i="8"/>
  <c r="MRN54" i="8"/>
  <c r="MRM54" i="8"/>
  <c r="MRL54" i="8"/>
  <c r="MRK54" i="8"/>
  <c r="MRJ54" i="8"/>
  <c r="MRI54" i="8"/>
  <c r="MRH54" i="8"/>
  <c r="MRG54" i="8"/>
  <c r="MRF54" i="8"/>
  <c r="MRE54" i="8"/>
  <c r="MRD54" i="8"/>
  <c r="MRC54" i="8"/>
  <c r="MRB54" i="8"/>
  <c r="MRA54" i="8"/>
  <c r="MQZ54" i="8"/>
  <c r="MQY54" i="8"/>
  <c r="MQX54" i="8"/>
  <c r="MQW54" i="8"/>
  <c r="MQV54" i="8"/>
  <c r="MQU54" i="8"/>
  <c r="MQT54" i="8"/>
  <c r="MQS54" i="8"/>
  <c r="MQR54" i="8"/>
  <c r="MQQ54" i="8"/>
  <c r="MQP54" i="8"/>
  <c r="MQO54" i="8"/>
  <c r="MQN54" i="8"/>
  <c r="MQM54" i="8"/>
  <c r="MQL54" i="8"/>
  <c r="MQK54" i="8"/>
  <c r="MQJ54" i="8"/>
  <c r="MQI54" i="8"/>
  <c r="MQH54" i="8"/>
  <c r="MQG54" i="8"/>
  <c r="MQF54" i="8"/>
  <c r="MQE54" i="8"/>
  <c r="MQD54" i="8"/>
  <c r="MQC54" i="8"/>
  <c r="MQB54" i="8"/>
  <c r="MQA54" i="8"/>
  <c r="MPZ54" i="8"/>
  <c r="MPY54" i="8"/>
  <c r="MPX54" i="8"/>
  <c r="MPW54" i="8"/>
  <c r="MPV54" i="8"/>
  <c r="MPU54" i="8"/>
  <c r="MPT54" i="8"/>
  <c r="MPS54" i="8"/>
  <c r="MPR54" i="8"/>
  <c r="MPQ54" i="8"/>
  <c r="MPP54" i="8"/>
  <c r="MPO54" i="8"/>
  <c r="MPN54" i="8"/>
  <c r="MPM54" i="8"/>
  <c r="MPL54" i="8"/>
  <c r="MPK54" i="8"/>
  <c r="MPJ54" i="8"/>
  <c r="MPI54" i="8"/>
  <c r="MPH54" i="8"/>
  <c r="MPG54" i="8"/>
  <c r="MPF54" i="8"/>
  <c r="MPE54" i="8"/>
  <c r="MPD54" i="8"/>
  <c r="MPC54" i="8"/>
  <c r="MPB54" i="8"/>
  <c r="MPA54" i="8"/>
  <c r="MOZ54" i="8"/>
  <c r="MOY54" i="8"/>
  <c r="MOX54" i="8"/>
  <c r="MOW54" i="8"/>
  <c r="MOV54" i="8"/>
  <c r="MOU54" i="8"/>
  <c r="MOT54" i="8"/>
  <c r="MOS54" i="8"/>
  <c r="MOR54" i="8"/>
  <c r="MOQ54" i="8"/>
  <c r="MOP54" i="8"/>
  <c r="MOO54" i="8"/>
  <c r="MON54" i="8"/>
  <c r="MOM54" i="8"/>
  <c r="MOL54" i="8"/>
  <c r="MOK54" i="8"/>
  <c r="MOJ54" i="8"/>
  <c r="MOI54" i="8"/>
  <c r="MOH54" i="8"/>
  <c r="MOG54" i="8"/>
  <c r="MOF54" i="8"/>
  <c r="MOE54" i="8"/>
  <c r="MOD54" i="8"/>
  <c r="MOC54" i="8"/>
  <c r="MOB54" i="8"/>
  <c r="MOA54" i="8"/>
  <c r="MNZ54" i="8"/>
  <c r="MNY54" i="8"/>
  <c r="MNX54" i="8"/>
  <c r="MNW54" i="8"/>
  <c r="MNV54" i="8"/>
  <c r="MNU54" i="8"/>
  <c r="MNT54" i="8"/>
  <c r="MNS54" i="8"/>
  <c r="MNR54" i="8"/>
  <c r="MNQ54" i="8"/>
  <c r="MNP54" i="8"/>
  <c r="MNO54" i="8"/>
  <c r="MNN54" i="8"/>
  <c r="MNM54" i="8"/>
  <c r="MNL54" i="8"/>
  <c r="MNK54" i="8"/>
  <c r="MNJ54" i="8"/>
  <c r="MNI54" i="8"/>
  <c r="MNH54" i="8"/>
  <c r="MNG54" i="8"/>
  <c r="MNF54" i="8"/>
  <c r="MNE54" i="8"/>
  <c r="MND54" i="8"/>
  <c r="MNC54" i="8"/>
  <c r="MNB54" i="8"/>
  <c r="MNA54" i="8"/>
  <c r="MMZ54" i="8"/>
  <c r="MMY54" i="8"/>
  <c r="MMX54" i="8"/>
  <c r="MMW54" i="8"/>
  <c r="MMV54" i="8"/>
  <c r="MMU54" i="8"/>
  <c r="MMT54" i="8"/>
  <c r="MMS54" i="8"/>
  <c r="MMR54" i="8"/>
  <c r="MMQ54" i="8"/>
  <c r="MMP54" i="8"/>
  <c r="MMO54" i="8"/>
  <c r="MMN54" i="8"/>
  <c r="MMM54" i="8"/>
  <c r="MML54" i="8"/>
  <c r="MMK54" i="8"/>
  <c r="MMJ54" i="8"/>
  <c r="MMI54" i="8"/>
  <c r="MMH54" i="8"/>
  <c r="MMG54" i="8"/>
  <c r="MMF54" i="8"/>
  <c r="MME54" i="8"/>
  <c r="MMD54" i="8"/>
  <c r="MMC54" i="8"/>
  <c r="MMB54" i="8"/>
  <c r="MMA54" i="8"/>
  <c r="MLZ54" i="8"/>
  <c r="MLY54" i="8"/>
  <c r="MLX54" i="8"/>
  <c r="MLW54" i="8"/>
  <c r="MLV54" i="8"/>
  <c r="MLU54" i="8"/>
  <c r="MLT54" i="8"/>
  <c r="MLS54" i="8"/>
  <c r="MLR54" i="8"/>
  <c r="MLQ54" i="8"/>
  <c r="MLP54" i="8"/>
  <c r="MLO54" i="8"/>
  <c r="MLN54" i="8"/>
  <c r="MLM54" i="8"/>
  <c r="MLL54" i="8"/>
  <c r="MLK54" i="8"/>
  <c r="MLJ54" i="8"/>
  <c r="MLI54" i="8"/>
  <c r="MLH54" i="8"/>
  <c r="MLG54" i="8"/>
  <c r="MLF54" i="8"/>
  <c r="MLE54" i="8"/>
  <c r="MLD54" i="8"/>
  <c r="MLC54" i="8"/>
  <c r="MLB54" i="8"/>
  <c r="MLA54" i="8"/>
  <c r="MKZ54" i="8"/>
  <c r="MKY54" i="8"/>
  <c r="MKX54" i="8"/>
  <c r="MKW54" i="8"/>
  <c r="MKV54" i="8"/>
  <c r="MKU54" i="8"/>
  <c r="MKT54" i="8"/>
  <c r="MKS54" i="8"/>
  <c r="MKR54" i="8"/>
  <c r="MKQ54" i="8"/>
  <c r="MKP54" i="8"/>
  <c r="MKO54" i="8"/>
  <c r="MKN54" i="8"/>
  <c r="MKM54" i="8"/>
  <c r="MKL54" i="8"/>
  <c r="MKK54" i="8"/>
  <c r="MKJ54" i="8"/>
  <c r="MKI54" i="8"/>
  <c r="MKH54" i="8"/>
  <c r="MKG54" i="8"/>
  <c r="MKF54" i="8"/>
  <c r="MKE54" i="8"/>
  <c r="MKD54" i="8"/>
  <c r="MKC54" i="8"/>
  <c r="MKB54" i="8"/>
  <c r="MKA54" i="8"/>
  <c r="MJZ54" i="8"/>
  <c r="MJY54" i="8"/>
  <c r="MJX54" i="8"/>
  <c r="MJW54" i="8"/>
  <c r="MJV54" i="8"/>
  <c r="MJU54" i="8"/>
  <c r="MJT54" i="8"/>
  <c r="MJS54" i="8"/>
  <c r="MJR54" i="8"/>
  <c r="MJQ54" i="8"/>
  <c r="MJP54" i="8"/>
  <c r="MJO54" i="8"/>
  <c r="MJN54" i="8"/>
  <c r="MJM54" i="8"/>
  <c r="MJL54" i="8"/>
  <c r="MJK54" i="8"/>
  <c r="MJJ54" i="8"/>
  <c r="MJI54" i="8"/>
  <c r="MJH54" i="8"/>
  <c r="MJG54" i="8"/>
  <c r="MJF54" i="8"/>
  <c r="MJE54" i="8"/>
  <c r="MJD54" i="8"/>
  <c r="MJC54" i="8"/>
  <c r="MJB54" i="8"/>
  <c r="MJA54" i="8"/>
  <c r="MIZ54" i="8"/>
  <c r="MIY54" i="8"/>
  <c r="MIX54" i="8"/>
  <c r="MIW54" i="8"/>
  <c r="MIV54" i="8"/>
  <c r="MIU54" i="8"/>
  <c r="MIT54" i="8"/>
  <c r="MIS54" i="8"/>
  <c r="MIR54" i="8"/>
  <c r="MIQ54" i="8"/>
  <c r="MIP54" i="8"/>
  <c r="MIO54" i="8"/>
  <c r="MIN54" i="8"/>
  <c r="MIM54" i="8"/>
  <c r="MIL54" i="8"/>
  <c r="MIK54" i="8"/>
  <c r="MIJ54" i="8"/>
  <c r="MII54" i="8"/>
  <c r="MIH54" i="8"/>
  <c r="MIG54" i="8"/>
  <c r="MIF54" i="8"/>
  <c r="MIE54" i="8"/>
  <c r="MID54" i="8"/>
  <c r="MIC54" i="8"/>
  <c r="MIB54" i="8"/>
  <c r="MIA54" i="8"/>
  <c r="MHZ54" i="8"/>
  <c r="MHY54" i="8"/>
  <c r="MHX54" i="8"/>
  <c r="MHW54" i="8"/>
  <c r="MHV54" i="8"/>
  <c r="MHU54" i="8"/>
  <c r="MHT54" i="8"/>
  <c r="MHS54" i="8"/>
  <c r="MHR54" i="8"/>
  <c r="MHQ54" i="8"/>
  <c r="MHP54" i="8"/>
  <c r="MHO54" i="8"/>
  <c r="MHN54" i="8"/>
  <c r="MHM54" i="8"/>
  <c r="MHL54" i="8"/>
  <c r="MHK54" i="8"/>
  <c r="MHJ54" i="8"/>
  <c r="MHI54" i="8"/>
  <c r="MHH54" i="8"/>
  <c r="MHG54" i="8"/>
  <c r="MHF54" i="8"/>
  <c r="MHE54" i="8"/>
  <c r="MHD54" i="8"/>
  <c r="MHC54" i="8"/>
  <c r="MHB54" i="8"/>
  <c r="MHA54" i="8"/>
  <c r="MGZ54" i="8"/>
  <c r="MGY54" i="8"/>
  <c r="MGX54" i="8"/>
  <c r="MGW54" i="8"/>
  <c r="MGV54" i="8"/>
  <c r="MGU54" i="8"/>
  <c r="MGT54" i="8"/>
  <c r="MGS54" i="8"/>
  <c r="MGR54" i="8"/>
  <c r="MGQ54" i="8"/>
  <c r="MGP54" i="8"/>
  <c r="MGO54" i="8"/>
  <c r="MGN54" i="8"/>
  <c r="MGM54" i="8"/>
  <c r="MGL54" i="8"/>
  <c r="MGK54" i="8"/>
  <c r="MGJ54" i="8"/>
  <c r="MGI54" i="8"/>
  <c r="MGH54" i="8"/>
  <c r="MGG54" i="8"/>
  <c r="MGF54" i="8"/>
  <c r="MGE54" i="8"/>
  <c r="MGD54" i="8"/>
  <c r="MGC54" i="8"/>
  <c r="MGB54" i="8"/>
  <c r="MGA54" i="8"/>
  <c r="MFZ54" i="8"/>
  <c r="MFY54" i="8"/>
  <c r="MFX54" i="8"/>
  <c r="MFW54" i="8"/>
  <c r="MFV54" i="8"/>
  <c r="MFU54" i="8"/>
  <c r="MFT54" i="8"/>
  <c r="MFS54" i="8"/>
  <c r="MFR54" i="8"/>
  <c r="MFQ54" i="8"/>
  <c r="MFP54" i="8"/>
  <c r="MFO54" i="8"/>
  <c r="MFN54" i="8"/>
  <c r="MFM54" i="8"/>
  <c r="MFL54" i="8"/>
  <c r="MFK54" i="8"/>
  <c r="MFJ54" i="8"/>
  <c r="MFI54" i="8"/>
  <c r="MFH54" i="8"/>
  <c r="MFG54" i="8"/>
  <c r="MFF54" i="8"/>
  <c r="MFE54" i="8"/>
  <c r="MFD54" i="8"/>
  <c r="MFC54" i="8"/>
  <c r="MFB54" i="8"/>
  <c r="MFA54" i="8"/>
  <c r="MEZ54" i="8"/>
  <c r="MEY54" i="8"/>
  <c r="MEX54" i="8"/>
  <c r="MEW54" i="8"/>
  <c r="MEV54" i="8"/>
  <c r="MEU54" i="8"/>
  <c r="MET54" i="8"/>
  <c r="MES54" i="8"/>
  <c r="MER54" i="8"/>
  <c r="MEQ54" i="8"/>
  <c r="MEP54" i="8"/>
  <c r="MEO54" i="8"/>
  <c r="MEN54" i="8"/>
  <c r="MEM54" i="8"/>
  <c r="MEL54" i="8"/>
  <c r="MEK54" i="8"/>
  <c r="MEJ54" i="8"/>
  <c r="MEI54" i="8"/>
  <c r="MEH54" i="8"/>
  <c r="MEG54" i="8"/>
  <c r="MEF54" i="8"/>
  <c r="MEE54" i="8"/>
  <c r="MED54" i="8"/>
  <c r="MEC54" i="8"/>
  <c r="MEB54" i="8"/>
  <c r="MEA54" i="8"/>
  <c r="MDZ54" i="8"/>
  <c r="MDY54" i="8"/>
  <c r="MDX54" i="8"/>
  <c r="MDW54" i="8"/>
  <c r="MDV54" i="8"/>
  <c r="MDU54" i="8"/>
  <c r="MDT54" i="8"/>
  <c r="MDS54" i="8"/>
  <c r="MDR54" i="8"/>
  <c r="MDQ54" i="8"/>
  <c r="MDP54" i="8"/>
  <c r="MDO54" i="8"/>
  <c r="MDN54" i="8"/>
  <c r="MDM54" i="8"/>
  <c r="MDL54" i="8"/>
  <c r="MDK54" i="8"/>
  <c r="MDJ54" i="8"/>
  <c r="MDI54" i="8"/>
  <c r="MDH54" i="8"/>
  <c r="MDG54" i="8"/>
  <c r="MDF54" i="8"/>
  <c r="MDE54" i="8"/>
  <c r="MDD54" i="8"/>
  <c r="MDC54" i="8"/>
  <c r="MDB54" i="8"/>
  <c r="MDA54" i="8"/>
  <c r="MCZ54" i="8"/>
  <c r="MCY54" i="8"/>
  <c r="MCX54" i="8"/>
  <c r="MCW54" i="8"/>
  <c r="MCV54" i="8"/>
  <c r="MCU54" i="8"/>
  <c r="MCT54" i="8"/>
  <c r="MCS54" i="8"/>
  <c r="MCR54" i="8"/>
  <c r="MCQ54" i="8"/>
  <c r="MCP54" i="8"/>
  <c r="MCO54" i="8"/>
  <c r="MCN54" i="8"/>
  <c r="MCM54" i="8"/>
  <c r="MCL54" i="8"/>
  <c r="MCK54" i="8"/>
  <c r="MCJ54" i="8"/>
  <c r="MCI54" i="8"/>
  <c r="MCH54" i="8"/>
  <c r="MCG54" i="8"/>
  <c r="MCF54" i="8"/>
  <c r="MCE54" i="8"/>
  <c r="MCD54" i="8"/>
  <c r="MCC54" i="8"/>
  <c r="MCB54" i="8"/>
  <c r="MCA54" i="8"/>
  <c r="MBZ54" i="8"/>
  <c r="MBY54" i="8"/>
  <c r="MBX54" i="8"/>
  <c r="MBW54" i="8"/>
  <c r="MBV54" i="8"/>
  <c r="MBU54" i="8"/>
  <c r="MBT54" i="8"/>
  <c r="MBS54" i="8"/>
  <c r="MBR54" i="8"/>
  <c r="MBQ54" i="8"/>
  <c r="MBP54" i="8"/>
  <c r="MBO54" i="8"/>
  <c r="MBN54" i="8"/>
  <c r="MBM54" i="8"/>
  <c r="MBL54" i="8"/>
  <c r="MBK54" i="8"/>
  <c r="MBJ54" i="8"/>
  <c r="MBI54" i="8"/>
  <c r="MBH54" i="8"/>
  <c r="MBG54" i="8"/>
  <c r="MBF54" i="8"/>
  <c r="MBE54" i="8"/>
  <c r="MBD54" i="8"/>
  <c r="MBC54" i="8"/>
  <c r="MBB54" i="8"/>
  <c r="MBA54" i="8"/>
  <c r="MAZ54" i="8"/>
  <c r="MAY54" i="8"/>
  <c r="MAX54" i="8"/>
  <c r="MAW54" i="8"/>
  <c r="MAV54" i="8"/>
  <c r="MAU54" i="8"/>
  <c r="MAT54" i="8"/>
  <c r="MAS54" i="8"/>
  <c r="MAR54" i="8"/>
  <c r="MAQ54" i="8"/>
  <c r="MAP54" i="8"/>
  <c r="MAO54" i="8"/>
  <c r="MAN54" i="8"/>
  <c r="MAM54" i="8"/>
  <c r="MAL54" i="8"/>
  <c r="MAK54" i="8"/>
  <c r="MAJ54" i="8"/>
  <c r="MAI54" i="8"/>
  <c r="MAH54" i="8"/>
  <c r="MAG54" i="8"/>
  <c r="MAF54" i="8"/>
  <c r="MAE54" i="8"/>
  <c r="MAD54" i="8"/>
  <c r="MAC54" i="8"/>
  <c r="MAB54" i="8"/>
  <c r="MAA54" i="8"/>
  <c r="LZZ54" i="8"/>
  <c r="LZY54" i="8"/>
  <c r="LZX54" i="8"/>
  <c r="LZW54" i="8"/>
  <c r="LZV54" i="8"/>
  <c r="LZU54" i="8"/>
  <c r="LZT54" i="8"/>
  <c r="LZS54" i="8"/>
  <c r="LZR54" i="8"/>
  <c r="LZQ54" i="8"/>
  <c r="LZP54" i="8"/>
  <c r="LZO54" i="8"/>
  <c r="LZN54" i="8"/>
  <c r="LZM54" i="8"/>
  <c r="LZL54" i="8"/>
  <c r="LZK54" i="8"/>
  <c r="LZJ54" i="8"/>
  <c r="LZI54" i="8"/>
  <c r="LZH54" i="8"/>
  <c r="LZG54" i="8"/>
  <c r="LZF54" i="8"/>
  <c r="LZE54" i="8"/>
  <c r="LZD54" i="8"/>
  <c r="LZC54" i="8"/>
  <c r="LZB54" i="8"/>
  <c r="LZA54" i="8"/>
  <c r="LYZ54" i="8"/>
  <c r="LYY54" i="8"/>
  <c r="LYX54" i="8"/>
  <c r="LYW54" i="8"/>
  <c r="LYV54" i="8"/>
  <c r="LYU54" i="8"/>
  <c r="LYT54" i="8"/>
  <c r="LYS54" i="8"/>
  <c r="LYR54" i="8"/>
  <c r="LYQ54" i="8"/>
  <c r="LYP54" i="8"/>
  <c r="LYO54" i="8"/>
  <c r="LYN54" i="8"/>
  <c r="LYM54" i="8"/>
  <c r="LYL54" i="8"/>
  <c r="LYK54" i="8"/>
  <c r="LYJ54" i="8"/>
  <c r="LYI54" i="8"/>
  <c r="LYH54" i="8"/>
  <c r="LYG54" i="8"/>
  <c r="LYF54" i="8"/>
  <c r="LYE54" i="8"/>
  <c r="LYD54" i="8"/>
  <c r="LYC54" i="8"/>
  <c r="LYB54" i="8"/>
  <c r="LYA54" i="8"/>
  <c r="LXZ54" i="8"/>
  <c r="LXY54" i="8"/>
  <c r="LXX54" i="8"/>
  <c r="LXW54" i="8"/>
  <c r="LXV54" i="8"/>
  <c r="LXU54" i="8"/>
  <c r="LXT54" i="8"/>
  <c r="LXS54" i="8"/>
  <c r="LXR54" i="8"/>
  <c r="LXQ54" i="8"/>
  <c r="LXP54" i="8"/>
  <c r="LXO54" i="8"/>
  <c r="LXN54" i="8"/>
  <c r="LXM54" i="8"/>
  <c r="LXL54" i="8"/>
  <c r="LXK54" i="8"/>
  <c r="LXJ54" i="8"/>
  <c r="LXI54" i="8"/>
  <c r="LXH54" i="8"/>
  <c r="LXG54" i="8"/>
  <c r="LXF54" i="8"/>
  <c r="LXE54" i="8"/>
  <c r="LXD54" i="8"/>
  <c r="LXC54" i="8"/>
  <c r="LXB54" i="8"/>
  <c r="LXA54" i="8"/>
  <c r="LWZ54" i="8"/>
  <c r="LWY54" i="8"/>
  <c r="LWX54" i="8"/>
  <c r="LWW54" i="8"/>
  <c r="LWV54" i="8"/>
  <c r="LWU54" i="8"/>
  <c r="LWT54" i="8"/>
  <c r="LWS54" i="8"/>
  <c r="LWR54" i="8"/>
  <c r="LWQ54" i="8"/>
  <c r="LWP54" i="8"/>
  <c r="LWO54" i="8"/>
  <c r="LWN54" i="8"/>
  <c r="LWM54" i="8"/>
  <c r="LWL54" i="8"/>
  <c r="LWK54" i="8"/>
  <c r="LWJ54" i="8"/>
  <c r="LWI54" i="8"/>
  <c r="LWH54" i="8"/>
  <c r="LWG54" i="8"/>
  <c r="LWF54" i="8"/>
  <c r="LWE54" i="8"/>
  <c r="LWD54" i="8"/>
  <c r="LWC54" i="8"/>
  <c r="LWB54" i="8"/>
  <c r="LWA54" i="8"/>
  <c r="LVZ54" i="8"/>
  <c r="LVY54" i="8"/>
  <c r="LVX54" i="8"/>
  <c r="LVW54" i="8"/>
  <c r="LVV54" i="8"/>
  <c r="LVU54" i="8"/>
  <c r="LVT54" i="8"/>
  <c r="LVS54" i="8"/>
  <c r="LVR54" i="8"/>
  <c r="LVQ54" i="8"/>
  <c r="LVP54" i="8"/>
  <c r="LVO54" i="8"/>
  <c r="LVN54" i="8"/>
  <c r="LVM54" i="8"/>
  <c r="LVL54" i="8"/>
  <c r="LVK54" i="8"/>
  <c r="LVJ54" i="8"/>
  <c r="LVI54" i="8"/>
  <c r="LVH54" i="8"/>
  <c r="LVG54" i="8"/>
  <c r="LVF54" i="8"/>
  <c r="LVE54" i="8"/>
  <c r="LVD54" i="8"/>
  <c r="LVC54" i="8"/>
  <c r="LVB54" i="8"/>
  <c r="LVA54" i="8"/>
  <c r="LUZ54" i="8"/>
  <c r="LUY54" i="8"/>
  <c r="LUX54" i="8"/>
  <c r="LUW54" i="8"/>
  <c r="LUV54" i="8"/>
  <c r="LUU54" i="8"/>
  <c r="LUT54" i="8"/>
  <c r="LUS54" i="8"/>
  <c r="LUR54" i="8"/>
  <c r="LUQ54" i="8"/>
  <c r="LUP54" i="8"/>
  <c r="LUO54" i="8"/>
  <c r="LUN54" i="8"/>
  <c r="LUM54" i="8"/>
  <c r="LUL54" i="8"/>
  <c r="LUK54" i="8"/>
  <c r="LUJ54" i="8"/>
  <c r="LUI54" i="8"/>
  <c r="LUH54" i="8"/>
  <c r="LUG54" i="8"/>
  <c r="LUF54" i="8"/>
  <c r="LUE54" i="8"/>
  <c r="LUD54" i="8"/>
  <c r="LUC54" i="8"/>
  <c r="LUB54" i="8"/>
  <c r="LUA54" i="8"/>
  <c r="LTZ54" i="8"/>
  <c r="LTY54" i="8"/>
  <c r="LTX54" i="8"/>
  <c r="LTW54" i="8"/>
  <c r="LTV54" i="8"/>
  <c r="LTU54" i="8"/>
  <c r="LTT54" i="8"/>
  <c r="LTS54" i="8"/>
  <c r="LTR54" i="8"/>
  <c r="LTQ54" i="8"/>
  <c r="LTP54" i="8"/>
  <c r="LTO54" i="8"/>
  <c r="LTN54" i="8"/>
  <c r="LTM54" i="8"/>
  <c r="LTL54" i="8"/>
  <c r="LTK54" i="8"/>
  <c r="LTJ54" i="8"/>
  <c r="LTI54" i="8"/>
  <c r="LTH54" i="8"/>
  <c r="LTG54" i="8"/>
  <c r="LTF54" i="8"/>
  <c r="LTE54" i="8"/>
  <c r="LTD54" i="8"/>
  <c r="LTC54" i="8"/>
  <c r="LTB54" i="8"/>
  <c r="LTA54" i="8"/>
  <c r="LSZ54" i="8"/>
  <c r="LSY54" i="8"/>
  <c r="LSX54" i="8"/>
  <c r="LSW54" i="8"/>
  <c r="LSV54" i="8"/>
  <c r="LSU54" i="8"/>
  <c r="LST54" i="8"/>
  <c r="LSS54" i="8"/>
  <c r="LSR54" i="8"/>
  <c r="LSQ54" i="8"/>
  <c r="LSP54" i="8"/>
  <c r="LSO54" i="8"/>
  <c r="LSN54" i="8"/>
  <c r="LSM54" i="8"/>
  <c r="LSL54" i="8"/>
  <c r="LSK54" i="8"/>
  <c r="LSJ54" i="8"/>
  <c r="LSI54" i="8"/>
  <c r="LSH54" i="8"/>
  <c r="LSG54" i="8"/>
  <c r="LSF54" i="8"/>
  <c r="LSE54" i="8"/>
  <c r="LSD54" i="8"/>
  <c r="LSC54" i="8"/>
  <c r="LSB54" i="8"/>
  <c r="LSA54" i="8"/>
  <c r="LRZ54" i="8"/>
  <c r="LRY54" i="8"/>
  <c r="LRX54" i="8"/>
  <c r="LRW54" i="8"/>
  <c r="LRV54" i="8"/>
  <c r="LRU54" i="8"/>
  <c r="LRT54" i="8"/>
  <c r="LRS54" i="8"/>
  <c r="LRR54" i="8"/>
  <c r="LRQ54" i="8"/>
  <c r="LRP54" i="8"/>
  <c r="LRO54" i="8"/>
  <c r="LRN54" i="8"/>
  <c r="LRM54" i="8"/>
  <c r="LRL54" i="8"/>
  <c r="LRK54" i="8"/>
  <c r="LRJ54" i="8"/>
  <c r="LRI54" i="8"/>
  <c r="LRH54" i="8"/>
  <c r="LRG54" i="8"/>
  <c r="LRF54" i="8"/>
  <c r="LRE54" i="8"/>
  <c r="LRD54" i="8"/>
  <c r="LRC54" i="8"/>
  <c r="LRB54" i="8"/>
  <c r="LRA54" i="8"/>
  <c r="LQZ54" i="8"/>
  <c r="LQY54" i="8"/>
  <c r="LQX54" i="8"/>
  <c r="LQW54" i="8"/>
  <c r="LQV54" i="8"/>
  <c r="LQU54" i="8"/>
  <c r="LQT54" i="8"/>
  <c r="LQS54" i="8"/>
  <c r="LQR54" i="8"/>
  <c r="LQQ54" i="8"/>
  <c r="LQP54" i="8"/>
  <c r="LQO54" i="8"/>
  <c r="LQN54" i="8"/>
  <c r="LQM54" i="8"/>
  <c r="LQL54" i="8"/>
  <c r="LQK54" i="8"/>
  <c r="LQJ54" i="8"/>
  <c r="LQI54" i="8"/>
  <c r="LQH54" i="8"/>
  <c r="LQG54" i="8"/>
  <c r="LQF54" i="8"/>
  <c r="LQE54" i="8"/>
  <c r="LQD54" i="8"/>
  <c r="LQC54" i="8"/>
  <c r="LQB54" i="8"/>
  <c r="LQA54" i="8"/>
  <c r="LPZ54" i="8"/>
  <c r="LPY54" i="8"/>
  <c r="LPX54" i="8"/>
  <c r="LPW54" i="8"/>
  <c r="LPV54" i="8"/>
  <c r="LPU54" i="8"/>
  <c r="LPT54" i="8"/>
  <c r="LPS54" i="8"/>
  <c r="LPR54" i="8"/>
  <c r="LPQ54" i="8"/>
  <c r="LPP54" i="8"/>
  <c r="LPO54" i="8"/>
  <c r="LPN54" i="8"/>
  <c r="LPM54" i="8"/>
  <c r="LPL54" i="8"/>
  <c r="LPK54" i="8"/>
  <c r="LPJ54" i="8"/>
  <c r="LPI54" i="8"/>
  <c r="LPH54" i="8"/>
  <c r="LPG54" i="8"/>
  <c r="LPF54" i="8"/>
  <c r="LPE54" i="8"/>
  <c r="LPD54" i="8"/>
  <c r="LPC54" i="8"/>
  <c r="LPB54" i="8"/>
  <c r="LPA54" i="8"/>
  <c r="LOZ54" i="8"/>
  <c r="LOY54" i="8"/>
  <c r="LOX54" i="8"/>
  <c r="LOW54" i="8"/>
  <c r="LOV54" i="8"/>
  <c r="LOU54" i="8"/>
  <c r="LOT54" i="8"/>
  <c r="LOS54" i="8"/>
  <c r="LOR54" i="8"/>
  <c r="LOQ54" i="8"/>
  <c r="LOP54" i="8"/>
  <c r="LOO54" i="8"/>
  <c r="LON54" i="8"/>
  <c r="LOM54" i="8"/>
  <c r="LOL54" i="8"/>
  <c r="LOK54" i="8"/>
  <c r="LOJ54" i="8"/>
  <c r="LOI54" i="8"/>
  <c r="LOH54" i="8"/>
  <c r="LOG54" i="8"/>
  <c r="LOF54" i="8"/>
  <c r="LOE54" i="8"/>
  <c r="LOD54" i="8"/>
  <c r="LOC54" i="8"/>
  <c r="LOB54" i="8"/>
  <c r="LOA54" i="8"/>
  <c r="LNZ54" i="8"/>
  <c r="LNY54" i="8"/>
  <c r="LNX54" i="8"/>
  <c r="LNW54" i="8"/>
  <c r="LNV54" i="8"/>
  <c r="LNU54" i="8"/>
  <c r="LNT54" i="8"/>
  <c r="LNS54" i="8"/>
  <c r="LNR54" i="8"/>
  <c r="LNQ54" i="8"/>
  <c r="LNP54" i="8"/>
  <c r="LNO54" i="8"/>
  <c r="LNN54" i="8"/>
  <c r="LNM54" i="8"/>
  <c r="LNL54" i="8"/>
  <c r="LNK54" i="8"/>
  <c r="LNJ54" i="8"/>
  <c r="LNI54" i="8"/>
  <c r="LNH54" i="8"/>
  <c r="LNG54" i="8"/>
  <c r="LNF54" i="8"/>
  <c r="LNE54" i="8"/>
  <c r="LND54" i="8"/>
  <c r="LNC54" i="8"/>
  <c r="LNB54" i="8"/>
  <c r="LNA54" i="8"/>
  <c r="LMZ54" i="8"/>
  <c r="LMY54" i="8"/>
  <c r="LMX54" i="8"/>
  <c r="LMW54" i="8"/>
  <c r="LMV54" i="8"/>
  <c r="LMU54" i="8"/>
  <c r="LMT54" i="8"/>
  <c r="LMS54" i="8"/>
  <c r="LMR54" i="8"/>
  <c r="LMQ54" i="8"/>
  <c r="LMP54" i="8"/>
  <c r="LMO54" i="8"/>
  <c r="LMN54" i="8"/>
  <c r="LMM54" i="8"/>
  <c r="LML54" i="8"/>
  <c r="LMK54" i="8"/>
  <c r="LMJ54" i="8"/>
  <c r="LMI54" i="8"/>
  <c r="LMH54" i="8"/>
  <c r="LMG54" i="8"/>
  <c r="LMF54" i="8"/>
  <c r="LME54" i="8"/>
  <c r="LMD54" i="8"/>
  <c r="LMC54" i="8"/>
  <c r="LMB54" i="8"/>
  <c r="LMA54" i="8"/>
  <c r="LLZ54" i="8"/>
  <c r="LLY54" i="8"/>
  <c r="LLX54" i="8"/>
  <c r="LLW54" i="8"/>
  <c r="LLV54" i="8"/>
  <c r="LLU54" i="8"/>
  <c r="LLT54" i="8"/>
  <c r="LLS54" i="8"/>
  <c r="LLR54" i="8"/>
  <c r="LLQ54" i="8"/>
  <c r="LLP54" i="8"/>
  <c r="LLO54" i="8"/>
  <c r="LLN54" i="8"/>
  <c r="LLM54" i="8"/>
  <c r="LLL54" i="8"/>
  <c r="LLK54" i="8"/>
  <c r="LLJ54" i="8"/>
  <c r="LLI54" i="8"/>
  <c r="LLH54" i="8"/>
  <c r="LLG54" i="8"/>
  <c r="LLF54" i="8"/>
  <c r="LLE54" i="8"/>
  <c r="LLD54" i="8"/>
  <c r="LLC54" i="8"/>
  <c r="LLB54" i="8"/>
  <c r="LLA54" i="8"/>
  <c r="LKZ54" i="8"/>
  <c r="LKY54" i="8"/>
  <c r="LKX54" i="8"/>
  <c r="LKW54" i="8"/>
  <c r="LKV54" i="8"/>
  <c r="LKU54" i="8"/>
  <c r="LKT54" i="8"/>
  <c r="LKS54" i="8"/>
  <c r="LKR54" i="8"/>
  <c r="LKQ54" i="8"/>
  <c r="LKP54" i="8"/>
  <c r="LKO54" i="8"/>
  <c r="LKN54" i="8"/>
  <c r="LKM54" i="8"/>
  <c r="LKL54" i="8"/>
  <c r="LKK54" i="8"/>
  <c r="LKJ54" i="8"/>
  <c r="LKI54" i="8"/>
  <c r="LKH54" i="8"/>
  <c r="LKG54" i="8"/>
  <c r="LKF54" i="8"/>
  <c r="LKE54" i="8"/>
  <c r="LKD54" i="8"/>
  <c r="LKC54" i="8"/>
  <c r="LKB54" i="8"/>
  <c r="LKA54" i="8"/>
  <c r="LJZ54" i="8"/>
  <c r="LJY54" i="8"/>
  <c r="LJX54" i="8"/>
  <c r="LJW54" i="8"/>
  <c r="LJV54" i="8"/>
  <c r="LJU54" i="8"/>
  <c r="LJT54" i="8"/>
  <c r="LJS54" i="8"/>
  <c r="LJR54" i="8"/>
  <c r="LJQ54" i="8"/>
  <c r="LJP54" i="8"/>
  <c r="LJO54" i="8"/>
  <c r="LJN54" i="8"/>
  <c r="LJM54" i="8"/>
  <c r="LJL54" i="8"/>
  <c r="LJK54" i="8"/>
  <c r="LJJ54" i="8"/>
  <c r="LJI54" i="8"/>
  <c r="LJH54" i="8"/>
  <c r="LJG54" i="8"/>
  <c r="LJF54" i="8"/>
  <c r="LJE54" i="8"/>
  <c r="LJD54" i="8"/>
  <c r="LJC54" i="8"/>
  <c r="LJB54" i="8"/>
  <c r="LJA54" i="8"/>
  <c r="LIZ54" i="8"/>
  <c r="LIY54" i="8"/>
  <c r="LIX54" i="8"/>
  <c r="LIW54" i="8"/>
  <c r="LIV54" i="8"/>
  <c r="LIU54" i="8"/>
  <c r="LIT54" i="8"/>
  <c r="LIS54" i="8"/>
  <c r="LIR54" i="8"/>
  <c r="LIQ54" i="8"/>
  <c r="LIP54" i="8"/>
  <c r="LIO54" i="8"/>
  <c r="LIN54" i="8"/>
  <c r="LIM54" i="8"/>
  <c r="LIL54" i="8"/>
  <c r="LIK54" i="8"/>
  <c r="LIJ54" i="8"/>
  <c r="LII54" i="8"/>
  <c r="LIH54" i="8"/>
  <c r="LIG54" i="8"/>
  <c r="LIF54" i="8"/>
  <c r="LIE54" i="8"/>
  <c r="LID54" i="8"/>
  <c r="LIC54" i="8"/>
  <c r="LIB54" i="8"/>
  <c r="LIA54" i="8"/>
  <c r="LHZ54" i="8"/>
  <c r="LHY54" i="8"/>
  <c r="LHX54" i="8"/>
  <c r="LHW54" i="8"/>
  <c r="LHV54" i="8"/>
  <c r="LHU54" i="8"/>
  <c r="LHT54" i="8"/>
  <c r="LHS54" i="8"/>
  <c r="LHR54" i="8"/>
  <c r="LHQ54" i="8"/>
  <c r="LHP54" i="8"/>
  <c r="LHO54" i="8"/>
  <c r="LHN54" i="8"/>
  <c r="LHM54" i="8"/>
  <c r="LHL54" i="8"/>
  <c r="LHK54" i="8"/>
  <c r="LHJ54" i="8"/>
  <c r="LHI54" i="8"/>
  <c r="LHH54" i="8"/>
  <c r="LHG54" i="8"/>
  <c r="LHF54" i="8"/>
  <c r="LHE54" i="8"/>
  <c r="LHD54" i="8"/>
  <c r="LHC54" i="8"/>
  <c r="LHB54" i="8"/>
  <c r="LHA54" i="8"/>
  <c r="LGZ54" i="8"/>
  <c r="LGY54" i="8"/>
  <c r="LGX54" i="8"/>
  <c r="LGW54" i="8"/>
  <c r="LGV54" i="8"/>
  <c r="LGU54" i="8"/>
  <c r="LGT54" i="8"/>
  <c r="LGS54" i="8"/>
  <c r="LGR54" i="8"/>
  <c r="LGQ54" i="8"/>
  <c r="LGP54" i="8"/>
  <c r="LGO54" i="8"/>
  <c r="LGN54" i="8"/>
  <c r="LGM54" i="8"/>
  <c r="LGL54" i="8"/>
  <c r="LGK54" i="8"/>
  <c r="LGJ54" i="8"/>
  <c r="LGI54" i="8"/>
  <c r="LGH54" i="8"/>
  <c r="LGG54" i="8"/>
  <c r="LGF54" i="8"/>
  <c r="LGE54" i="8"/>
  <c r="LGD54" i="8"/>
  <c r="LGC54" i="8"/>
  <c r="LGB54" i="8"/>
  <c r="LGA54" i="8"/>
  <c r="LFZ54" i="8"/>
  <c r="LFY54" i="8"/>
  <c r="LFX54" i="8"/>
  <c r="LFW54" i="8"/>
  <c r="LFV54" i="8"/>
  <c r="LFU54" i="8"/>
  <c r="LFT54" i="8"/>
  <c r="LFS54" i="8"/>
  <c r="LFR54" i="8"/>
  <c r="LFQ54" i="8"/>
  <c r="LFP54" i="8"/>
  <c r="LFO54" i="8"/>
  <c r="LFN54" i="8"/>
  <c r="LFM54" i="8"/>
  <c r="LFL54" i="8"/>
  <c r="LFK54" i="8"/>
  <c r="LFJ54" i="8"/>
  <c r="LFI54" i="8"/>
  <c r="LFH54" i="8"/>
  <c r="LFG54" i="8"/>
  <c r="LFF54" i="8"/>
  <c r="LFE54" i="8"/>
  <c r="LFD54" i="8"/>
  <c r="LFC54" i="8"/>
  <c r="LFB54" i="8"/>
  <c r="LFA54" i="8"/>
  <c r="LEZ54" i="8"/>
  <c r="LEY54" i="8"/>
  <c r="LEX54" i="8"/>
  <c r="LEW54" i="8"/>
  <c r="LEV54" i="8"/>
  <c r="LEU54" i="8"/>
  <c r="LET54" i="8"/>
  <c r="LES54" i="8"/>
  <c r="LER54" i="8"/>
  <c r="LEQ54" i="8"/>
  <c r="LEP54" i="8"/>
  <c r="LEO54" i="8"/>
  <c r="LEN54" i="8"/>
  <c r="LEM54" i="8"/>
  <c r="LEL54" i="8"/>
  <c r="LEK54" i="8"/>
  <c r="LEJ54" i="8"/>
  <c r="LEI54" i="8"/>
  <c r="LEH54" i="8"/>
  <c r="LEG54" i="8"/>
  <c r="LEF54" i="8"/>
  <c r="LEE54" i="8"/>
  <c r="LED54" i="8"/>
  <c r="LEC54" i="8"/>
  <c r="LEB54" i="8"/>
  <c r="LEA54" i="8"/>
  <c r="LDZ54" i="8"/>
  <c r="LDY54" i="8"/>
  <c r="LDX54" i="8"/>
  <c r="LDW54" i="8"/>
  <c r="LDV54" i="8"/>
  <c r="LDU54" i="8"/>
  <c r="LDT54" i="8"/>
  <c r="LDS54" i="8"/>
  <c r="LDR54" i="8"/>
  <c r="LDQ54" i="8"/>
  <c r="LDP54" i="8"/>
  <c r="LDO54" i="8"/>
  <c r="LDN54" i="8"/>
  <c r="LDM54" i="8"/>
  <c r="LDL54" i="8"/>
  <c r="LDK54" i="8"/>
  <c r="LDJ54" i="8"/>
  <c r="LDI54" i="8"/>
  <c r="LDH54" i="8"/>
  <c r="LDG54" i="8"/>
  <c r="LDF54" i="8"/>
  <c r="LDE54" i="8"/>
  <c r="LDD54" i="8"/>
  <c r="LDC54" i="8"/>
  <c r="LDB54" i="8"/>
  <c r="LDA54" i="8"/>
  <c r="LCZ54" i="8"/>
  <c r="LCY54" i="8"/>
  <c r="LCX54" i="8"/>
  <c r="LCW54" i="8"/>
  <c r="LCV54" i="8"/>
  <c r="LCU54" i="8"/>
  <c r="LCT54" i="8"/>
  <c r="LCS54" i="8"/>
  <c r="LCR54" i="8"/>
  <c r="LCQ54" i="8"/>
  <c r="LCP54" i="8"/>
  <c r="LCO54" i="8"/>
  <c r="LCN54" i="8"/>
  <c r="LCM54" i="8"/>
  <c r="LCL54" i="8"/>
  <c r="LCK54" i="8"/>
  <c r="LCJ54" i="8"/>
  <c r="LCI54" i="8"/>
  <c r="LCH54" i="8"/>
  <c r="LCG54" i="8"/>
  <c r="LCF54" i="8"/>
  <c r="LCE54" i="8"/>
  <c r="LCD54" i="8"/>
  <c r="LCC54" i="8"/>
  <c r="LCB54" i="8"/>
  <c r="LCA54" i="8"/>
  <c r="LBZ54" i="8"/>
  <c r="LBY54" i="8"/>
  <c r="LBX54" i="8"/>
  <c r="LBW54" i="8"/>
  <c r="LBV54" i="8"/>
  <c r="LBU54" i="8"/>
  <c r="LBT54" i="8"/>
  <c r="LBS54" i="8"/>
  <c r="LBR54" i="8"/>
  <c r="LBQ54" i="8"/>
  <c r="LBP54" i="8"/>
  <c r="LBO54" i="8"/>
  <c r="LBN54" i="8"/>
  <c r="LBM54" i="8"/>
  <c r="LBL54" i="8"/>
  <c r="LBK54" i="8"/>
  <c r="LBJ54" i="8"/>
  <c r="LBI54" i="8"/>
  <c r="LBH54" i="8"/>
  <c r="LBG54" i="8"/>
  <c r="LBF54" i="8"/>
  <c r="LBE54" i="8"/>
  <c r="LBD54" i="8"/>
  <c r="LBC54" i="8"/>
  <c r="LBB54" i="8"/>
  <c r="LBA54" i="8"/>
  <c r="LAZ54" i="8"/>
  <c r="LAY54" i="8"/>
  <c r="LAX54" i="8"/>
  <c r="LAW54" i="8"/>
  <c r="LAV54" i="8"/>
  <c r="LAU54" i="8"/>
  <c r="LAT54" i="8"/>
  <c r="LAS54" i="8"/>
  <c r="LAR54" i="8"/>
  <c r="LAQ54" i="8"/>
  <c r="LAP54" i="8"/>
  <c r="LAO54" i="8"/>
  <c r="LAN54" i="8"/>
  <c r="LAM54" i="8"/>
  <c r="LAL54" i="8"/>
  <c r="LAK54" i="8"/>
  <c r="LAJ54" i="8"/>
  <c r="LAI54" i="8"/>
  <c r="LAH54" i="8"/>
  <c r="LAG54" i="8"/>
  <c r="LAF54" i="8"/>
  <c r="LAE54" i="8"/>
  <c r="LAD54" i="8"/>
  <c r="LAC54" i="8"/>
  <c r="LAB54" i="8"/>
  <c r="LAA54" i="8"/>
  <c r="KZZ54" i="8"/>
  <c r="KZY54" i="8"/>
  <c r="KZX54" i="8"/>
  <c r="KZW54" i="8"/>
  <c r="KZV54" i="8"/>
  <c r="KZU54" i="8"/>
  <c r="KZT54" i="8"/>
  <c r="KZS54" i="8"/>
  <c r="KZR54" i="8"/>
  <c r="KZQ54" i="8"/>
  <c r="KZP54" i="8"/>
  <c r="KZO54" i="8"/>
  <c r="KZN54" i="8"/>
  <c r="KZM54" i="8"/>
  <c r="KZL54" i="8"/>
  <c r="KZK54" i="8"/>
  <c r="KZJ54" i="8"/>
  <c r="KZI54" i="8"/>
  <c r="KZH54" i="8"/>
  <c r="KZG54" i="8"/>
  <c r="KZF54" i="8"/>
  <c r="KZE54" i="8"/>
  <c r="KZD54" i="8"/>
  <c r="KZC54" i="8"/>
  <c r="KZB54" i="8"/>
  <c r="KZA54" i="8"/>
  <c r="KYZ54" i="8"/>
  <c r="KYY54" i="8"/>
  <c r="KYX54" i="8"/>
  <c r="KYW54" i="8"/>
  <c r="KYV54" i="8"/>
  <c r="KYU54" i="8"/>
  <c r="KYT54" i="8"/>
  <c r="KYS54" i="8"/>
  <c r="KYR54" i="8"/>
  <c r="KYQ54" i="8"/>
  <c r="KYP54" i="8"/>
  <c r="KYO54" i="8"/>
  <c r="KYN54" i="8"/>
  <c r="KYM54" i="8"/>
  <c r="KYL54" i="8"/>
  <c r="KYK54" i="8"/>
  <c r="KYJ54" i="8"/>
  <c r="KYI54" i="8"/>
  <c r="KYH54" i="8"/>
  <c r="KYG54" i="8"/>
  <c r="KYF54" i="8"/>
  <c r="KYE54" i="8"/>
  <c r="KYD54" i="8"/>
  <c r="KYC54" i="8"/>
  <c r="KYB54" i="8"/>
  <c r="KYA54" i="8"/>
  <c r="KXZ54" i="8"/>
  <c r="KXY54" i="8"/>
  <c r="KXX54" i="8"/>
  <c r="KXW54" i="8"/>
  <c r="KXV54" i="8"/>
  <c r="KXU54" i="8"/>
  <c r="KXT54" i="8"/>
  <c r="KXS54" i="8"/>
  <c r="KXR54" i="8"/>
  <c r="KXQ54" i="8"/>
  <c r="KXP54" i="8"/>
  <c r="KXO54" i="8"/>
  <c r="KXN54" i="8"/>
  <c r="KXM54" i="8"/>
  <c r="KXL54" i="8"/>
  <c r="KXK54" i="8"/>
  <c r="KXJ54" i="8"/>
  <c r="KXI54" i="8"/>
  <c r="KXH54" i="8"/>
  <c r="KXG54" i="8"/>
  <c r="KXF54" i="8"/>
  <c r="KXE54" i="8"/>
  <c r="KXD54" i="8"/>
  <c r="KXC54" i="8"/>
  <c r="KXB54" i="8"/>
  <c r="KXA54" i="8"/>
  <c r="KWZ54" i="8"/>
  <c r="KWY54" i="8"/>
  <c r="KWX54" i="8"/>
  <c r="KWW54" i="8"/>
  <c r="KWV54" i="8"/>
  <c r="KWU54" i="8"/>
  <c r="KWT54" i="8"/>
  <c r="KWS54" i="8"/>
  <c r="KWR54" i="8"/>
  <c r="KWQ54" i="8"/>
  <c r="KWP54" i="8"/>
  <c r="KWO54" i="8"/>
  <c r="KWN54" i="8"/>
  <c r="KWM54" i="8"/>
  <c r="KWL54" i="8"/>
  <c r="KWK54" i="8"/>
  <c r="KWJ54" i="8"/>
  <c r="KWI54" i="8"/>
  <c r="KWH54" i="8"/>
  <c r="KWG54" i="8"/>
  <c r="KWF54" i="8"/>
  <c r="KWE54" i="8"/>
  <c r="KWD54" i="8"/>
  <c r="KWC54" i="8"/>
  <c r="KWB54" i="8"/>
  <c r="KWA54" i="8"/>
  <c r="KVZ54" i="8"/>
  <c r="KVY54" i="8"/>
  <c r="KVX54" i="8"/>
  <c r="KVW54" i="8"/>
  <c r="KVV54" i="8"/>
  <c r="KVU54" i="8"/>
  <c r="KVT54" i="8"/>
  <c r="KVS54" i="8"/>
  <c r="KVR54" i="8"/>
  <c r="KVQ54" i="8"/>
  <c r="KVP54" i="8"/>
  <c r="KVO54" i="8"/>
  <c r="KVN54" i="8"/>
  <c r="KVM54" i="8"/>
  <c r="KVL54" i="8"/>
  <c r="KVK54" i="8"/>
  <c r="KVJ54" i="8"/>
  <c r="KVI54" i="8"/>
  <c r="KVH54" i="8"/>
  <c r="KVG54" i="8"/>
  <c r="KVF54" i="8"/>
  <c r="KVE54" i="8"/>
  <c r="KVD54" i="8"/>
  <c r="KVC54" i="8"/>
  <c r="KVB54" i="8"/>
  <c r="KVA54" i="8"/>
  <c r="KUZ54" i="8"/>
  <c r="KUY54" i="8"/>
  <c r="KUX54" i="8"/>
  <c r="KUW54" i="8"/>
  <c r="KUV54" i="8"/>
  <c r="KUU54" i="8"/>
  <c r="KUT54" i="8"/>
  <c r="KUS54" i="8"/>
  <c r="KUR54" i="8"/>
  <c r="KUQ54" i="8"/>
  <c r="KUP54" i="8"/>
  <c r="KUO54" i="8"/>
  <c r="KUN54" i="8"/>
  <c r="KUM54" i="8"/>
  <c r="KUL54" i="8"/>
  <c r="KUK54" i="8"/>
  <c r="KUJ54" i="8"/>
  <c r="KUI54" i="8"/>
  <c r="KUH54" i="8"/>
  <c r="KUG54" i="8"/>
  <c r="KUF54" i="8"/>
  <c r="KUE54" i="8"/>
  <c r="KUD54" i="8"/>
  <c r="KUC54" i="8"/>
  <c r="KUB54" i="8"/>
  <c r="KUA54" i="8"/>
  <c r="KTZ54" i="8"/>
  <c r="KTY54" i="8"/>
  <c r="KTX54" i="8"/>
  <c r="KTW54" i="8"/>
  <c r="KTV54" i="8"/>
  <c r="KTU54" i="8"/>
  <c r="KTT54" i="8"/>
  <c r="KTS54" i="8"/>
  <c r="KTR54" i="8"/>
  <c r="KTQ54" i="8"/>
  <c r="KTP54" i="8"/>
  <c r="KTO54" i="8"/>
  <c r="KTN54" i="8"/>
  <c r="KTM54" i="8"/>
  <c r="KTL54" i="8"/>
  <c r="KTK54" i="8"/>
  <c r="KTJ54" i="8"/>
  <c r="KTI54" i="8"/>
  <c r="KTH54" i="8"/>
  <c r="KTG54" i="8"/>
  <c r="KTF54" i="8"/>
  <c r="KTE54" i="8"/>
  <c r="KTD54" i="8"/>
  <c r="KTC54" i="8"/>
  <c r="KTB54" i="8"/>
  <c r="KTA54" i="8"/>
  <c r="KSZ54" i="8"/>
  <c r="KSY54" i="8"/>
  <c r="KSX54" i="8"/>
  <c r="KSW54" i="8"/>
  <c r="KSV54" i="8"/>
  <c r="KSU54" i="8"/>
  <c r="KST54" i="8"/>
  <c r="KSS54" i="8"/>
  <c r="KSR54" i="8"/>
  <c r="KSQ54" i="8"/>
  <c r="KSP54" i="8"/>
  <c r="KSO54" i="8"/>
  <c r="KSN54" i="8"/>
  <c r="KSM54" i="8"/>
  <c r="KSL54" i="8"/>
  <c r="KSK54" i="8"/>
  <c r="KSJ54" i="8"/>
  <c r="KSI54" i="8"/>
  <c r="KSH54" i="8"/>
  <c r="KSG54" i="8"/>
  <c r="KSF54" i="8"/>
  <c r="KSE54" i="8"/>
  <c r="KSD54" i="8"/>
  <c r="KSC54" i="8"/>
  <c r="KSB54" i="8"/>
  <c r="KSA54" i="8"/>
  <c r="KRZ54" i="8"/>
  <c r="KRY54" i="8"/>
  <c r="KRX54" i="8"/>
  <c r="KRW54" i="8"/>
  <c r="KRV54" i="8"/>
  <c r="KRU54" i="8"/>
  <c r="KRT54" i="8"/>
  <c r="KRS54" i="8"/>
  <c r="KRR54" i="8"/>
  <c r="KRQ54" i="8"/>
  <c r="KRP54" i="8"/>
  <c r="KRO54" i="8"/>
  <c r="KRN54" i="8"/>
  <c r="KRM54" i="8"/>
  <c r="KRL54" i="8"/>
  <c r="KRK54" i="8"/>
  <c r="KRJ54" i="8"/>
  <c r="KRI54" i="8"/>
  <c r="KRH54" i="8"/>
  <c r="KRG54" i="8"/>
  <c r="KRF54" i="8"/>
  <c r="KRE54" i="8"/>
  <c r="KRD54" i="8"/>
  <c r="KRC54" i="8"/>
  <c r="KRB54" i="8"/>
  <c r="KRA54" i="8"/>
  <c r="KQZ54" i="8"/>
  <c r="KQY54" i="8"/>
  <c r="KQX54" i="8"/>
  <c r="KQW54" i="8"/>
  <c r="KQV54" i="8"/>
  <c r="KQU54" i="8"/>
  <c r="KQT54" i="8"/>
  <c r="KQS54" i="8"/>
  <c r="KQR54" i="8"/>
  <c r="KQQ54" i="8"/>
  <c r="KQP54" i="8"/>
  <c r="KQO54" i="8"/>
  <c r="KQN54" i="8"/>
  <c r="KQM54" i="8"/>
  <c r="KQL54" i="8"/>
  <c r="KQK54" i="8"/>
  <c r="KQJ54" i="8"/>
  <c r="KQI54" i="8"/>
  <c r="KQH54" i="8"/>
  <c r="KQG54" i="8"/>
  <c r="KQF54" i="8"/>
  <c r="KQE54" i="8"/>
  <c r="KQD54" i="8"/>
  <c r="KQC54" i="8"/>
  <c r="KQB54" i="8"/>
  <c r="KQA54" i="8"/>
  <c r="KPZ54" i="8"/>
  <c r="KPY54" i="8"/>
  <c r="KPX54" i="8"/>
  <c r="KPW54" i="8"/>
  <c r="KPV54" i="8"/>
  <c r="KPU54" i="8"/>
  <c r="KPT54" i="8"/>
  <c r="KPS54" i="8"/>
  <c r="KPR54" i="8"/>
  <c r="KPQ54" i="8"/>
  <c r="KPP54" i="8"/>
  <c r="KPO54" i="8"/>
  <c r="KPN54" i="8"/>
  <c r="KPM54" i="8"/>
  <c r="KPL54" i="8"/>
  <c r="KPK54" i="8"/>
  <c r="KPJ54" i="8"/>
  <c r="KPI54" i="8"/>
  <c r="KPH54" i="8"/>
  <c r="KPG54" i="8"/>
  <c r="KPF54" i="8"/>
  <c r="KPE54" i="8"/>
  <c r="KPD54" i="8"/>
  <c r="KPC54" i="8"/>
  <c r="KPB54" i="8"/>
  <c r="KPA54" i="8"/>
  <c r="KOZ54" i="8"/>
  <c r="KOY54" i="8"/>
  <c r="KOX54" i="8"/>
  <c r="KOW54" i="8"/>
  <c r="KOV54" i="8"/>
  <c r="KOU54" i="8"/>
  <c r="KOT54" i="8"/>
  <c r="KOS54" i="8"/>
  <c r="KOR54" i="8"/>
  <c r="KOQ54" i="8"/>
  <c r="KOP54" i="8"/>
  <c r="KOO54" i="8"/>
  <c r="KON54" i="8"/>
  <c r="KOM54" i="8"/>
  <c r="KOL54" i="8"/>
  <c r="KOK54" i="8"/>
  <c r="KOJ54" i="8"/>
  <c r="KOI54" i="8"/>
  <c r="KOH54" i="8"/>
  <c r="KOG54" i="8"/>
  <c r="KOF54" i="8"/>
  <c r="KOE54" i="8"/>
  <c r="KOD54" i="8"/>
  <c r="KOC54" i="8"/>
  <c r="KOB54" i="8"/>
  <c r="KOA54" i="8"/>
  <c r="KNZ54" i="8"/>
  <c r="KNY54" i="8"/>
  <c r="KNX54" i="8"/>
  <c r="KNW54" i="8"/>
  <c r="KNV54" i="8"/>
  <c r="KNU54" i="8"/>
  <c r="KNT54" i="8"/>
  <c r="KNS54" i="8"/>
  <c r="KNR54" i="8"/>
  <c r="KNQ54" i="8"/>
  <c r="KNP54" i="8"/>
  <c r="KNO54" i="8"/>
  <c r="KNN54" i="8"/>
  <c r="KNM54" i="8"/>
  <c r="KNL54" i="8"/>
  <c r="KNK54" i="8"/>
  <c r="KNJ54" i="8"/>
  <c r="KNI54" i="8"/>
  <c r="KNH54" i="8"/>
  <c r="KNG54" i="8"/>
  <c r="KNF54" i="8"/>
  <c r="KNE54" i="8"/>
  <c r="KND54" i="8"/>
  <c r="KNC54" i="8"/>
  <c r="KNB54" i="8"/>
  <c r="KNA54" i="8"/>
  <c r="KMZ54" i="8"/>
  <c r="KMY54" i="8"/>
  <c r="KMX54" i="8"/>
  <c r="KMW54" i="8"/>
  <c r="KMV54" i="8"/>
  <c r="KMU54" i="8"/>
  <c r="KMT54" i="8"/>
  <c r="KMS54" i="8"/>
  <c r="KMR54" i="8"/>
  <c r="KMQ54" i="8"/>
  <c r="KMP54" i="8"/>
  <c r="KMO54" i="8"/>
  <c r="KMN54" i="8"/>
  <c r="KMM54" i="8"/>
  <c r="KML54" i="8"/>
  <c r="KMK54" i="8"/>
  <c r="KMJ54" i="8"/>
  <c r="KMI54" i="8"/>
  <c r="KMH54" i="8"/>
  <c r="KMG54" i="8"/>
  <c r="KMF54" i="8"/>
  <c r="KME54" i="8"/>
  <c r="KMD54" i="8"/>
  <c r="KMC54" i="8"/>
  <c r="KMB54" i="8"/>
  <c r="KMA54" i="8"/>
  <c r="KLZ54" i="8"/>
  <c r="KLY54" i="8"/>
  <c r="KLX54" i="8"/>
  <c r="KLW54" i="8"/>
  <c r="KLV54" i="8"/>
  <c r="KLU54" i="8"/>
  <c r="KLT54" i="8"/>
  <c r="KLS54" i="8"/>
  <c r="KLR54" i="8"/>
  <c r="KLQ54" i="8"/>
  <c r="KLP54" i="8"/>
  <c r="KLO54" i="8"/>
  <c r="KLN54" i="8"/>
  <c r="KLM54" i="8"/>
  <c r="KLL54" i="8"/>
  <c r="KLK54" i="8"/>
  <c r="KLJ54" i="8"/>
  <c r="KLI54" i="8"/>
  <c r="KLH54" i="8"/>
  <c r="KLG54" i="8"/>
  <c r="KLF54" i="8"/>
  <c r="KLE54" i="8"/>
  <c r="KLD54" i="8"/>
  <c r="KLC54" i="8"/>
  <c r="KLB54" i="8"/>
  <c r="KLA54" i="8"/>
  <c r="KKZ54" i="8"/>
  <c r="KKY54" i="8"/>
  <c r="KKX54" i="8"/>
  <c r="KKW54" i="8"/>
  <c r="KKV54" i="8"/>
  <c r="KKU54" i="8"/>
  <c r="KKT54" i="8"/>
  <c r="KKS54" i="8"/>
  <c r="KKR54" i="8"/>
  <c r="KKQ54" i="8"/>
  <c r="KKP54" i="8"/>
  <c r="KKO54" i="8"/>
  <c r="KKN54" i="8"/>
  <c r="KKM54" i="8"/>
  <c r="KKL54" i="8"/>
  <c r="KKK54" i="8"/>
  <c r="KKJ54" i="8"/>
  <c r="KKI54" i="8"/>
  <c r="KKH54" i="8"/>
  <c r="KKG54" i="8"/>
  <c r="KKF54" i="8"/>
  <c r="KKE54" i="8"/>
  <c r="KKD54" i="8"/>
  <c r="KKC54" i="8"/>
  <c r="KKB54" i="8"/>
  <c r="KKA54" i="8"/>
  <c r="KJZ54" i="8"/>
  <c r="KJY54" i="8"/>
  <c r="KJX54" i="8"/>
  <c r="KJW54" i="8"/>
  <c r="KJV54" i="8"/>
  <c r="KJU54" i="8"/>
  <c r="KJT54" i="8"/>
  <c r="KJS54" i="8"/>
  <c r="KJR54" i="8"/>
  <c r="KJQ54" i="8"/>
  <c r="KJP54" i="8"/>
  <c r="KJO54" i="8"/>
  <c r="KJN54" i="8"/>
  <c r="KJM54" i="8"/>
  <c r="KJL54" i="8"/>
  <c r="KJK54" i="8"/>
  <c r="KJJ54" i="8"/>
  <c r="KJI54" i="8"/>
  <c r="KJH54" i="8"/>
  <c r="KJG54" i="8"/>
  <c r="KJF54" i="8"/>
  <c r="KJE54" i="8"/>
  <c r="KJD54" i="8"/>
  <c r="KJC54" i="8"/>
  <c r="KJB54" i="8"/>
  <c r="KJA54" i="8"/>
  <c r="KIZ54" i="8"/>
  <c r="KIY54" i="8"/>
  <c r="KIX54" i="8"/>
  <c r="KIW54" i="8"/>
  <c r="KIV54" i="8"/>
  <c r="KIU54" i="8"/>
  <c r="KIT54" i="8"/>
  <c r="KIS54" i="8"/>
  <c r="KIR54" i="8"/>
  <c r="KIQ54" i="8"/>
  <c r="KIP54" i="8"/>
  <c r="KIO54" i="8"/>
  <c r="KIN54" i="8"/>
  <c r="KIM54" i="8"/>
  <c r="KIL54" i="8"/>
  <c r="KIK54" i="8"/>
  <c r="KIJ54" i="8"/>
  <c r="KII54" i="8"/>
  <c r="KIH54" i="8"/>
  <c r="KIG54" i="8"/>
  <c r="KIF54" i="8"/>
  <c r="KIE54" i="8"/>
  <c r="KID54" i="8"/>
  <c r="KIC54" i="8"/>
  <c r="KIB54" i="8"/>
  <c r="KIA54" i="8"/>
  <c r="KHZ54" i="8"/>
  <c r="KHY54" i="8"/>
  <c r="KHX54" i="8"/>
  <c r="KHW54" i="8"/>
  <c r="KHV54" i="8"/>
  <c r="KHU54" i="8"/>
  <c r="KHT54" i="8"/>
  <c r="KHS54" i="8"/>
  <c r="KHR54" i="8"/>
  <c r="KHQ54" i="8"/>
  <c r="KHP54" i="8"/>
  <c r="KHO54" i="8"/>
  <c r="KHN54" i="8"/>
  <c r="KHM54" i="8"/>
  <c r="KHL54" i="8"/>
  <c r="KHK54" i="8"/>
  <c r="KHJ54" i="8"/>
  <c r="KHI54" i="8"/>
  <c r="KHH54" i="8"/>
  <c r="KHG54" i="8"/>
  <c r="KHF54" i="8"/>
  <c r="KHE54" i="8"/>
  <c r="KHD54" i="8"/>
  <c r="KHC54" i="8"/>
  <c r="KHB54" i="8"/>
  <c r="KHA54" i="8"/>
  <c r="KGZ54" i="8"/>
  <c r="KGY54" i="8"/>
  <c r="KGX54" i="8"/>
  <c r="KGW54" i="8"/>
  <c r="KGV54" i="8"/>
  <c r="KGU54" i="8"/>
  <c r="KGT54" i="8"/>
  <c r="KGS54" i="8"/>
  <c r="KGR54" i="8"/>
  <c r="KGQ54" i="8"/>
  <c r="KGP54" i="8"/>
  <c r="KGO54" i="8"/>
  <c r="KGN54" i="8"/>
  <c r="KGM54" i="8"/>
  <c r="KGL54" i="8"/>
  <c r="KGK54" i="8"/>
  <c r="KGJ54" i="8"/>
  <c r="KGI54" i="8"/>
  <c r="KGH54" i="8"/>
  <c r="KGG54" i="8"/>
  <c r="KGF54" i="8"/>
  <c r="KGE54" i="8"/>
  <c r="KGD54" i="8"/>
  <c r="KGC54" i="8"/>
  <c r="KGB54" i="8"/>
  <c r="KGA54" i="8"/>
  <c r="KFZ54" i="8"/>
  <c r="KFY54" i="8"/>
  <c r="KFX54" i="8"/>
  <c r="KFW54" i="8"/>
  <c r="KFV54" i="8"/>
  <c r="KFU54" i="8"/>
  <c r="KFT54" i="8"/>
  <c r="KFS54" i="8"/>
  <c r="KFR54" i="8"/>
  <c r="KFQ54" i="8"/>
  <c r="KFP54" i="8"/>
  <c r="KFO54" i="8"/>
  <c r="KFN54" i="8"/>
  <c r="KFM54" i="8"/>
  <c r="KFL54" i="8"/>
  <c r="KFK54" i="8"/>
  <c r="KFJ54" i="8"/>
  <c r="KFI54" i="8"/>
  <c r="KFH54" i="8"/>
  <c r="KFG54" i="8"/>
  <c r="KFF54" i="8"/>
  <c r="KFE54" i="8"/>
  <c r="KFD54" i="8"/>
  <c r="KFC54" i="8"/>
  <c r="KFB54" i="8"/>
  <c r="KFA54" i="8"/>
  <c r="KEZ54" i="8"/>
  <c r="KEY54" i="8"/>
  <c r="KEX54" i="8"/>
  <c r="KEW54" i="8"/>
  <c r="KEV54" i="8"/>
  <c r="KEU54" i="8"/>
  <c r="KET54" i="8"/>
  <c r="KES54" i="8"/>
  <c r="KER54" i="8"/>
  <c r="KEQ54" i="8"/>
  <c r="KEP54" i="8"/>
  <c r="KEO54" i="8"/>
  <c r="KEN54" i="8"/>
  <c r="KEM54" i="8"/>
  <c r="KEL54" i="8"/>
  <c r="KEK54" i="8"/>
  <c r="KEJ54" i="8"/>
  <c r="KEI54" i="8"/>
  <c r="KEH54" i="8"/>
  <c r="KEG54" i="8"/>
  <c r="KEF54" i="8"/>
  <c r="KEE54" i="8"/>
  <c r="KED54" i="8"/>
  <c r="KEC54" i="8"/>
  <c r="KEB54" i="8"/>
  <c r="KEA54" i="8"/>
  <c r="KDZ54" i="8"/>
  <c r="KDY54" i="8"/>
  <c r="KDX54" i="8"/>
  <c r="KDW54" i="8"/>
  <c r="KDV54" i="8"/>
  <c r="KDU54" i="8"/>
  <c r="KDT54" i="8"/>
  <c r="KDS54" i="8"/>
  <c r="KDR54" i="8"/>
  <c r="KDQ54" i="8"/>
  <c r="KDP54" i="8"/>
  <c r="KDO54" i="8"/>
  <c r="KDN54" i="8"/>
  <c r="KDM54" i="8"/>
  <c r="KDL54" i="8"/>
  <c r="KDK54" i="8"/>
  <c r="KDJ54" i="8"/>
  <c r="KDI54" i="8"/>
  <c r="KDH54" i="8"/>
  <c r="KDG54" i="8"/>
  <c r="KDF54" i="8"/>
  <c r="KDE54" i="8"/>
  <c r="KDD54" i="8"/>
  <c r="KDC54" i="8"/>
  <c r="KDB54" i="8"/>
  <c r="KDA54" i="8"/>
  <c r="KCZ54" i="8"/>
  <c r="KCY54" i="8"/>
  <c r="KCX54" i="8"/>
  <c r="KCW54" i="8"/>
  <c r="KCV54" i="8"/>
  <c r="KCU54" i="8"/>
  <c r="KCT54" i="8"/>
  <c r="KCS54" i="8"/>
  <c r="KCR54" i="8"/>
  <c r="KCQ54" i="8"/>
  <c r="KCP54" i="8"/>
  <c r="KCO54" i="8"/>
  <c r="KCN54" i="8"/>
  <c r="KCM54" i="8"/>
  <c r="KCL54" i="8"/>
  <c r="KCK54" i="8"/>
  <c r="KCJ54" i="8"/>
  <c r="KCI54" i="8"/>
  <c r="KCH54" i="8"/>
  <c r="KCG54" i="8"/>
  <c r="KCF54" i="8"/>
  <c r="KCE54" i="8"/>
  <c r="KCD54" i="8"/>
  <c r="KCC54" i="8"/>
  <c r="KCB54" i="8"/>
  <c r="KCA54" i="8"/>
  <c r="KBZ54" i="8"/>
  <c r="KBY54" i="8"/>
  <c r="KBX54" i="8"/>
  <c r="KBW54" i="8"/>
  <c r="KBV54" i="8"/>
  <c r="KBU54" i="8"/>
  <c r="KBT54" i="8"/>
  <c r="KBS54" i="8"/>
  <c r="KBR54" i="8"/>
  <c r="KBQ54" i="8"/>
  <c r="KBP54" i="8"/>
  <c r="KBO54" i="8"/>
  <c r="KBN54" i="8"/>
  <c r="KBM54" i="8"/>
  <c r="KBL54" i="8"/>
  <c r="KBK54" i="8"/>
  <c r="KBJ54" i="8"/>
  <c r="KBI54" i="8"/>
  <c r="KBH54" i="8"/>
  <c r="KBG54" i="8"/>
  <c r="KBF54" i="8"/>
  <c r="KBE54" i="8"/>
  <c r="KBD54" i="8"/>
  <c r="KBC54" i="8"/>
  <c r="KBB54" i="8"/>
  <c r="KBA54" i="8"/>
  <c r="KAZ54" i="8"/>
  <c r="KAY54" i="8"/>
  <c r="KAX54" i="8"/>
  <c r="KAW54" i="8"/>
  <c r="KAV54" i="8"/>
  <c r="KAU54" i="8"/>
  <c r="KAT54" i="8"/>
  <c r="KAS54" i="8"/>
  <c r="KAR54" i="8"/>
  <c r="KAQ54" i="8"/>
  <c r="KAP54" i="8"/>
  <c r="KAO54" i="8"/>
  <c r="KAN54" i="8"/>
  <c r="KAM54" i="8"/>
  <c r="KAL54" i="8"/>
  <c r="KAK54" i="8"/>
  <c r="KAJ54" i="8"/>
  <c r="KAI54" i="8"/>
  <c r="KAH54" i="8"/>
  <c r="KAG54" i="8"/>
  <c r="KAF54" i="8"/>
  <c r="KAE54" i="8"/>
  <c r="KAD54" i="8"/>
  <c r="KAC54" i="8"/>
  <c r="KAB54" i="8"/>
  <c r="KAA54" i="8"/>
  <c r="JZZ54" i="8"/>
  <c r="JZY54" i="8"/>
  <c r="JZX54" i="8"/>
  <c r="JZW54" i="8"/>
  <c r="JZV54" i="8"/>
  <c r="JZU54" i="8"/>
  <c r="JZT54" i="8"/>
  <c r="JZS54" i="8"/>
  <c r="JZR54" i="8"/>
  <c r="JZQ54" i="8"/>
  <c r="JZP54" i="8"/>
  <c r="JZO54" i="8"/>
  <c r="JZN54" i="8"/>
  <c r="JZM54" i="8"/>
  <c r="JZL54" i="8"/>
  <c r="JZK54" i="8"/>
  <c r="JZJ54" i="8"/>
  <c r="JZI54" i="8"/>
  <c r="JZH54" i="8"/>
  <c r="JZG54" i="8"/>
  <c r="JZF54" i="8"/>
  <c r="JZE54" i="8"/>
  <c r="JZD54" i="8"/>
  <c r="JZC54" i="8"/>
  <c r="JZB54" i="8"/>
  <c r="JZA54" i="8"/>
  <c r="JYZ54" i="8"/>
  <c r="JYY54" i="8"/>
  <c r="JYX54" i="8"/>
  <c r="JYW54" i="8"/>
  <c r="JYV54" i="8"/>
  <c r="JYU54" i="8"/>
  <c r="JYT54" i="8"/>
  <c r="JYS54" i="8"/>
  <c r="JYR54" i="8"/>
  <c r="JYQ54" i="8"/>
  <c r="JYP54" i="8"/>
  <c r="JYO54" i="8"/>
  <c r="JYN54" i="8"/>
  <c r="JYM54" i="8"/>
  <c r="JYL54" i="8"/>
  <c r="JYK54" i="8"/>
  <c r="JYJ54" i="8"/>
  <c r="JYI54" i="8"/>
  <c r="JYH54" i="8"/>
  <c r="JYG54" i="8"/>
  <c r="JYF54" i="8"/>
  <c r="JYE54" i="8"/>
  <c r="JYD54" i="8"/>
  <c r="JYC54" i="8"/>
  <c r="JYB54" i="8"/>
  <c r="JYA54" i="8"/>
  <c r="JXZ54" i="8"/>
  <c r="JXY54" i="8"/>
  <c r="JXX54" i="8"/>
  <c r="JXW54" i="8"/>
  <c r="JXV54" i="8"/>
  <c r="JXU54" i="8"/>
  <c r="JXT54" i="8"/>
  <c r="JXS54" i="8"/>
  <c r="JXR54" i="8"/>
  <c r="JXQ54" i="8"/>
  <c r="JXP54" i="8"/>
  <c r="JXO54" i="8"/>
  <c r="JXN54" i="8"/>
  <c r="JXM54" i="8"/>
  <c r="JXL54" i="8"/>
  <c r="JXK54" i="8"/>
  <c r="JXJ54" i="8"/>
  <c r="JXI54" i="8"/>
  <c r="JXH54" i="8"/>
  <c r="JXG54" i="8"/>
  <c r="JXF54" i="8"/>
  <c r="JXE54" i="8"/>
  <c r="JXD54" i="8"/>
  <c r="JXC54" i="8"/>
  <c r="JXB54" i="8"/>
  <c r="JXA54" i="8"/>
  <c r="JWZ54" i="8"/>
  <c r="JWY54" i="8"/>
  <c r="JWX54" i="8"/>
  <c r="JWW54" i="8"/>
  <c r="JWV54" i="8"/>
  <c r="JWU54" i="8"/>
  <c r="JWT54" i="8"/>
  <c r="JWS54" i="8"/>
  <c r="JWR54" i="8"/>
  <c r="JWQ54" i="8"/>
  <c r="JWP54" i="8"/>
  <c r="JWO54" i="8"/>
  <c r="JWN54" i="8"/>
  <c r="JWM54" i="8"/>
  <c r="JWL54" i="8"/>
  <c r="JWK54" i="8"/>
  <c r="JWJ54" i="8"/>
  <c r="JWI54" i="8"/>
  <c r="JWH54" i="8"/>
  <c r="JWG54" i="8"/>
  <c r="JWF54" i="8"/>
  <c r="JWE54" i="8"/>
  <c r="JWD54" i="8"/>
  <c r="JWC54" i="8"/>
  <c r="JWB54" i="8"/>
  <c r="JWA54" i="8"/>
  <c r="JVZ54" i="8"/>
  <c r="JVY54" i="8"/>
  <c r="JVX54" i="8"/>
  <c r="JVW54" i="8"/>
  <c r="JVV54" i="8"/>
  <c r="JVU54" i="8"/>
  <c r="JVT54" i="8"/>
  <c r="JVS54" i="8"/>
  <c r="JVR54" i="8"/>
  <c r="JVQ54" i="8"/>
  <c r="JVP54" i="8"/>
  <c r="JVO54" i="8"/>
  <c r="JVN54" i="8"/>
  <c r="JVM54" i="8"/>
  <c r="JVL54" i="8"/>
  <c r="JVK54" i="8"/>
  <c r="JVJ54" i="8"/>
  <c r="JVI54" i="8"/>
  <c r="JVH54" i="8"/>
  <c r="JVG54" i="8"/>
  <c r="JVF54" i="8"/>
  <c r="JVE54" i="8"/>
  <c r="JVD54" i="8"/>
  <c r="JVC54" i="8"/>
  <c r="JVB54" i="8"/>
  <c r="JVA54" i="8"/>
  <c r="JUZ54" i="8"/>
  <c r="JUY54" i="8"/>
  <c r="JUX54" i="8"/>
  <c r="JUW54" i="8"/>
  <c r="JUV54" i="8"/>
  <c r="JUU54" i="8"/>
  <c r="JUT54" i="8"/>
  <c r="JUS54" i="8"/>
  <c r="JUR54" i="8"/>
  <c r="JUQ54" i="8"/>
  <c r="JUP54" i="8"/>
  <c r="JUO54" i="8"/>
  <c r="JUN54" i="8"/>
  <c r="JUM54" i="8"/>
  <c r="JUL54" i="8"/>
  <c r="JUK54" i="8"/>
  <c r="JUJ54" i="8"/>
  <c r="JUI54" i="8"/>
  <c r="JUH54" i="8"/>
  <c r="JUG54" i="8"/>
  <c r="JUF54" i="8"/>
  <c r="JUE54" i="8"/>
  <c r="JUD54" i="8"/>
  <c r="JUC54" i="8"/>
  <c r="JUB54" i="8"/>
  <c r="JUA54" i="8"/>
  <c r="JTZ54" i="8"/>
  <c r="JTY54" i="8"/>
  <c r="JTX54" i="8"/>
  <c r="JTW54" i="8"/>
  <c r="JTV54" i="8"/>
  <c r="JTU54" i="8"/>
  <c r="JTT54" i="8"/>
  <c r="JTS54" i="8"/>
  <c r="JTR54" i="8"/>
  <c r="JTQ54" i="8"/>
  <c r="JTP54" i="8"/>
  <c r="JTO54" i="8"/>
  <c r="JTN54" i="8"/>
  <c r="JTM54" i="8"/>
  <c r="JTL54" i="8"/>
  <c r="JTK54" i="8"/>
  <c r="JTJ54" i="8"/>
  <c r="JTI54" i="8"/>
  <c r="JTH54" i="8"/>
  <c r="JTG54" i="8"/>
  <c r="JTF54" i="8"/>
  <c r="JTE54" i="8"/>
  <c r="JTD54" i="8"/>
  <c r="JTC54" i="8"/>
  <c r="JTB54" i="8"/>
  <c r="JTA54" i="8"/>
  <c r="JSZ54" i="8"/>
  <c r="JSY54" i="8"/>
  <c r="JSX54" i="8"/>
  <c r="JSW54" i="8"/>
  <c r="JSV54" i="8"/>
  <c r="JSU54" i="8"/>
  <c r="JST54" i="8"/>
  <c r="JSS54" i="8"/>
  <c r="JSR54" i="8"/>
  <c r="JSQ54" i="8"/>
  <c r="JSP54" i="8"/>
  <c r="JSO54" i="8"/>
  <c r="JSN54" i="8"/>
  <c r="JSM54" i="8"/>
  <c r="JSL54" i="8"/>
  <c r="JSK54" i="8"/>
  <c r="JSJ54" i="8"/>
  <c r="JSI54" i="8"/>
  <c r="JSH54" i="8"/>
  <c r="JSG54" i="8"/>
  <c r="JSF54" i="8"/>
  <c r="JSE54" i="8"/>
  <c r="JSD54" i="8"/>
  <c r="JSC54" i="8"/>
  <c r="JSB54" i="8"/>
  <c r="JSA54" i="8"/>
  <c r="JRZ54" i="8"/>
  <c r="JRY54" i="8"/>
  <c r="JRX54" i="8"/>
  <c r="JRW54" i="8"/>
  <c r="JRV54" i="8"/>
  <c r="JRU54" i="8"/>
  <c r="JRT54" i="8"/>
  <c r="JRS54" i="8"/>
  <c r="JRR54" i="8"/>
  <c r="JRQ54" i="8"/>
  <c r="JRP54" i="8"/>
  <c r="JRO54" i="8"/>
  <c r="JRN54" i="8"/>
  <c r="JRM54" i="8"/>
  <c r="JRL54" i="8"/>
  <c r="JRK54" i="8"/>
  <c r="JRJ54" i="8"/>
  <c r="JRI54" i="8"/>
  <c r="JRH54" i="8"/>
  <c r="JRG54" i="8"/>
  <c r="JRF54" i="8"/>
  <c r="JRE54" i="8"/>
  <c r="JRD54" i="8"/>
  <c r="JRC54" i="8"/>
  <c r="JRB54" i="8"/>
  <c r="JRA54" i="8"/>
  <c r="JQZ54" i="8"/>
  <c r="JQY54" i="8"/>
  <c r="JQX54" i="8"/>
  <c r="JQW54" i="8"/>
  <c r="JQV54" i="8"/>
  <c r="JQU54" i="8"/>
  <c r="JQT54" i="8"/>
  <c r="JQS54" i="8"/>
  <c r="JQR54" i="8"/>
  <c r="JQQ54" i="8"/>
  <c r="JQP54" i="8"/>
  <c r="JQO54" i="8"/>
  <c r="JQN54" i="8"/>
  <c r="JQM54" i="8"/>
  <c r="JQL54" i="8"/>
  <c r="JQK54" i="8"/>
  <c r="JQJ54" i="8"/>
  <c r="JQI54" i="8"/>
  <c r="JQH54" i="8"/>
  <c r="JQG54" i="8"/>
  <c r="JQF54" i="8"/>
  <c r="JQE54" i="8"/>
  <c r="JQD54" i="8"/>
  <c r="JQC54" i="8"/>
  <c r="JQB54" i="8"/>
  <c r="JQA54" i="8"/>
  <c r="JPZ54" i="8"/>
  <c r="JPY54" i="8"/>
  <c r="JPX54" i="8"/>
  <c r="JPW54" i="8"/>
  <c r="JPV54" i="8"/>
  <c r="JPU54" i="8"/>
  <c r="JPT54" i="8"/>
  <c r="JPS54" i="8"/>
  <c r="JPR54" i="8"/>
  <c r="JPQ54" i="8"/>
  <c r="JPP54" i="8"/>
  <c r="JPO54" i="8"/>
  <c r="JPN54" i="8"/>
  <c r="JPM54" i="8"/>
  <c r="JPL54" i="8"/>
  <c r="JPK54" i="8"/>
  <c r="JPJ54" i="8"/>
  <c r="JPI54" i="8"/>
  <c r="JPH54" i="8"/>
  <c r="JPG54" i="8"/>
  <c r="JPF54" i="8"/>
  <c r="JPE54" i="8"/>
  <c r="JPD54" i="8"/>
  <c r="JPC54" i="8"/>
  <c r="JPB54" i="8"/>
  <c r="JPA54" i="8"/>
  <c r="JOZ54" i="8"/>
  <c r="JOY54" i="8"/>
  <c r="JOX54" i="8"/>
  <c r="JOW54" i="8"/>
  <c r="JOV54" i="8"/>
  <c r="JOU54" i="8"/>
  <c r="JOT54" i="8"/>
  <c r="JOS54" i="8"/>
  <c r="JOR54" i="8"/>
  <c r="JOQ54" i="8"/>
  <c r="JOP54" i="8"/>
  <c r="JOO54" i="8"/>
  <c r="JON54" i="8"/>
  <c r="JOM54" i="8"/>
  <c r="JOL54" i="8"/>
  <c r="JOK54" i="8"/>
  <c r="JOJ54" i="8"/>
  <c r="JOI54" i="8"/>
  <c r="JOH54" i="8"/>
  <c r="JOG54" i="8"/>
  <c r="JOF54" i="8"/>
  <c r="JOE54" i="8"/>
  <c r="JOD54" i="8"/>
  <c r="JOC54" i="8"/>
  <c r="JOB54" i="8"/>
  <c r="JOA54" i="8"/>
  <c r="JNZ54" i="8"/>
  <c r="JNY54" i="8"/>
  <c r="JNX54" i="8"/>
  <c r="JNW54" i="8"/>
  <c r="JNV54" i="8"/>
  <c r="JNU54" i="8"/>
  <c r="JNT54" i="8"/>
  <c r="JNS54" i="8"/>
  <c r="JNR54" i="8"/>
  <c r="JNQ54" i="8"/>
  <c r="JNP54" i="8"/>
  <c r="JNO54" i="8"/>
  <c r="JNN54" i="8"/>
  <c r="JNM54" i="8"/>
  <c r="JNL54" i="8"/>
  <c r="JNK54" i="8"/>
  <c r="JNJ54" i="8"/>
  <c r="JNI54" i="8"/>
  <c r="JNH54" i="8"/>
  <c r="JNG54" i="8"/>
  <c r="JNF54" i="8"/>
  <c r="JNE54" i="8"/>
  <c r="JND54" i="8"/>
  <c r="JNC54" i="8"/>
  <c r="JNB54" i="8"/>
  <c r="JNA54" i="8"/>
  <c r="JMZ54" i="8"/>
  <c r="JMY54" i="8"/>
  <c r="JMX54" i="8"/>
  <c r="JMW54" i="8"/>
  <c r="JMV54" i="8"/>
  <c r="JMU54" i="8"/>
  <c r="JMT54" i="8"/>
  <c r="JMS54" i="8"/>
  <c r="JMR54" i="8"/>
  <c r="JMQ54" i="8"/>
  <c r="JMP54" i="8"/>
  <c r="JMO54" i="8"/>
  <c r="JMN54" i="8"/>
  <c r="JMM54" i="8"/>
  <c r="JML54" i="8"/>
  <c r="JMK54" i="8"/>
  <c r="JMJ54" i="8"/>
  <c r="JMI54" i="8"/>
  <c r="JMH54" i="8"/>
  <c r="JMG54" i="8"/>
  <c r="JMF54" i="8"/>
  <c r="JME54" i="8"/>
  <c r="JMD54" i="8"/>
  <c r="JMC54" i="8"/>
  <c r="JMB54" i="8"/>
  <c r="JMA54" i="8"/>
  <c r="JLZ54" i="8"/>
  <c r="JLY54" i="8"/>
  <c r="JLX54" i="8"/>
  <c r="JLW54" i="8"/>
  <c r="JLV54" i="8"/>
  <c r="JLU54" i="8"/>
  <c r="JLT54" i="8"/>
  <c r="JLS54" i="8"/>
  <c r="JLR54" i="8"/>
  <c r="JLQ54" i="8"/>
  <c r="JLP54" i="8"/>
  <c r="JLO54" i="8"/>
  <c r="JLN54" i="8"/>
  <c r="JLM54" i="8"/>
  <c r="JLL54" i="8"/>
  <c r="JLK54" i="8"/>
  <c r="JLJ54" i="8"/>
  <c r="JLI54" i="8"/>
  <c r="JLH54" i="8"/>
  <c r="JLG54" i="8"/>
  <c r="JLF54" i="8"/>
  <c r="JLE54" i="8"/>
  <c r="JLD54" i="8"/>
  <c r="JLC54" i="8"/>
  <c r="JLB54" i="8"/>
  <c r="JLA54" i="8"/>
  <c r="JKZ54" i="8"/>
  <c r="JKY54" i="8"/>
  <c r="JKX54" i="8"/>
  <c r="JKW54" i="8"/>
  <c r="JKV54" i="8"/>
  <c r="JKU54" i="8"/>
  <c r="JKT54" i="8"/>
  <c r="JKS54" i="8"/>
  <c r="JKR54" i="8"/>
  <c r="JKQ54" i="8"/>
  <c r="JKP54" i="8"/>
  <c r="JKO54" i="8"/>
  <c r="JKN54" i="8"/>
  <c r="JKM54" i="8"/>
  <c r="JKL54" i="8"/>
  <c r="JKK54" i="8"/>
  <c r="JKJ54" i="8"/>
  <c r="JKI54" i="8"/>
  <c r="JKH54" i="8"/>
  <c r="JKG54" i="8"/>
  <c r="JKF54" i="8"/>
  <c r="JKE54" i="8"/>
  <c r="JKD54" i="8"/>
  <c r="JKC54" i="8"/>
  <c r="JKB54" i="8"/>
  <c r="JKA54" i="8"/>
  <c r="JJZ54" i="8"/>
  <c r="JJY54" i="8"/>
  <c r="JJX54" i="8"/>
  <c r="JJW54" i="8"/>
  <c r="JJV54" i="8"/>
  <c r="JJU54" i="8"/>
  <c r="JJT54" i="8"/>
  <c r="JJS54" i="8"/>
  <c r="JJR54" i="8"/>
  <c r="JJQ54" i="8"/>
  <c r="JJP54" i="8"/>
  <c r="JJO54" i="8"/>
  <c r="JJN54" i="8"/>
  <c r="JJM54" i="8"/>
  <c r="JJL54" i="8"/>
  <c r="JJK54" i="8"/>
  <c r="JJJ54" i="8"/>
  <c r="JJI54" i="8"/>
  <c r="JJH54" i="8"/>
  <c r="JJG54" i="8"/>
  <c r="JJF54" i="8"/>
  <c r="JJE54" i="8"/>
  <c r="JJD54" i="8"/>
  <c r="JJC54" i="8"/>
  <c r="JJB54" i="8"/>
  <c r="JJA54" i="8"/>
  <c r="JIZ54" i="8"/>
  <c r="JIY54" i="8"/>
  <c r="JIX54" i="8"/>
  <c r="JIW54" i="8"/>
  <c r="JIV54" i="8"/>
  <c r="JIU54" i="8"/>
  <c r="JIT54" i="8"/>
  <c r="JIS54" i="8"/>
  <c r="JIR54" i="8"/>
  <c r="JIQ54" i="8"/>
  <c r="JIP54" i="8"/>
  <c r="JIO54" i="8"/>
  <c r="JIN54" i="8"/>
  <c r="JIM54" i="8"/>
  <c r="JIL54" i="8"/>
  <c r="JIK54" i="8"/>
  <c r="JIJ54" i="8"/>
  <c r="JII54" i="8"/>
  <c r="JIH54" i="8"/>
  <c r="JIG54" i="8"/>
  <c r="JIF54" i="8"/>
  <c r="JIE54" i="8"/>
  <c r="JID54" i="8"/>
  <c r="JIC54" i="8"/>
  <c r="JIB54" i="8"/>
  <c r="JIA54" i="8"/>
  <c r="JHZ54" i="8"/>
  <c r="JHY54" i="8"/>
  <c r="JHX54" i="8"/>
  <c r="JHW54" i="8"/>
  <c r="JHV54" i="8"/>
  <c r="JHU54" i="8"/>
  <c r="JHT54" i="8"/>
  <c r="JHS54" i="8"/>
  <c r="JHR54" i="8"/>
  <c r="JHQ54" i="8"/>
  <c r="JHP54" i="8"/>
  <c r="JHO54" i="8"/>
  <c r="JHN54" i="8"/>
  <c r="JHM54" i="8"/>
  <c r="JHL54" i="8"/>
  <c r="JHK54" i="8"/>
  <c r="JHJ54" i="8"/>
  <c r="JHI54" i="8"/>
  <c r="JHH54" i="8"/>
  <c r="JHG54" i="8"/>
  <c r="JHF54" i="8"/>
  <c r="JHE54" i="8"/>
  <c r="JHD54" i="8"/>
  <c r="JHC54" i="8"/>
  <c r="JHB54" i="8"/>
  <c r="JHA54" i="8"/>
  <c r="JGZ54" i="8"/>
  <c r="JGY54" i="8"/>
  <c r="JGX54" i="8"/>
  <c r="JGW54" i="8"/>
  <c r="JGV54" i="8"/>
  <c r="JGU54" i="8"/>
  <c r="JGT54" i="8"/>
  <c r="JGS54" i="8"/>
  <c r="JGR54" i="8"/>
  <c r="JGQ54" i="8"/>
  <c r="JGP54" i="8"/>
  <c r="JGO54" i="8"/>
  <c r="JGN54" i="8"/>
  <c r="JGM54" i="8"/>
  <c r="JGL54" i="8"/>
  <c r="JGK54" i="8"/>
  <c r="JGJ54" i="8"/>
  <c r="JGI54" i="8"/>
  <c r="JGH54" i="8"/>
  <c r="JGG54" i="8"/>
  <c r="JGF54" i="8"/>
  <c r="JGE54" i="8"/>
  <c r="JGD54" i="8"/>
  <c r="JGC54" i="8"/>
  <c r="JGB54" i="8"/>
  <c r="JGA54" i="8"/>
  <c r="JFZ54" i="8"/>
  <c r="JFY54" i="8"/>
  <c r="JFX54" i="8"/>
  <c r="JFW54" i="8"/>
  <c r="JFV54" i="8"/>
  <c r="JFU54" i="8"/>
  <c r="JFT54" i="8"/>
  <c r="JFS54" i="8"/>
  <c r="JFR54" i="8"/>
  <c r="JFQ54" i="8"/>
  <c r="JFP54" i="8"/>
  <c r="JFO54" i="8"/>
  <c r="JFN54" i="8"/>
  <c r="JFM54" i="8"/>
  <c r="JFL54" i="8"/>
  <c r="JFK54" i="8"/>
  <c r="JFJ54" i="8"/>
  <c r="JFI54" i="8"/>
  <c r="JFH54" i="8"/>
  <c r="JFG54" i="8"/>
  <c r="JFF54" i="8"/>
  <c r="JFE54" i="8"/>
  <c r="JFD54" i="8"/>
  <c r="JFC54" i="8"/>
  <c r="JFB54" i="8"/>
  <c r="JFA54" i="8"/>
  <c r="JEZ54" i="8"/>
  <c r="JEY54" i="8"/>
  <c r="JEX54" i="8"/>
  <c r="JEW54" i="8"/>
  <c r="JEV54" i="8"/>
  <c r="JEU54" i="8"/>
  <c r="JET54" i="8"/>
  <c r="JES54" i="8"/>
  <c r="JER54" i="8"/>
  <c r="JEQ54" i="8"/>
  <c r="JEP54" i="8"/>
  <c r="JEO54" i="8"/>
  <c r="JEN54" i="8"/>
  <c r="JEM54" i="8"/>
  <c r="JEL54" i="8"/>
  <c r="JEK54" i="8"/>
  <c r="JEJ54" i="8"/>
  <c r="JEI54" i="8"/>
  <c r="JEH54" i="8"/>
  <c r="JEG54" i="8"/>
  <c r="JEF54" i="8"/>
  <c r="JEE54" i="8"/>
  <c r="JED54" i="8"/>
  <c r="JEC54" i="8"/>
  <c r="JEB54" i="8"/>
  <c r="JEA54" i="8"/>
  <c r="JDZ54" i="8"/>
  <c r="JDY54" i="8"/>
  <c r="JDX54" i="8"/>
  <c r="JDW54" i="8"/>
  <c r="JDV54" i="8"/>
  <c r="JDU54" i="8"/>
  <c r="JDT54" i="8"/>
  <c r="JDS54" i="8"/>
  <c r="JDR54" i="8"/>
  <c r="JDQ54" i="8"/>
  <c r="JDP54" i="8"/>
  <c r="JDO54" i="8"/>
  <c r="JDN54" i="8"/>
  <c r="JDM54" i="8"/>
  <c r="JDL54" i="8"/>
  <c r="JDK54" i="8"/>
  <c r="JDJ54" i="8"/>
  <c r="JDI54" i="8"/>
  <c r="JDH54" i="8"/>
  <c r="JDG54" i="8"/>
  <c r="JDF54" i="8"/>
  <c r="JDE54" i="8"/>
  <c r="JDD54" i="8"/>
  <c r="JDC54" i="8"/>
  <c r="JDB54" i="8"/>
  <c r="JDA54" i="8"/>
  <c r="JCZ54" i="8"/>
  <c r="JCY54" i="8"/>
  <c r="JCX54" i="8"/>
  <c r="JCW54" i="8"/>
  <c r="JCV54" i="8"/>
  <c r="JCU54" i="8"/>
  <c r="JCT54" i="8"/>
  <c r="JCS54" i="8"/>
  <c r="JCR54" i="8"/>
  <c r="JCQ54" i="8"/>
  <c r="JCP54" i="8"/>
  <c r="JCO54" i="8"/>
  <c r="JCN54" i="8"/>
  <c r="JCM54" i="8"/>
  <c r="JCL54" i="8"/>
  <c r="JCK54" i="8"/>
  <c r="JCJ54" i="8"/>
  <c r="JCI54" i="8"/>
  <c r="JCH54" i="8"/>
  <c r="JCG54" i="8"/>
  <c r="JCF54" i="8"/>
  <c r="JCE54" i="8"/>
  <c r="JCD54" i="8"/>
  <c r="JCC54" i="8"/>
  <c r="JCB54" i="8"/>
  <c r="JCA54" i="8"/>
  <c r="JBZ54" i="8"/>
  <c r="JBY54" i="8"/>
  <c r="JBX54" i="8"/>
  <c r="JBW54" i="8"/>
  <c r="JBV54" i="8"/>
  <c r="JBU54" i="8"/>
  <c r="JBT54" i="8"/>
  <c r="JBS54" i="8"/>
  <c r="JBR54" i="8"/>
  <c r="JBQ54" i="8"/>
  <c r="JBP54" i="8"/>
  <c r="JBO54" i="8"/>
  <c r="JBN54" i="8"/>
  <c r="JBM54" i="8"/>
  <c r="JBL54" i="8"/>
  <c r="JBK54" i="8"/>
  <c r="JBJ54" i="8"/>
  <c r="JBI54" i="8"/>
  <c r="JBH54" i="8"/>
  <c r="JBG54" i="8"/>
  <c r="JBF54" i="8"/>
  <c r="JBE54" i="8"/>
  <c r="JBD54" i="8"/>
  <c r="JBC54" i="8"/>
  <c r="JBB54" i="8"/>
  <c r="JBA54" i="8"/>
  <c r="JAZ54" i="8"/>
  <c r="JAY54" i="8"/>
  <c r="JAX54" i="8"/>
  <c r="JAW54" i="8"/>
  <c r="JAV54" i="8"/>
  <c r="JAU54" i="8"/>
  <c r="JAT54" i="8"/>
  <c r="JAS54" i="8"/>
  <c r="JAR54" i="8"/>
  <c r="JAQ54" i="8"/>
  <c r="JAP54" i="8"/>
  <c r="JAO54" i="8"/>
  <c r="JAN54" i="8"/>
  <c r="JAM54" i="8"/>
  <c r="JAL54" i="8"/>
  <c r="JAK54" i="8"/>
  <c r="JAJ54" i="8"/>
  <c r="JAI54" i="8"/>
  <c r="JAH54" i="8"/>
  <c r="JAG54" i="8"/>
  <c r="JAF54" i="8"/>
  <c r="JAE54" i="8"/>
  <c r="JAD54" i="8"/>
  <c r="JAC54" i="8"/>
  <c r="JAB54" i="8"/>
  <c r="JAA54" i="8"/>
  <c r="IZZ54" i="8"/>
  <c r="IZY54" i="8"/>
  <c r="IZX54" i="8"/>
  <c r="IZW54" i="8"/>
  <c r="IZV54" i="8"/>
  <c r="IZU54" i="8"/>
  <c r="IZT54" i="8"/>
  <c r="IZS54" i="8"/>
  <c r="IZR54" i="8"/>
  <c r="IZQ54" i="8"/>
  <c r="IZP54" i="8"/>
  <c r="IZO54" i="8"/>
  <c r="IZN54" i="8"/>
  <c r="IZM54" i="8"/>
  <c r="IZL54" i="8"/>
  <c r="IZK54" i="8"/>
  <c r="IZJ54" i="8"/>
  <c r="IZI54" i="8"/>
  <c r="IZH54" i="8"/>
  <c r="IZG54" i="8"/>
  <c r="IZF54" i="8"/>
  <c r="IZE54" i="8"/>
  <c r="IZD54" i="8"/>
  <c r="IZC54" i="8"/>
  <c r="IZB54" i="8"/>
  <c r="IZA54" i="8"/>
  <c r="IYZ54" i="8"/>
  <c r="IYY54" i="8"/>
  <c r="IYX54" i="8"/>
  <c r="IYW54" i="8"/>
  <c r="IYV54" i="8"/>
  <c r="IYU54" i="8"/>
  <c r="IYT54" i="8"/>
  <c r="IYS54" i="8"/>
  <c r="IYR54" i="8"/>
  <c r="IYQ54" i="8"/>
  <c r="IYP54" i="8"/>
  <c r="IYO54" i="8"/>
  <c r="IYN54" i="8"/>
  <c r="IYM54" i="8"/>
  <c r="IYL54" i="8"/>
  <c r="IYK54" i="8"/>
  <c r="IYJ54" i="8"/>
  <c r="IYI54" i="8"/>
  <c r="IYH54" i="8"/>
  <c r="IYG54" i="8"/>
  <c r="IYF54" i="8"/>
  <c r="IYE54" i="8"/>
  <c r="IYD54" i="8"/>
  <c r="IYC54" i="8"/>
  <c r="IYB54" i="8"/>
  <c r="IYA54" i="8"/>
  <c r="IXZ54" i="8"/>
  <c r="IXY54" i="8"/>
  <c r="IXX54" i="8"/>
  <c r="IXW54" i="8"/>
  <c r="IXV54" i="8"/>
  <c r="IXU54" i="8"/>
  <c r="IXT54" i="8"/>
  <c r="IXS54" i="8"/>
  <c r="IXR54" i="8"/>
  <c r="IXQ54" i="8"/>
  <c r="IXP54" i="8"/>
  <c r="IXO54" i="8"/>
  <c r="IXN54" i="8"/>
  <c r="IXM54" i="8"/>
  <c r="IXL54" i="8"/>
  <c r="IXK54" i="8"/>
  <c r="IXJ54" i="8"/>
  <c r="IXI54" i="8"/>
  <c r="IXH54" i="8"/>
  <c r="IXG54" i="8"/>
  <c r="IXF54" i="8"/>
  <c r="IXE54" i="8"/>
  <c r="IXD54" i="8"/>
  <c r="IXC54" i="8"/>
  <c r="IXB54" i="8"/>
  <c r="IXA54" i="8"/>
  <c r="IWZ54" i="8"/>
  <c r="IWY54" i="8"/>
  <c r="IWX54" i="8"/>
  <c r="IWW54" i="8"/>
  <c r="IWV54" i="8"/>
  <c r="IWU54" i="8"/>
  <c r="IWT54" i="8"/>
  <c r="IWS54" i="8"/>
  <c r="IWR54" i="8"/>
  <c r="IWQ54" i="8"/>
  <c r="IWP54" i="8"/>
  <c r="IWO54" i="8"/>
  <c r="IWN54" i="8"/>
  <c r="IWM54" i="8"/>
  <c r="IWL54" i="8"/>
  <c r="IWK54" i="8"/>
  <c r="IWJ54" i="8"/>
  <c r="IWI54" i="8"/>
  <c r="IWH54" i="8"/>
  <c r="IWG54" i="8"/>
  <c r="IWF54" i="8"/>
  <c r="IWE54" i="8"/>
  <c r="IWD54" i="8"/>
  <c r="IWC54" i="8"/>
  <c r="IWB54" i="8"/>
  <c r="IWA54" i="8"/>
  <c r="IVZ54" i="8"/>
  <c r="IVY54" i="8"/>
  <c r="IVX54" i="8"/>
  <c r="IVW54" i="8"/>
  <c r="IVV54" i="8"/>
  <c r="IVU54" i="8"/>
  <c r="IVT54" i="8"/>
  <c r="IVS54" i="8"/>
  <c r="IVR54" i="8"/>
  <c r="IVQ54" i="8"/>
  <c r="IVP54" i="8"/>
  <c r="IVO54" i="8"/>
  <c r="IVN54" i="8"/>
  <c r="IVM54" i="8"/>
  <c r="IVL54" i="8"/>
  <c r="IVK54" i="8"/>
  <c r="IVJ54" i="8"/>
  <c r="IVI54" i="8"/>
  <c r="IVH54" i="8"/>
  <c r="IVG54" i="8"/>
  <c r="IVF54" i="8"/>
  <c r="IVE54" i="8"/>
  <c r="IVD54" i="8"/>
  <c r="IVC54" i="8"/>
  <c r="IVB54" i="8"/>
  <c r="IVA54" i="8"/>
  <c r="IUZ54" i="8"/>
  <c r="IUY54" i="8"/>
  <c r="IUX54" i="8"/>
  <c r="IUW54" i="8"/>
  <c r="IUV54" i="8"/>
  <c r="IUU54" i="8"/>
  <c r="IUT54" i="8"/>
  <c r="IUS54" i="8"/>
  <c r="IUR54" i="8"/>
  <c r="IUQ54" i="8"/>
  <c r="IUP54" i="8"/>
  <c r="IUO54" i="8"/>
  <c r="IUN54" i="8"/>
  <c r="IUM54" i="8"/>
  <c r="IUL54" i="8"/>
  <c r="IUK54" i="8"/>
  <c r="IUJ54" i="8"/>
  <c r="IUI54" i="8"/>
  <c r="IUH54" i="8"/>
  <c r="IUG54" i="8"/>
  <c r="IUF54" i="8"/>
  <c r="IUE54" i="8"/>
  <c r="IUD54" i="8"/>
  <c r="IUC54" i="8"/>
  <c r="IUB54" i="8"/>
  <c r="IUA54" i="8"/>
  <c r="ITZ54" i="8"/>
  <c r="ITY54" i="8"/>
  <c r="ITX54" i="8"/>
  <c r="ITW54" i="8"/>
  <c r="ITV54" i="8"/>
  <c r="ITU54" i="8"/>
  <c r="ITT54" i="8"/>
  <c r="ITS54" i="8"/>
  <c r="ITR54" i="8"/>
  <c r="ITQ54" i="8"/>
  <c r="ITP54" i="8"/>
  <c r="ITO54" i="8"/>
  <c r="ITN54" i="8"/>
  <c r="ITM54" i="8"/>
  <c r="ITL54" i="8"/>
  <c r="ITK54" i="8"/>
  <c r="ITJ54" i="8"/>
  <c r="ITI54" i="8"/>
  <c r="ITH54" i="8"/>
  <c r="ITG54" i="8"/>
  <c r="ITF54" i="8"/>
  <c r="ITE54" i="8"/>
  <c r="ITD54" i="8"/>
  <c r="ITC54" i="8"/>
  <c r="ITB54" i="8"/>
  <c r="ITA54" i="8"/>
  <c r="ISZ54" i="8"/>
  <c r="ISY54" i="8"/>
  <c r="ISX54" i="8"/>
  <c r="ISW54" i="8"/>
  <c r="ISV54" i="8"/>
  <c r="ISU54" i="8"/>
  <c r="IST54" i="8"/>
  <c r="ISS54" i="8"/>
  <c r="ISR54" i="8"/>
  <c r="ISQ54" i="8"/>
  <c r="ISP54" i="8"/>
  <c r="ISO54" i="8"/>
  <c r="ISN54" i="8"/>
  <c r="ISM54" i="8"/>
  <c r="ISL54" i="8"/>
  <c r="ISK54" i="8"/>
  <c r="ISJ54" i="8"/>
  <c r="ISI54" i="8"/>
  <c r="ISH54" i="8"/>
  <c r="ISG54" i="8"/>
  <c r="ISF54" i="8"/>
  <c r="ISE54" i="8"/>
  <c r="ISD54" i="8"/>
  <c r="ISC54" i="8"/>
  <c r="ISB54" i="8"/>
  <c r="ISA54" i="8"/>
  <c r="IRZ54" i="8"/>
  <c r="IRY54" i="8"/>
  <c r="IRX54" i="8"/>
  <c r="IRW54" i="8"/>
  <c r="IRV54" i="8"/>
  <c r="IRU54" i="8"/>
  <c r="IRT54" i="8"/>
  <c r="IRS54" i="8"/>
  <c r="IRR54" i="8"/>
  <c r="IRQ54" i="8"/>
  <c r="IRP54" i="8"/>
  <c r="IRO54" i="8"/>
  <c r="IRN54" i="8"/>
  <c r="IRM54" i="8"/>
  <c r="IRL54" i="8"/>
  <c r="IRK54" i="8"/>
  <c r="IRJ54" i="8"/>
  <c r="IRI54" i="8"/>
  <c r="IRH54" i="8"/>
  <c r="IRG54" i="8"/>
  <c r="IRF54" i="8"/>
  <c r="IRE54" i="8"/>
  <c r="IRD54" i="8"/>
  <c r="IRC54" i="8"/>
  <c r="IRB54" i="8"/>
  <c r="IRA54" i="8"/>
  <c r="IQZ54" i="8"/>
  <c r="IQY54" i="8"/>
  <c r="IQX54" i="8"/>
  <c r="IQW54" i="8"/>
  <c r="IQV54" i="8"/>
  <c r="IQU54" i="8"/>
  <c r="IQT54" i="8"/>
  <c r="IQS54" i="8"/>
  <c r="IQR54" i="8"/>
  <c r="IQQ54" i="8"/>
  <c r="IQP54" i="8"/>
  <c r="IQO54" i="8"/>
  <c r="IQN54" i="8"/>
  <c r="IQM54" i="8"/>
  <c r="IQL54" i="8"/>
  <c r="IQK54" i="8"/>
  <c r="IQJ54" i="8"/>
  <c r="IQI54" i="8"/>
  <c r="IQH54" i="8"/>
  <c r="IQG54" i="8"/>
  <c r="IQF54" i="8"/>
  <c r="IQE54" i="8"/>
  <c r="IQD54" i="8"/>
  <c r="IQC54" i="8"/>
  <c r="IQB54" i="8"/>
  <c r="IQA54" i="8"/>
  <c r="IPZ54" i="8"/>
  <c r="IPY54" i="8"/>
  <c r="IPX54" i="8"/>
  <c r="IPW54" i="8"/>
  <c r="IPV54" i="8"/>
  <c r="IPU54" i="8"/>
  <c r="IPT54" i="8"/>
  <c r="IPS54" i="8"/>
  <c r="IPR54" i="8"/>
  <c r="IPQ54" i="8"/>
  <c r="IPP54" i="8"/>
  <c r="IPO54" i="8"/>
  <c r="IPN54" i="8"/>
  <c r="IPM54" i="8"/>
  <c r="IPL54" i="8"/>
  <c r="IPK54" i="8"/>
  <c r="IPJ54" i="8"/>
  <c r="IPI54" i="8"/>
  <c r="IPH54" i="8"/>
  <c r="IPG54" i="8"/>
  <c r="IPF54" i="8"/>
  <c r="IPE54" i="8"/>
  <c r="IPD54" i="8"/>
  <c r="IPC54" i="8"/>
  <c r="IPB54" i="8"/>
  <c r="IPA54" i="8"/>
  <c r="IOZ54" i="8"/>
  <c r="IOY54" i="8"/>
  <c r="IOX54" i="8"/>
  <c r="IOW54" i="8"/>
  <c r="IOV54" i="8"/>
  <c r="IOU54" i="8"/>
  <c r="IOT54" i="8"/>
  <c r="IOS54" i="8"/>
  <c r="IOR54" i="8"/>
  <c r="IOQ54" i="8"/>
  <c r="IOP54" i="8"/>
  <c r="IOO54" i="8"/>
  <c r="ION54" i="8"/>
  <c r="IOM54" i="8"/>
  <c r="IOL54" i="8"/>
  <c r="IOK54" i="8"/>
  <c r="IOJ54" i="8"/>
  <c r="IOI54" i="8"/>
  <c r="IOH54" i="8"/>
  <c r="IOG54" i="8"/>
  <c r="IOF54" i="8"/>
  <c r="IOE54" i="8"/>
  <c r="IOD54" i="8"/>
  <c r="IOC54" i="8"/>
  <c r="IOB54" i="8"/>
  <c r="IOA54" i="8"/>
  <c r="INZ54" i="8"/>
  <c r="INY54" i="8"/>
  <c r="INX54" i="8"/>
  <c r="INW54" i="8"/>
  <c r="INV54" i="8"/>
  <c r="INU54" i="8"/>
  <c r="INT54" i="8"/>
  <c r="INS54" i="8"/>
  <c r="INR54" i="8"/>
  <c r="INQ54" i="8"/>
  <c r="INP54" i="8"/>
  <c r="INO54" i="8"/>
  <c r="INN54" i="8"/>
  <c r="INM54" i="8"/>
  <c r="INL54" i="8"/>
  <c r="INK54" i="8"/>
  <c r="INJ54" i="8"/>
  <c r="INI54" i="8"/>
  <c r="INH54" i="8"/>
  <c r="ING54" i="8"/>
  <c r="INF54" i="8"/>
  <c r="INE54" i="8"/>
  <c r="IND54" i="8"/>
  <c r="INC54" i="8"/>
  <c r="INB54" i="8"/>
  <c r="INA54" i="8"/>
  <c r="IMZ54" i="8"/>
  <c r="IMY54" i="8"/>
  <c r="IMX54" i="8"/>
  <c r="IMW54" i="8"/>
  <c r="IMV54" i="8"/>
  <c r="IMU54" i="8"/>
  <c r="IMT54" i="8"/>
  <c r="IMS54" i="8"/>
  <c r="IMR54" i="8"/>
  <c r="IMQ54" i="8"/>
  <c r="IMP54" i="8"/>
  <c r="IMO54" i="8"/>
  <c r="IMN54" i="8"/>
  <c r="IMM54" i="8"/>
  <c r="IML54" i="8"/>
  <c r="IMK54" i="8"/>
  <c r="IMJ54" i="8"/>
  <c r="IMI54" i="8"/>
  <c r="IMH54" i="8"/>
  <c r="IMG54" i="8"/>
  <c r="IMF54" i="8"/>
  <c r="IME54" i="8"/>
  <c r="IMD54" i="8"/>
  <c r="IMC54" i="8"/>
  <c r="IMB54" i="8"/>
  <c r="IMA54" i="8"/>
  <c r="ILZ54" i="8"/>
  <c r="ILY54" i="8"/>
  <c r="ILX54" i="8"/>
  <c r="ILW54" i="8"/>
  <c r="ILV54" i="8"/>
  <c r="ILU54" i="8"/>
  <c r="ILT54" i="8"/>
  <c r="ILS54" i="8"/>
  <c r="ILR54" i="8"/>
  <c r="ILQ54" i="8"/>
  <c r="ILP54" i="8"/>
  <c r="ILO54" i="8"/>
  <c r="ILN54" i="8"/>
  <c r="ILM54" i="8"/>
  <c r="ILL54" i="8"/>
  <c r="ILK54" i="8"/>
  <c r="ILJ54" i="8"/>
  <c r="ILI54" i="8"/>
  <c r="ILH54" i="8"/>
  <c r="ILG54" i="8"/>
  <c r="ILF54" i="8"/>
  <c r="ILE54" i="8"/>
  <c r="ILD54" i="8"/>
  <c r="ILC54" i="8"/>
  <c r="ILB54" i="8"/>
  <c r="ILA54" i="8"/>
  <c r="IKZ54" i="8"/>
  <c r="IKY54" i="8"/>
  <c r="IKX54" i="8"/>
  <c r="IKW54" i="8"/>
  <c r="IKV54" i="8"/>
  <c r="IKU54" i="8"/>
  <c r="IKT54" i="8"/>
  <c r="IKS54" i="8"/>
  <c r="IKR54" i="8"/>
  <c r="IKQ54" i="8"/>
  <c r="IKP54" i="8"/>
  <c r="IKO54" i="8"/>
  <c r="IKN54" i="8"/>
  <c r="IKM54" i="8"/>
  <c r="IKL54" i="8"/>
  <c r="IKK54" i="8"/>
  <c r="IKJ54" i="8"/>
  <c r="IKI54" i="8"/>
  <c r="IKH54" i="8"/>
  <c r="IKG54" i="8"/>
  <c r="IKF54" i="8"/>
  <c r="IKE54" i="8"/>
  <c r="IKD54" i="8"/>
  <c r="IKC54" i="8"/>
  <c r="IKB54" i="8"/>
  <c r="IKA54" i="8"/>
  <c r="IJZ54" i="8"/>
  <c r="IJY54" i="8"/>
  <c r="IJX54" i="8"/>
  <c r="IJW54" i="8"/>
  <c r="IJV54" i="8"/>
  <c r="IJU54" i="8"/>
  <c r="IJT54" i="8"/>
  <c r="IJS54" i="8"/>
  <c r="IJR54" i="8"/>
  <c r="IJQ54" i="8"/>
  <c r="IJP54" i="8"/>
  <c r="IJO54" i="8"/>
  <c r="IJN54" i="8"/>
  <c r="IJM54" i="8"/>
  <c r="IJL54" i="8"/>
  <c r="IJK54" i="8"/>
  <c r="IJJ54" i="8"/>
  <c r="IJI54" i="8"/>
  <c r="IJH54" i="8"/>
  <c r="IJG54" i="8"/>
  <c r="IJF54" i="8"/>
  <c r="IJE54" i="8"/>
  <c r="IJD54" i="8"/>
  <c r="IJC54" i="8"/>
  <c r="IJB54" i="8"/>
  <c r="IJA54" i="8"/>
  <c r="IIZ54" i="8"/>
  <c r="IIY54" i="8"/>
  <c r="IIX54" i="8"/>
  <c r="IIW54" i="8"/>
  <c r="IIV54" i="8"/>
  <c r="IIU54" i="8"/>
  <c r="IIT54" i="8"/>
  <c r="IIS54" i="8"/>
  <c r="IIR54" i="8"/>
  <c r="IIQ54" i="8"/>
  <c r="IIP54" i="8"/>
  <c r="IIO54" i="8"/>
  <c r="IIN54" i="8"/>
  <c r="IIM54" i="8"/>
  <c r="IIL54" i="8"/>
  <c r="IIK54" i="8"/>
  <c r="IIJ54" i="8"/>
  <c r="III54" i="8"/>
  <c r="IIH54" i="8"/>
  <c r="IIG54" i="8"/>
  <c r="IIF54" i="8"/>
  <c r="IIE54" i="8"/>
  <c r="IID54" i="8"/>
  <c r="IIC54" i="8"/>
  <c r="IIB54" i="8"/>
  <c r="IIA54" i="8"/>
  <c r="IHZ54" i="8"/>
  <c r="IHY54" i="8"/>
  <c r="IHX54" i="8"/>
  <c r="IHW54" i="8"/>
  <c r="IHV54" i="8"/>
  <c r="IHU54" i="8"/>
  <c r="IHT54" i="8"/>
  <c r="IHS54" i="8"/>
  <c r="IHR54" i="8"/>
  <c r="IHQ54" i="8"/>
  <c r="IHP54" i="8"/>
  <c r="IHO54" i="8"/>
  <c r="IHN54" i="8"/>
  <c r="IHM54" i="8"/>
  <c r="IHL54" i="8"/>
  <c r="IHK54" i="8"/>
  <c r="IHJ54" i="8"/>
  <c r="IHI54" i="8"/>
  <c r="IHH54" i="8"/>
  <c r="IHG54" i="8"/>
  <c r="IHF54" i="8"/>
  <c r="IHE54" i="8"/>
  <c r="IHD54" i="8"/>
  <c r="IHC54" i="8"/>
  <c r="IHB54" i="8"/>
  <c r="IHA54" i="8"/>
  <c r="IGZ54" i="8"/>
  <c r="IGY54" i="8"/>
  <c r="IGX54" i="8"/>
  <c r="IGW54" i="8"/>
  <c r="IGV54" i="8"/>
  <c r="IGU54" i="8"/>
  <c r="IGT54" i="8"/>
  <c r="IGS54" i="8"/>
  <c r="IGR54" i="8"/>
  <c r="IGQ54" i="8"/>
  <c r="IGP54" i="8"/>
  <c r="IGO54" i="8"/>
  <c r="IGN54" i="8"/>
  <c r="IGM54" i="8"/>
  <c r="IGL54" i="8"/>
  <c r="IGK54" i="8"/>
  <c r="IGJ54" i="8"/>
  <c r="IGI54" i="8"/>
  <c r="IGH54" i="8"/>
  <c r="IGG54" i="8"/>
  <c r="IGF54" i="8"/>
  <c r="IGE54" i="8"/>
  <c r="IGD54" i="8"/>
  <c r="IGC54" i="8"/>
  <c r="IGB54" i="8"/>
  <c r="IGA54" i="8"/>
  <c r="IFZ54" i="8"/>
  <c r="IFY54" i="8"/>
  <c r="IFX54" i="8"/>
  <c r="IFW54" i="8"/>
  <c r="IFV54" i="8"/>
  <c r="IFU54" i="8"/>
  <c r="IFT54" i="8"/>
  <c r="IFS54" i="8"/>
  <c r="IFR54" i="8"/>
  <c r="IFQ54" i="8"/>
  <c r="IFP54" i="8"/>
  <c r="IFO54" i="8"/>
  <c r="IFN54" i="8"/>
  <c r="IFM54" i="8"/>
  <c r="IFL54" i="8"/>
  <c r="IFK54" i="8"/>
  <c r="IFJ54" i="8"/>
  <c r="IFI54" i="8"/>
  <c r="IFH54" i="8"/>
  <c r="IFG54" i="8"/>
  <c r="IFF54" i="8"/>
  <c r="IFE54" i="8"/>
  <c r="IFD54" i="8"/>
  <c r="IFC54" i="8"/>
  <c r="IFB54" i="8"/>
  <c r="IFA54" i="8"/>
  <c r="IEZ54" i="8"/>
  <c r="IEY54" i="8"/>
  <c r="IEX54" i="8"/>
  <c r="IEW54" i="8"/>
  <c r="IEV54" i="8"/>
  <c r="IEU54" i="8"/>
  <c r="IET54" i="8"/>
  <c r="IES54" i="8"/>
  <c r="IER54" i="8"/>
  <c r="IEQ54" i="8"/>
  <c r="IEP54" i="8"/>
  <c r="IEO54" i="8"/>
  <c r="IEN54" i="8"/>
  <c r="IEM54" i="8"/>
  <c r="IEL54" i="8"/>
  <c r="IEK54" i="8"/>
  <c r="IEJ54" i="8"/>
  <c r="IEI54" i="8"/>
  <c r="IEH54" i="8"/>
  <c r="IEG54" i="8"/>
  <c r="IEF54" i="8"/>
  <c r="IEE54" i="8"/>
  <c r="IED54" i="8"/>
  <c r="IEC54" i="8"/>
  <c r="IEB54" i="8"/>
  <c r="IEA54" i="8"/>
  <c r="IDZ54" i="8"/>
  <c r="IDY54" i="8"/>
  <c r="IDX54" i="8"/>
  <c r="IDW54" i="8"/>
  <c r="IDV54" i="8"/>
  <c r="IDU54" i="8"/>
  <c r="IDT54" i="8"/>
  <c r="IDS54" i="8"/>
  <c r="IDR54" i="8"/>
  <c r="IDQ54" i="8"/>
  <c r="IDP54" i="8"/>
  <c r="IDO54" i="8"/>
  <c r="IDN54" i="8"/>
  <c r="IDM54" i="8"/>
  <c r="IDL54" i="8"/>
  <c r="IDK54" i="8"/>
  <c r="IDJ54" i="8"/>
  <c r="IDI54" i="8"/>
  <c r="IDH54" i="8"/>
  <c r="IDG54" i="8"/>
  <c r="IDF54" i="8"/>
  <c r="IDE54" i="8"/>
  <c r="IDD54" i="8"/>
  <c r="IDC54" i="8"/>
  <c r="IDB54" i="8"/>
  <c r="IDA54" i="8"/>
  <c r="ICZ54" i="8"/>
  <c r="ICY54" i="8"/>
  <c r="ICX54" i="8"/>
  <c r="ICW54" i="8"/>
  <c r="ICV54" i="8"/>
  <c r="ICU54" i="8"/>
  <c r="ICT54" i="8"/>
  <c r="ICS54" i="8"/>
  <c r="ICR54" i="8"/>
  <c r="ICQ54" i="8"/>
  <c r="ICP54" i="8"/>
  <c r="ICO54" i="8"/>
  <c r="ICN54" i="8"/>
  <c r="ICM54" i="8"/>
  <c r="ICL54" i="8"/>
  <c r="ICK54" i="8"/>
  <c r="ICJ54" i="8"/>
  <c r="ICI54" i="8"/>
  <c r="ICH54" i="8"/>
  <c r="ICG54" i="8"/>
  <c r="ICF54" i="8"/>
  <c r="ICE54" i="8"/>
  <c r="ICD54" i="8"/>
  <c r="ICC54" i="8"/>
  <c r="ICB54" i="8"/>
  <c r="ICA54" i="8"/>
  <c r="IBZ54" i="8"/>
  <c r="IBY54" i="8"/>
  <c r="IBX54" i="8"/>
  <c r="IBW54" i="8"/>
  <c r="IBV54" i="8"/>
  <c r="IBU54" i="8"/>
  <c r="IBT54" i="8"/>
  <c r="IBS54" i="8"/>
  <c r="IBR54" i="8"/>
  <c r="IBQ54" i="8"/>
  <c r="IBP54" i="8"/>
  <c r="IBO54" i="8"/>
  <c r="IBN54" i="8"/>
  <c r="IBM54" i="8"/>
  <c r="IBL54" i="8"/>
  <c r="IBK54" i="8"/>
  <c r="IBJ54" i="8"/>
  <c r="IBI54" i="8"/>
  <c r="IBH54" i="8"/>
  <c r="IBG54" i="8"/>
  <c r="IBF54" i="8"/>
  <c r="IBE54" i="8"/>
  <c r="IBD54" i="8"/>
  <c r="IBC54" i="8"/>
  <c r="IBB54" i="8"/>
  <c r="IBA54" i="8"/>
  <c r="IAZ54" i="8"/>
  <c r="IAY54" i="8"/>
  <c r="IAX54" i="8"/>
  <c r="IAW54" i="8"/>
  <c r="IAV54" i="8"/>
  <c r="IAU54" i="8"/>
  <c r="IAT54" i="8"/>
  <c r="IAS54" i="8"/>
  <c r="IAR54" i="8"/>
  <c r="IAQ54" i="8"/>
  <c r="IAP54" i="8"/>
  <c r="IAO54" i="8"/>
  <c r="IAN54" i="8"/>
  <c r="IAM54" i="8"/>
  <c r="IAL54" i="8"/>
  <c r="IAK54" i="8"/>
  <c r="IAJ54" i="8"/>
  <c r="IAI54" i="8"/>
  <c r="IAH54" i="8"/>
  <c r="IAG54" i="8"/>
  <c r="IAF54" i="8"/>
  <c r="IAE54" i="8"/>
  <c r="IAD54" i="8"/>
  <c r="IAC54" i="8"/>
  <c r="IAB54" i="8"/>
  <c r="IAA54" i="8"/>
  <c r="HZZ54" i="8"/>
  <c r="HZY54" i="8"/>
  <c r="HZX54" i="8"/>
  <c r="HZW54" i="8"/>
  <c r="HZV54" i="8"/>
  <c r="HZU54" i="8"/>
  <c r="HZT54" i="8"/>
  <c r="HZS54" i="8"/>
  <c r="HZR54" i="8"/>
  <c r="HZQ54" i="8"/>
  <c r="HZP54" i="8"/>
  <c r="HZO54" i="8"/>
  <c r="HZN54" i="8"/>
  <c r="HZM54" i="8"/>
  <c r="HZL54" i="8"/>
  <c r="HZK54" i="8"/>
  <c r="HZJ54" i="8"/>
  <c r="HZI54" i="8"/>
  <c r="HZH54" i="8"/>
  <c r="HZG54" i="8"/>
  <c r="HZF54" i="8"/>
  <c r="HZE54" i="8"/>
  <c r="HZD54" i="8"/>
  <c r="HZC54" i="8"/>
  <c r="HZB54" i="8"/>
  <c r="HZA54" i="8"/>
  <c r="HYZ54" i="8"/>
  <c r="HYY54" i="8"/>
  <c r="HYX54" i="8"/>
  <c r="HYW54" i="8"/>
  <c r="HYV54" i="8"/>
  <c r="HYU54" i="8"/>
  <c r="HYT54" i="8"/>
  <c r="HYS54" i="8"/>
  <c r="HYR54" i="8"/>
  <c r="HYQ54" i="8"/>
  <c r="HYP54" i="8"/>
  <c r="HYO54" i="8"/>
  <c r="HYN54" i="8"/>
  <c r="HYM54" i="8"/>
  <c r="HYL54" i="8"/>
  <c r="HYK54" i="8"/>
  <c r="HYJ54" i="8"/>
  <c r="HYI54" i="8"/>
  <c r="HYH54" i="8"/>
  <c r="HYG54" i="8"/>
  <c r="HYF54" i="8"/>
  <c r="HYE54" i="8"/>
  <c r="HYD54" i="8"/>
  <c r="HYC54" i="8"/>
  <c r="HYB54" i="8"/>
  <c r="HYA54" i="8"/>
  <c r="HXZ54" i="8"/>
  <c r="HXY54" i="8"/>
  <c r="HXX54" i="8"/>
  <c r="HXW54" i="8"/>
  <c r="HXV54" i="8"/>
  <c r="HXU54" i="8"/>
  <c r="HXT54" i="8"/>
  <c r="HXS54" i="8"/>
  <c r="HXR54" i="8"/>
  <c r="HXQ54" i="8"/>
  <c r="HXP54" i="8"/>
  <c r="HXO54" i="8"/>
  <c r="HXN54" i="8"/>
  <c r="HXM54" i="8"/>
  <c r="HXL54" i="8"/>
  <c r="HXK54" i="8"/>
  <c r="HXJ54" i="8"/>
  <c r="HXI54" i="8"/>
  <c r="HXH54" i="8"/>
  <c r="HXG54" i="8"/>
  <c r="HXF54" i="8"/>
  <c r="HXE54" i="8"/>
  <c r="HXD54" i="8"/>
  <c r="HXC54" i="8"/>
  <c r="HXB54" i="8"/>
  <c r="HXA54" i="8"/>
  <c r="HWZ54" i="8"/>
  <c r="HWY54" i="8"/>
  <c r="HWX54" i="8"/>
  <c r="HWW54" i="8"/>
  <c r="HWV54" i="8"/>
  <c r="HWU54" i="8"/>
  <c r="HWT54" i="8"/>
  <c r="HWS54" i="8"/>
  <c r="HWR54" i="8"/>
  <c r="HWQ54" i="8"/>
  <c r="HWP54" i="8"/>
  <c r="HWO54" i="8"/>
  <c r="HWN54" i="8"/>
  <c r="HWM54" i="8"/>
  <c r="HWL54" i="8"/>
  <c r="HWK54" i="8"/>
  <c r="HWJ54" i="8"/>
  <c r="HWI54" i="8"/>
  <c r="HWH54" i="8"/>
  <c r="HWG54" i="8"/>
  <c r="HWF54" i="8"/>
  <c r="HWE54" i="8"/>
  <c r="HWD54" i="8"/>
  <c r="HWC54" i="8"/>
  <c r="HWB54" i="8"/>
  <c r="HWA54" i="8"/>
  <c r="HVZ54" i="8"/>
  <c r="HVY54" i="8"/>
  <c r="HVX54" i="8"/>
  <c r="HVW54" i="8"/>
  <c r="HVV54" i="8"/>
  <c r="HVU54" i="8"/>
  <c r="HVT54" i="8"/>
  <c r="HVS54" i="8"/>
  <c r="HVR54" i="8"/>
  <c r="HVQ54" i="8"/>
  <c r="HVP54" i="8"/>
  <c r="HVO54" i="8"/>
  <c r="HVN54" i="8"/>
  <c r="HVM54" i="8"/>
  <c r="HVL54" i="8"/>
  <c r="HVK54" i="8"/>
  <c r="HVJ54" i="8"/>
  <c r="HVI54" i="8"/>
  <c r="HVH54" i="8"/>
  <c r="HVG54" i="8"/>
  <c r="HVF54" i="8"/>
  <c r="HVE54" i="8"/>
  <c r="HVD54" i="8"/>
  <c r="HVC54" i="8"/>
  <c r="HVB54" i="8"/>
  <c r="HVA54" i="8"/>
  <c r="HUZ54" i="8"/>
  <c r="HUY54" i="8"/>
  <c r="HUX54" i="8"/>
  <c r="HUW54" i="8"/>
  <c r="HUV54" i="8"/>
  <c r="HUU54" i="8"/>
  <c r="HUT54" i="8"/>
  <c r="HUS54" i="8"/>
  <c r="HUR54" i="8"/>
  <c r="HUQ54" i="8"/>
  <c r="HUP54" i="8"/>
  <c r="HUO54" i="8"/>
  <c r="HUN54" i="8"/>
  <c r="HUM54" i="8"/>
  <c r="HUL54" i="8"/>
  <c r="HUK54" i="8"/>
  <c r="HUJ54" i="8"/>
  <c r="HUI54" i="8"/>
  <c r="HUH54" i="8"/>
  <c r="HUG54" i="8"/>
  <c r="HUF54" i="8"/>
  <c r="HUE54" i="8"/>
  <c r="HUD54" i="8"/>
  <c r="HUC54" i="8"/>
  <c r="HUB54" i="8"/>
  <c r="HUA54" i="8"/>
  <c r="HTZ54" i="8"/>
  <c r="HTY54" i="8"/>
  <c r="HTX54" i="8"/>
  <c r="HTW54" i="8"/>
  <c r="HTV54" i="8"/>
  <c r="HTU54" i="8"/>
  <c r="HTT54" i="8"/>
  <c r="HTS54" i="8"/>
  <c r="HTR54" i="8"/>
  <c r="HTQ54" i="8"/>
  <c r="HTP54" i="8"/>
  <c r="HTO54" i="8"/>
  <c r="HTN54" i="8"/>
  <c r="HTM54" i="8"/>
  <c r="HTL54" i="8"/>
  <c r="HTK54" i="8"/>
  <c r="HTJ54" i="8"/>
  <c r="HTI54" i="8"/>
  <c r="HTH54" i="8"/>
  <c r="HTG54" i="8"/>
  <c r="HTF54" i="8"/>
  <c r="HTE54" i="8"/>
  <c r="HTD54" i="8"/>
  <c r="HTC54" i="8"/>
  <c r="HTB54" i="8"/>
  <c r="HTA54" i="8"/>
  <c r="HSZ54" i="8"/>
  <c r="HSY54" i="8"/>
  <c r="HSX54" i="8"/>
  <c r="HSW54" i="8"/>
  <c r="HSV54" i="8"/>
  <c r="HSU54" i="8"/>
  <c r="HST54" i="8"/>
  <c r="HSS54" i="8"/>
  <c r="HSR54" i="8"/>
  <c r="HSQ54" i="8"/>
  <c r="HSP54" i="8"/>
  <c r="HSO54" i="8"/>
  <c r="HSN54" i="8"/>
  <c r="HSM54" i="8"/>
  <c r="HSL54" i="8"/>
  <c r="HSK54" i="8"/>
  <c r="HSJ54" i="8"/>
  <c r="HSI54" i="8"/>
  <c r="HSH54" i="8"/>
  <c r="HSG54" i="8"/>
  <c r="HSF54" i="8"/>
  <c r="HSE54" i="8"/>
  <c r="HSD54" i="8"/>
  <c r="HSC54" i="8"/>
  <c r="HSB54" i="8"/>
  <c r="HSA54" i="8"/>
  <c r="HRZ54" i="8"/>
  <c r="HRY54" i="8"/>
  <c r="HRX54" i="8"/>
  <c r="HRW54" i="8"/>
  <c r="HRV54" i="8"/>
  <c r="HRU54" i="8"/>
  <c r="HRT54" i="8"/>
  <c r="HRS54" i="8"/>
  <c r="HRR54" i="8"/>
  <c r="HRQ54" i="8"/>
  <c r="HRP54" i="8"/>
  <c r="HRO54" i="8"/>
  <c r="HRN54" i="8"/>
  <c r="HRM54" i="8"/>
  <c r="HRL54" i="8"/>
  <c r="HRK54" i="8"/>
  <c r="HRJ54" i="8"/>
  <c r="HRI54" i="8"/>
  <c r="HRH54" i="8"/>
  <c r="HRG54" i="8"/>
  <c r="HRF54" i="8"/>
  <c r="HRE54" i="8"/>
  <c r="HRD54" i="8"/>
  <c r="HRC54" i="8"/>
  <c r="HRB54" i="8"/>
  <c r="HRA54" i="8"/>
  <c r="HQZ54" i="8"/>
  <c r="HQY54" i="8"/>
  <c r="HQX54" i="8"/>
  <c r="HQW54" i="8"/>
  <c r="HQV54" i="8"/>
  <c r="HQU54" i="8"/>
  <c r="HQT54" i="8"/>
  <c r="HQS54" i="8"/>
  <c r="HQR54" i="8"/>
  <c r="HQQ54" i="8"/>
  <c r="HQP54" i="8"/>
  <c r="HQO54" i="8"/>
  <c r="HQN54" i="8"/>
  <c r="HQM54" i="8"/>
  <c r="HQL54" i="8"/>
  <c r="HQK54" i="8"/>
  <c r="HQJ54" i="8"/>
  <c r="HQI54" i="8"/>
  <c r="HQH54" i="8"/>
  <c r="HQG54" i="8"/>
  <c r="HQF54" i="8"/>
  <c r="HQE54" i="8"/>
  <c r="HQD54" i="8"/>
  <c r="HQC54" i="8"/>
  <c r="HQB54" i="8"/>
  <c r="HQA54" i="8"/>
  <c r="HPZ54" i="8"/>
  <c r="HPY54" i="8"/>
  <c r="HPX54" i="8"/>
  <c r="HPW54" i="8"/>
  <c r="HPV54" i="8"/>
  <c r="HPU54" i="8"/>
  <c r="HPT54" i="8"/>
  <c r="HPS54" i="8"/>
  <c r="HPR54" i="8"/>
  <c r="HPQ54" i="8"/>
  <c r="HPP54" i="8"/>
  <c r="HPO54" i="8"/>
  <c r="HPN54" i="8"/>
  <c r="HPM54" i="8"/>
  <c r="HPL54" i="8"/>
  <c r="HPK54" i="8"/>
  <c r="HPJ54" i="8"/>
  <c r="HPI54" i="8"/>
  <c r="HPH54" i="8"/>
  <c r="HPG54" i="8"/>
  <c r="HPF54" i="8"/>
  <c r="HPE54" i="8"/>
  <c r="HPD54" i="8"/>
  <c r="HPC54" i="8"/>
  <c r="HPB54" i="8"/>
  <c r="HPA54" i="8"/>
  <c r="HOZ54" i="8"/>
  <c r="HOY54" i="8"/>
  <c r="HOX54" i="8"/>
  <c r="HOW54" i="8"/>
  <c r="HOV54" i="8"/>
  <c r="HOU54" i="8"/>
  <c r="HOT54" i="8"/>
  <c r="HOS54" i="8"/>
  <c r="HOR54" i="8"/>
  <c r="HOQ54" i="8"/>
  <c r="HOP54" i="8"/>
  <c r="HOO54" i="8"/>
  <c r="HON54" i="8"/>
  <c r="HOM54" i="8"/>
  <c r="HOL54" i="8"/>
  <c r="HOK54" i="8"/>
  <c r="HOJ54" i="8"/>
  <c r="HOI54" i="8"/>
  <c r="HOH54" i="8"/>
  <c r="HOG54" i="8"/>
  <c r="HOF54" i="8"/>
  <c r="HOE54" i="8"/>
  <c r="HOD54" i="8"/>
  <c r="HOC54" i="8"/>
  <c r="HOB54" i="8"/>
  <c r="HOA54" i="8"/>
  <c r="HNZ54" i="8"/>
  <c r="HNY54" i="8"/>
  <c r="HNX54" i="8"/>
  <c r="HNW54" i="8"/>
  <c r="HNV54" i="8"/>
  <c r="HNU54" i="8"/>
  <c r="HNT54" i="8"/>
  <c r="HNS54" i="8"/>
  <c r="HNR54" i="8"/>
  <c r="HNQ54" i="8"/>
  <c r="HNP54" i="8"/>
  <c r="HNO54" i="8"/>
  <c r="HNN54" i="8"/>
  <c r="HNM54" i="8"/>
  <c r="HNL54" i="8"/>
  <c r="HNK54" i="8"/>
  <c r="HNJ54" i="8"/>
  <c r="HNI54" i="8"/>
  <c r="HNH54" i="8"/>
  <c r="HNG54" i="8"/>
  <c r="HNF54" i="8"/>
  <c r="HNE54" i="8"/>
  <c r="HND54" i="8"/>
  <c r="HNC54" i="8"/>
  <c r="HNB54" i="8"/>
  <c r="HNA54" i="8"/>
  <c r="HMZ54" i="8"/>
  <c r="HMY54" i="8"/>
  <c r="HMX54" i="8"/>
  <c r="HMW54" i="8"/>
  <c r="HMV54" i="8"/>
  <c r="HMU54" i="8"/>
  <c r="HMT54" i="8"/>
  <c r="HMS54" i="8"/>
  <c r="HMR54" i="8"/>
  <c r="HMQ54" i="8"/>
  <c r="HMP54" i="8"/>
  <c r="HMO54" i="8"/>
  <c r="HMN54" i="8"/>
  <c r="HMM54" i="8"/>
  <c r="HML54" i="8"/>
  <c r="HMK54" i="8"/>
  <c r="HMJ54" i="8"/>
  <c r="HMI54" i="8"/>
  <c r="HMH54" i="8"/>
  <c r="HMG54" i="8"/>
  <c r="HMF54" i="8"/>
  <c r="HME54" i="8"/>
  <c r="HMD54" i="8"/>
  <c r="HMC54" i="8"/>
  <c r="HMB54" i="8"/>
  <c r="HMA54" i="8"/>
  <c r="HLZ54" i="8"/>
  <c r="HLY54" i="8"/>
  <c r="HLX54" i="8"/>
  <c r="HLW54" i="8"/>
  <c r="HLV54" i="8"/>
  <c r="HLU54" i="8"/>
  <c r="HLT54" i="8"/>
  <c r="HLS54" i="8"/>
  <c r="HLR54" i="8"/>
  <c r="HLQ54" i="8"/>
  <c r="HLP54" i="8"/>
  <c r="HLO54" i="8"/>
  <c r="HLN54" i="8"/>
  <c r="HLM54" i="8"/>
  <c r="HLL54" i="8"/>
  <c r="HLK54" i="8"/>
  <c r="HLJ54" i="8"/>
  <c r="HLI54" i="8"/>
  <c r="HLH54" i="8"/>
  <c r="HLG54" i="8"/>
  <c r="HLF54" i="8"/>
  <c r="HLE54" i="8"/>
  <c r="HLD54" i="8"/>
  <c r="HLC54" i="8"/>
  <c r="HLB54" i="8"/>
  <c r="HLA54" i="8"/>
  <c r="HKZ54" i="8"/>
  <c r="HKY54" i="8"/>
  <c r="HKX54" i="8"/>
  <c r="HKW54" i="8"/>
  <c r="HKV54" i="8"/>
  <c r="HKU54" i="8"/>
  <c r="HKT54" i="8"/>
  <c r="HKS54" i="8"/>
  <c r="HKR54" i="8"/>
  <c r="HKQ54" i="8"/>
  <c r="HKP54" i="8"/>
  <c r="HKO54" i="8"/>
  <c r="HKN54" i="8"/>
  <c r="HKM54" i="8"/>
  <c r="HKL54" i="8"/>
  <c r="HKK54" i="8"/>
  <c r="HKJ54" i="8"/>
  <c r="HKI54" i="8"/>
  <c r="HKH54" i="8"/>
  <c r="HKG54" i="8"/>
  <c r="HKF54" i="8"/>
  <c r="HKE54" i="8"/>
  <c r="HKD54" i="8"/>
  <c r="HKC54" i="8"/>
  <c r="HKB54" i="8"/>
  <c r="HKA54" i="8"/>
  <c r="HJZ54" i="8"/>
  <c r="HJY54" i="8"/>
  <c r="HJX54" i="8"/>
  <c r="HJW54" i="8"/>
  <c r="HJV54" i="8"/>
  <c r="HJU54" i="8"/>
  <c r="HJT54" i="8"/>
  <c r="HJS54" i="8"/>
  <c r="HJR54" i="8"/>
  <c r="HJQ54" i="8"/>
  <c r="HJP54" i="8"/>
  <c r="HJO54" i="8"/>
  <c r="HJN54" i="8"/>
  <c r="HJM54" i="8"/>
  <c r="HJL54" i="8"/>
  <c r="HJK54" i="8"/>
  <c r="HJJ54" i="8"/>
  <c r="HJI54" i="8"/>
  <c r="HJH54" i="8"/>
  <c r="HJG54" i="8"/>
  <c r="HJF54" i="8"/>
  <c r="HJE54" i="8"/>
  <c r="HJD54" i="8"/>
  <c r="HJC54" i="8"/>
  <c r="HJB54" i="8"/>
  <c r="HJA54" i="8"/>
  <c r="HIZ54" i="8"/>
  <c r="HIY54" i="8"/>
  <c r="HIX54" i="8"/>
  <c r="HIW54" i="8"/>
  <c r="HIV54" i="8"/>
  <c r="HIU54" i="8"/>
  <c r="HIT54" i="8"/>
  <c r="HIS54" i="8"/>
  <c r="HIR54" i="8"/>
  <c r="HIQ54" i="8"/>
  <c r="HIP54" i="8"/>
  <c r="HIO54" i="8"/>
  <c r="HIN54" i="8"/>
  <c r="HIM54" i="8"/>
  <c r="HIL54" i="8"/>
  <c r="HIK54" i="8"/>
  <c r="HIJ54" i="8"/>
  <c r="HII54" i="8"/>
  <c r="HIH54" i="8"/>
  <c r="HIG54" i="8"/>
  <c r="HIF54" i="8"/>
  <c r="HIE54" i="8"/>
  <c r="HID54" i="8"/>
  <c r="HIC54" i="8"/>
  <c r="HIB54" i="8"/>
  <c r="HIA54" i="8"/>
  <c r="HHZ54" i="8"/>
  <c r="HHY54" i="8"/>
  <c r="HHX54" i="8"/>
  <c r="HHW54" i="8"/>
  <c r="HHV54" i="8"/>
  <c r="HHU54" i="8"/>
  <c r="HHT54" i="8"/>
  <c r="HHS54" i="8"/>
  <c r="HHR54" i="8"/>
  <c r="HHQ54" i="8"/>
  <c r="HHP54" i="8"/>
  <c r="HHO54" i="8"/>
  <c r="HHN54" i="8"/>
  <c r="HHM54" i="8"/>
  <c r="HHL54" i="8"/>
  <c r="HHK54" i="8"/>
  <c r="HHJ54" i="8"/>
  <c r="HHI54" i="8"/>
  <c r="HHH54" i="8"/>
  <c r="HHG54" i="8"/>
  <c r="HHF54" i="8"/>
  <c r="HHE54" i="8"/>
  <c r="HHD54" i="8"/>
  <c r="HHC54" i="8"/>
  <c r="HHB54" i="8"/>
  <c r="HHA54" i="8"/>
  <c r="HGZ54" i="8"/>
  <c r="HGY54" i="8"/>
  <c r="HGX54" i="8"/>
  <c r="HGW54" i="8"/>
  <c r="HGV54" i="8"/>
  <c r="HGU54" i="8"/>
  <c r="HGT54" i="8"/>
  <c r="HGS54" i="8"/>
  <c r="HGR54" i="8"/>
  <c r="HGQ54" i="8"/>
  <c r="HGP54" i="8"/>
  <c r="HGO54" i="8"/>
  <c r="HGN54" i="8"/>
  <c r="HGM54" i="8"/>
  <c r="HGL54" i="8"/>
  <c r="HGK54" i="8"/>
  <c r="HGJ54" i="8"/>
  <c r="HGI54" i="8"/>
  <c r="HGH54" i="8"/>
  <c r="HGG54" i="8"/>
  <c r="HGF54" i="8"/>
  <c r="HGE54" i="8"/>
  <c r="HGD54" i="8"/>
  <c r="HGC54" i="8"/>
  <c r="HGB54" i="8"/>
  <c r="HGA54" i="8"/>
  <c r="HFZ54" i="8"/>
  <c r="HFY54" i="8"/>
  <c r="HFX54" i="8"/>
  <c r="HFW54" i="8"/>
  <c r="HFV54" i="8"/>
  <c r="HFU54" i="8"/>
  <c r="HFT54" i="8"/>
  <c r="HFS54" i="8"/>
  <c r="HFR54" i="8"/>
  <c r="HFQ54" i="8"/>
  <c r="HFP54" i="8"/>
  <c r="HFO54" i="8"/>
  <c r="HFN54" i="8"/>
  <c r="HFM54" i="8"/>
  <c r="HFL54" i="8"/>
  <c r="HFK54" i="8"/>
  <c r="HFJ54" i="8"/>
  <c r="HFI54" i="8"/>
  <c r="HFH54" i="8"/>
  <c r="HFG54" i="8"/>
  <c r="HFF54" i="8"/>
  <c r="HFE54" i="8"/>
  <c r="HFD54" i="8"/>
  <c r="HFC54" i="8"/>
  <c r="HFB54" i="8"/>
  <c r="HFA54" i="8"/>
  <c r="HEZ54" i="8"/>
  <c r="HEY54" i="8"/>
  <c r="HEX54" i="8"/>
  <c r="HEW54" i="8"/>
  <c r="HEV54" i="8"/>
  <c r="HEU54" i="8"/>
  <c r="HET54" i="8"/>
  <c r="HES54" i="8"/>
  <c r="HER54" i="8"/>
  <c r="HEQ54" i="8"/>
  <c r="HEP54" i="8"/>
  <c r="HEO54" i="8"/>
  <c r="HEN54" i="8"/>
  <c r="HEM54" i="8"/>
  <c r="HEL54" i="8"/>
  <c r="HEK54" i="8"/>
  <c r="HEJ54" i="8"/>
  <c r="HEI54" i="8"/>
  <c r="HEH54" i="8"/>
  <c r="HEG54" i="8"/>
  <c r="HEF54" i="8"/>
  <c r="HEE54" i="8"/>
  <c r="HED54" i="8"/>
  <c r="HEC54" i="8"/>
  <c r="HEB54" i="8"/>
  <c r="HEA54" i="8"/>
  <c r="HDZ54" i="8"/>
  <c r="HDY54" i="8"/>
  <c r="HDX54" i="8"/>
  <c r="HDW54" i="8"/>
  <c r="HDV54" i="8"/>
  <c r="HDU54" i="8"/>
  <c r="HDT54" i="8"/>
  <c r="HDS54" i="8"/>
  <c r="HDR54" i="8"/>
  <c r="HDQ54" i="8"/>
  <c r="HDP54" i="8"/>
  <c r="HDO54" i="8"/>
  <c r="HDN54" i="8"/>
  <c r="HDM54" i="8"/>
  <c r="HDL54" i="8"/>
  <c r="HDK54" i="8"/>
  <c r="HDJ54" i="8"/>
  <c r="HDI54" i="8"/>
  <c r="HDH54" i="8"/>
  <c r="HDG54" i="8"/>
  <c r="HDF54" i="8"/>
  <c r="HDE54" i="8"/>
  <c r="HDD54" i="8"/>
  <c r="HDC54" i="8"/>
  <c r="HDB54" i="8"/>
  <c r="HDA54" i="8"/>
  <c r="HCZ54" i="8"/>
  <c r="HCY54" i="8"/>
  <c r="HCX54" i="8"/>
  <c r="HCW54" i="8"/>
  <c r="HCV54" i="8"/>
  <c r="HCU54" i="8"/>
  <c r="HCT54" i="8"/>
  <c r="HCS54" i="8"/>
  <c r="HCR54" i="8"/>
  <c r="HCQ54" i="8"/>
  <c r="HCP54" i="8"/>
  <c r="HCO54" i="8"/>
  <c r="HCN54" i="8"/>
  <c r="HCM54" i="8"/>
  <c r="HCL54" i="8"/>
  <c r="HCK54" i="8"/>
  <c r="HCJ54" i="8"/>
  <c r="HCI54" i="8"/>
  <c r="HCH54" i="8"/>
  <c r="HCG54" i="8"/>
  <c r="HCF54" i="8"/>
  <c r="HCE54" i="8"/>
  <c r="HCD54" i="8"/>
  <c r="HCC54" i="8"/>
  <c r="HCB54" i="8"/>
  <c r="HCA54" i="8"/>
  <c r="HBZ54" i="8"/>
  <c r="HBY54" i="8"/>
  <c r="HBX54" i="8"/>
  <c r="HBW54" i="8"/>
  <c r="HBV54" i="8"/>
  <c r="HBU54" i="8"/>
  <c r="HBT54" i="8"/>
  <c r="HBS54" i="8"/>
  <c r="HBR54" i="8"/>
  <c r="HBQ54" i="8"/>
  <c r="HBP54" i="8"/>
  <c r="HBO54" i="8"/>
  <c r="HBN54" i="8"/>
  <c r="HBM54" i="8"/>
  <c r="HBL54" i="8"/>
  <c r="HBK54" i="8"/>
  <c r="HBJ54" i="8"/>
  <c r="HBI54" i="8"/>
  <c r="HBH54" i="8"/>
  <c r="HBG54" i="8"/>
  <c r="HBF54" i="8"/>
  <c r="HBE54" i="8"/>
  <c r="HBD54" i="8"/>
  <c r="HBC54" i="8"/>
  <c r="HBB54" i="8"/>
  <c r="HBA54" i="8"/>
  <c r="HAZ54" i="8"/>
  <c r="HAY54" i="8"/>
  <c r="HAX54" i="8"/>
  <c r="HAW54" i="8"/>
  <c r="HAV54" i="8"/>
  <c r="HAU54" i="8"/>
  <c r="HAT54" i="8"/>
  <c r="HAS54" i="8"/>
  <c r="HAR54" i="8"/>
  <c r="HAQ54" i="8"/>
  <c r="HAP54" i="8"/>
  <c r="HAO54" i="8"/>
  <c r="HAN54" i="8"/>
  <c r="HAM54" i="8"/>
  <c r="HAL54" i="8"/>
  <c r="HAK54" i="8"/>
  <c r="HAJ54" i="8"/>
  <c r="HAI54" i="8"/>
  <c r="HAH54" i="8"/>
  <c r="HAG54" i="8"/>
  <c r="HAF54" i="8"/>
  <c r="HAE54" i="8"/>
  <c r="HAD54" i="8"/>
  <c r="HAC54" i="8"/>
  <c r="HAB54" i="8"/>
  <c r="HAA54" i="8"/>
  <c r="GZZ54" i="8"/>
  <c r="GZY54" i="8"/>
  <c r="GZX54" i="8"/>
  <c r="GZW54" i="8"/>
  <c r="GZV54" i="8"/>
  <c r="GZU54" i="8"/>
  <c r="GZT54" i="8"/>
  <c r="GZS54" i="8"/>
  <c r="GZR54" i="8"/>
  <c r="GZQ54" i="8"/>
  <c r="GZP54" i="8"/>
  <c r="GZO54" i="8"/>
  <c r="GZN54" i="8"/>
  <c r="GZM54" i="8"/>
  <c r="GZL54" i="8"/>
  <c r="GZK54" i="8"/>
  <c r="GZJ54" i="8"/>
  <c r="GZI54" i="8"/>
  <c r="GZH54" i="8"/>
  <c r="GZG54" i="8"/>
  <c r="GZF54" i="8"/>
  <c r="GZE54" i="8"/>
  <c r="GZD54" i="8"/>
  <c r="GZC54" i="8"/>
  <c r="GZB54" i="8"/>
  <c r="GZA54" i="8"/>
  <c r="GYZ54" i="8"/>
  <c r="GYY54" i="8"/>
  <c r="GYX54" i="8"/>
  <c r="GYW54" i="8"/>
  <c r="GYV54" i="8"/>
  <c r="GYU54" i="8"/>
  <c r="GYT54" i="8"/>
  <c r="GYS54" i="8"/>
  <c r="GYR54" i="8"/>
  <c r="GYQ54" i="8"/>
  <c r="GYP54" i="8"/>
  <c r="GYO54" i="8"/>
  <c r="GYN54" i="8"/>
  <c r="GYM54" i="8"/>
  <c r="GYL54" i="8"/>
  <c r="GYK54" i="8"/>
  <c r="GYJ54" i="8"/>
  <c r="GYI54" i="8"/>
  <c r="GYH54" i="8"/>
  <c r="GYG54" i="8"/>
  <c r="GYF54" i="8"/>
  <c r="GYE54" i="8"/>
  <c r="GYD54" i="8"/>
  <c r="GYC54" i="8"/>
  <c r="GYB54" i="8"/>
  <c r="GYA54" i="8"/>
  <c r="GXZ54" i="8"/>
  <c r="GXY54" i="8"/>
  <c r="GXX54" i="8"/>
  <c r="GXW54" i="8"/>
  <c r="GXV54" i="8"/>
  <c r="GXU54" i="8"/>
  <c r="GXT54" i="8"/>
  <c r="GXS54" i="8"/>
  <c r="GXR54" i="8"/>
  <c r="GXQ54" i="8"/>
  <c r="GXP54" i="8"/>
  <c r="GXO54" i="8"/>
  <c r="GXN54" i="8"/>
  <c r="GXM54" i="8"/>
  <c r="GXL54" i="8"/>
  <c r="GXK54" i="8"/>
  <c r="GXJ54" i="8"/>
  <c r="GXI54" i="8"/>
  <c r="GXH54" i="8"/>
  <c r="GXG54" i="8"/>
  <c r="GXF54" i="8"/>
  <c r="GXE54" i="8"/>
  <c r="GXD54" i="8"/>
  <c r="GXC54" i="8"/>
  <c r="GXB54" i="8"/>
  <c r="GXA54" i="8"/>
  <c r="GWZ54" i="8"/>
  <c r="GWY54" i="8"/>
  <c r="GWX54" i="8"/>
  <c r="GWW54" i="8"/>
  <c r="GWV54" i="8"/>
  <c r="GWU54" i="8"/>
  <c r="GWT54" i="8"/>
  <c r="GWS54" i="8"/>
  <c r="GWR54" i="8"/>
  <c r="GWQ54" i="8"/>
  <c r="GWP54" i="8"/>
  <c r="GWO54" i="8"/>
  <c r="GWN54" i="8"/>
  <c r="GWM54" i="8"/>
  <c r="GWL54" i="8"/>
  <c r="GWK54" i="8"/>
  <c r="GWJ54" i="8"/>
  <c r="GWI54" i="8"/>
  <c r="GWH54" i="8"/>
  <c r="GWG54" i="8"/>
  <c r="GWF54" i="8"/>
  <c r="GWE54" i="8"/>
  <c r="GWD54" i="8"/>
  <c r="GWC54" i="8"/>
  <c r="GWB54" i="8"/>
  <c r="GWA54" i="8"/>
  <c r="GVZ54" i="8"/>
  <c r="GVY54" i="8"/>
  <c r="GVX54" i="8"/>
  <c r="GVW54" i="8"/>
  <c r="GVV54" i="8"/>
  <c r="GVU54" i="8"/>
  <c r="GVT54" i="8"/>
  <c r="GVS54" i="8"/>
  <c r="GVR54" i="8"/>
  <c r="GVQ54" i="8"/>
  <c r="GVP54" i="8"/>
  <c r="GVO54" i="8"/>
  <c r="GVN54" i="8"/>
  <c r="GVM54" i="8"/>
  <c r="GVL54" i="8"/>
  <c r="GVK54" i="8"/>
  <c r="GVJ54" i="8"/>
  <c r="GVI54" i="8"/>
  <c r="GVH54" i="8"/>
  <c r="GVG54" i="8"/>
  <c r="GVF54" i="8"/>
  <c r="GVE54" i="8"/>
  <c r="GVD54" i="8"/>
  <c r="GVC54" i="8"/>
  <c r="GVB54" i="8"/>
  <c r="GVA54" i="8"/>
  <c r="GUZ54" i="8"/>
  <c r="GUY54" i="8"/>
  <c r="GUX54" i="8"/>
  <c r="GUW54" i="8"/>
  <c r="GUV54" i="8"/>
  <c r="GUU54" i="8"/>
  <c r="GUT54" i="8"/>
  <c r="GUS54" i="8"/>
  <c r="GUR54" i="8"/>
  <c r="GUQ54" i="8"/>
  <c r="GUP54" i="8"/>
  <c r="GUO54" i="8"/>
  <c r="GUN54" i="8"/>
  <c r="GUM54" i="8"/>
  <c r="GUL54" i="8"/>
  <c r="GUK54" i="8"/>
  <c r="GUJ54" i="8"/>
  <c r="GUI54" i="8"/>
  <c r="GUH54" i="8"/>
  <c r="GUG54" i="8"/>
  <c r="GUF54" i="8"/>
  <c r="GUE54" i="8"/>
  <c r="GUD54" i="8"/>
  <c r="GUC54" i="8"/>
  <c r="GUB54" i="8"/>
  <c r="GUA54" i="8"/>
  <c r="GTZ54" i="8"/>
  <c r="GTY54" i="8"/>
  <c r="GTX54" i="8"/>
  <c r="GTW54" i="8"/>
  <c r="GTV54" i="8"/>
  <c r="GTU54" i="8"/>
  <c r="GTT54" i="8"/>
  <c r="GTS54" i="8"/>
  <c r="GTR54" i="8"/>
  <c r="GTQ54" i="8"/>
  <c r="GTP54" i="8"/>
  <c r="GTO54" i="8"/>
  <c r="GTN54" i="8"/>
  <c r="GTM54" i="8"/>
  <c r="GTL54" i="8"/>
  <c r="GTK54" i="8"/>
  <c r="GTJ54" i="8"/>
  <c r="GTI54" i="8"/>
  <c r="GTH54" i="8"/>
  <c r="GTG54" i="8"/>
  <c r="GTF54" i="8"/>
  <c r="GTE54" i="8"/>
  <c r="GTD54" i="8"/>
  <c r="GTC54" i="8"/>
  <c r="GTB54" i="8"/>
  <c r="GTA54" i="8"/>
  <c r="GSZ54" i="8"/>
  <c r="GSY54" i="8"/>
  <c r="GSX54" i="8"/>
  <c r="GSW54" i="8"/>
  <c r="GSV54" i="8"/>
  <c r="GSU54" i="8"/>
  <c r="GST54" i="8"/>
  <c r="GSS54" i="8"/>
  <c r="GSR54" i="8"/>
  <c r="GSQ54" i="8"/>
  <c r="GSP54" i="8"/>
  <c r="GSO54" i="8"/>
  <c r="GSN54" i="8"/>
  <c r="GSM54" i="8"/>
  <c r="GSL54" i="8"/>
  <c r="GSK54" i="8"/>
  <c r="GSJ54" i="8"/>
  <c r="GSI54" i="8"/>
  <c r="GSH54" i="8"/>
  <c r="GSG54" i="8"/>
  <c r="GSF54" i="8"/>
  <c r="GSE54" i="8"/>
  <c r="GSD54" i="8"/>
  <c r="GSC54" i="8"/>
  <c r="GSB54" i="8"/>
  <c r="GSA54" i="8"/>
  <c r="GRZ54" i="8"/>
  <c r="GRY54" i="8"/>
  <c r="GRX54" i="8"/>
  <c r="GRW54" i="8"/>
  <c r="GRV54" i="8"/>
  <c r="GRU54" i="8"/>
  <c r="GRT54" i="8"/>
  <c r="GRS54" i="8"/>
  <c r="GRR54" i="8"/>
  <c r="GRQ54" i="8"/>
  <c r="GRP54" i="8"/>
  <c r="GRO54" i="8"/>
  <c r="GRN54" i="8"/>
  <c r="GRM54" i="8"/>
  <c r="GRL54" i="8"/>
  <c r="GRK54" i="8"/>
  <c r="GRJ54" i="8"/>
  <c r="GRI54" i="8"/>
  <c r="GRH54" i="8"/>
  <c r="GRG54" i="8"/>
  <c r="GRF54" i="8"/>
  <c r="GRE54" i="8"/>
  <c r="GRD54" i="8"/>
  <c r="GRC54" i="8"/>
  <c r="GRB54" i="8"/>
  <c r="GRA54" i="8"/>
  <c r="GQZ54" i="8"/>
  <c r="GQY54" i="8"/>
  <c r="GQX54" i="8"/>
  <c r="GQW54" i="8"/>
  <c r="GQV54" i="8"/>
  <c r="GQU54" i="8"/>
  <c r="GQT54" i="8"/>
  <c r="GQS54" i="8"/>
  <c r="GQR54" i="8"/>
  <c r="GQQ54" i="8"/>
  <c r="GQP54" i="8"/>
  <c r="GQO54" i="8"/>
  <c r="GQN54" i="8"/>
  <c r="GQM54" i="8"/>
  <c r="GQL54" i="8"/>
  <c r="GQK54" i="8"/>
  <c r="GQJ54" i="8"/>
  <c r="GQI54" i="8"/>
  <c r="GQH54" i="8"/>
  <c r="GQG54" i="8"/>
  <c r="GQF54" i="8"/>
  <c r="GQE54" i="8"/>
  <c r="GQD54" i="8"/>
  <c r="GQC54" i="8"/>
  <c r="GQB54" i="8"/>
  <c r="GQA54" i="8"/>
  <c r="GPZ54" i="8"/>
  <c r="GPY54" i="8"/>
  <c r="GPX54" i="8"/>
  <c r="GPW54" i="8"/>
  <c r="GPV54" i="8"/>
  <c r="GPU54" i="8"/>
  <c r="GPT54" i="8"/>
  <c r="GPS54" i="8"/>
  <c r="GPR54" i="8"/>
  <c r="GPQ54" i="8"/>
  <c r="GPP54" i="8"/>
  <c r="GPO54" i="8"/>
  <c r="GPN54" i="8"/>
  <c r="GPM54" i="8"/>
  <c r="GPL54" i="8"/>
  <c r="GPK54" i="8"/>
  <c r="GPJ54" i="8"/>
  <c r="GPI54" i="8"/>
  <c r="GPH54" i="8"/>
  <c r="GPG54" i="8"/>
  <c r="GPF54" i="8"/>
  <c r="GPE54" i="8"/>
  <c r="GPD54" i="8"/>
  <c r="GPC54" i="8"/>
  <c r="GPB54" i="8"/>
  <c r="GPA54" i="8"/>
  <c r="GOZ54" i="8"/>
  <c r="GOY54" i="8"/>
  <c r="GOX54" i="8"/>
  <c r="GOW54" i="8"/>
  <c r="GOV54" i="8"/>
  <c r="GOU54" i="8"/>
  <c r="GOT54" i="8"/>
  <c r="GOS54" i="8"/>
  <c r="GOR54" i="8"/>
  <c r="GOQ54" i="8"/>
  <c r="GOP54" i="8"/>
  <c r="GOO54" i="8"/>
  <c r="GON54" i="8"/>
  <c r="GOM54" i="8"/>
  <c r="GOL54" i="8"/>
  <c r="GOK54" i="8"/>
  <c r="GOJ54" i="8"/>
  <c r="GOI54" i="8"/>
  <c r="GOH54" i="8"/>
  <c r="GOG54" i="8"/>
  <c r="GOF54" i="8"/>
  <c r="GOE54" i="8"/>
  <c r="GOD54" i="8"/>
  <c r="GOC54" i="8"/>
  <c r="GOB54" i="8"/>
  <c r="GOA54" i="8"/>
  <c r="GNZ54" i="8"/>
  <c r="GNY54" i="8"/>
  <c r="GNX54" i="8"/>
  <c r="GNW54" i="8"/>
  <c r="GNV54" i="8"/>
  <c r="GNU54" i="8"/>
  <c r="GNT54" i="8"/>
  <c r="GNS54" i="8"/>
  <c r="GNR54" i="8"/>
  <c r="GNQ54" i="8"/>
  <c r="GNP54" i="8"/>
  <c r="GNO54" i="8"/>
  <c r="GNN54" i="8"/>
  <c r="GNM54" i="8"/>
  <c r="GNL54" i="8"/>
  <c r="GNK54" i="8"/>
  <c r="GNJ54" i="8"/>
  <c r="GNI54" i="8"/>
  <c r="GNH54" i="8"/>
  <c r="GNG54" i="8"/>
  <c r="GNF54" i="8"/>
  <c r="GNE54" i="8"/>
  <c r="GND54" i="8"/>
  <c r="GNC54" i="8"/>
  <c r="GNB54" i="8"/>
  <c r="GNA54" i="8"/>
  <c r="GMZ54" i="8"/>
  <c r="GMY54" i="8"/>
  <c r="GMX54" i="8"/>
  <c r="GMW54" i="8"/>
  <c r="GMV54" i="8"/>
  <c r="GMU54" i="8"/>
  <c r="GMT54" i="8"/>
  <c r="GMS54" i="8"/>
  <c r="GMR54" i="8"/>
  <c r="GMQ54" i="8"/>
  <c r="GMP54" i="8"/>
  <c r="GMO54" i="8"/>
  <c r="GMN54" i="8"/>
  <c r="GMM54" i="8"/>
  <c r="GML54" i="8"/>
  <c r="GMK54" i="8"/>
  <c r="GMJ54" i="8"/>
  <c r="GMI54" i="8"/>
  <c r="GMH54" i="8"/>
  <c r="GMG54" i="8"/>
  <c r="GMF54" i="8"/>
  <c r="GME54" i="8"/>
  <c r="GMD54" i="8"/>
  <c r="GMC54" i="8"/>
  <c r="GMB54" i="8"/>
  <c r="GMA54" i="8"/>
  <c r="GLZ54" i="8"/>
  <c r="GLY54" i="8"/>
  <c r="GLX54" i="8"/>
  <c r="GLW54" i="8"/>
  <c r="GLV54" i="8"/>
  <c r="GLU54" i="8"/>
  <c r="GLT54" i="8"/>
  <c r="GLS54" i="8"/>
  <c r="GLR54" i="8"/>
  <c r="GLQ54" i="8"/>
  <c r="GLP54" i="8"/>
  <c r="GLO54" i="8"/>
  <c r="GLN54" i="8"/>
  <c r="GLM54" i="8"/>
  <c r="GLL54" i="8"/>
  <c r="GLK54" i="8"/>
  <c r="GLJ54" i="8"/>
  <c r="GLI54" i="8"/>
  <c r="GLH54" i="8"/>
  <c r="GLG54" i="8"/>
  <c r="GLF54" i="8"/>
  <c r="GLE54" i="8"/>
  <c r="GLD54" i="8"/>
  <c r="GLC54" i="8"/>
  <c r="GLB54" i="8"/>
  <c r="GLA54" i="8"/>
  <c r="GKZ54" i="8"/>
  <c r="GKY54" i="8"/>
  <c r="GKX54" i="8"/>
  <c r="GKW54" i="8"/>
  <c r="GKV54" i="8"/>
  <c r="GKU54" i="8"/>
  <c r="GKT54" i="8"/>
  <c r="GKS54" i="8"/>
  <c r="GKR54" i="8"/>
  <c r="GKQ54" i="8"/>
  <c r="GKP54" i="8"/>
  <c r="GKO54" i="8"/>
  <c r="GKN54" i="8"/>
  <c r="GKM54" i="8"/>
  <c r="GKL54" i="8"/>
  <c r="GKK54" i="8"/>
  <c r="GKJ54" i="8"/>
  <c r="GKI54" i="8"/>
  <c r="GKH54" i="8"/>
  <c r="GKG54" i="8"/>
  <c r="GKF54" i="8"/>
  <c r="GKE54" i="8"/>
  <c r="GKD54" i="8"/>
  <c r="GKC54" i="8"/>
  <c r="GKB54" i="8"/>
  <c r="GKA54" i="8"/>
  <c r="GJZ54" i="8"/>
  <c r="GJY54" i="8"/>
  <c r="GJX54" i="8"/>
  <c r="GJW54" i="8"/>
  <c r="GJV54" i="8"/>
  <c r="GJU54" i="8"/>
  <c r="GJT54" i="8"/>
  <c r="GJS54" i="8"/>
  <c r="GJR54" i="8"/>
  <c r="GJQ54" i="8"/>
  <c r="GJP54" i="8"/>
  <c r="GJO54" i="8"/>
  <c r="GJN54" i="8"/>
  <c r="GJM54" i="8"/>
  <c r="GJL54" i="8"/>
  <c r="GJK54" i="8"/>
  <c r="GJJ54" i="8"/>
  <c r="GJI54" i="8"/>
  <c r="GJH54" i="8"/>
  <c r="GJG54" i="8"/>
  <c r="GJF54" i="8"/>
  <c r="GJE54" i="8"/>
  <c r="GJD54" i="8"/>
  <c r="GJC54" i="8"/>
  <c r="GJB54" i="8"/>
  <c r="GJA54" i="8"/>
  <c r="GIZ54" i="8"/>
  <c r="GIY54" i="8"/>
  <c r="GIX54" i="8"/>
  <c r="GIW54" i="8"/>
  <c r="GIV54" i="8"/>
  <c r="GIU54" i="8"/>
  <c r="GIT54" i="8"/>
  <c r="GIS54" i="8"/>
  <c r="GIR54" i="8"/>
  <c r="GIQ54" i="8"/>
  <c r="GIP54" i="8"/>
  <c r="GIO54" i="8"/>
  <c r="GIN54" i="8"/>
  <c r="GIM54" i="8"/>
  <c r="GIL54" i="8"/>
  <c r="GIK54" i="8"/>
  <c r="GIJ54" i="8"/>
  <c r="GII54" i="8"/>
  <c r="GIH54" i="8"/>
  <c r="GIG54" i="8"/>
  <c r="GIF54" i="8"/>
  <c r="GIE54" i="8"/>
  <c r="GID54" i="8"/>
  <c r="GIC54" i="8"/>
  <c r="GIB54" i="8"/>
  <c r="GIA54" i="8"/>
  <c r="GHZ54" i="8"/>
  <c r="GHY54" i="8"/>
  <c r="GHX54" i="8"/>
  <c r="GHW54" i="8"/>
  <c r="GHV54" i="8"/>
  <c r="GHU54" i="8"/>
  <c r="GHT54" i="8"/>
  <c r="GHS54" i="8"/>
  <c r="GHR54" i="8"/>
  <c r="GHQ54" i="8"/>
  <c r="GHP54" i="8"/>
  <c r="GHO54" i="8"/>
  <c r="GHN54" i="8"/>
  <c r="GHM54" i="8"/>
  <c r="GHL54" i="8"/>
  <c r="GHK54" i="8"/>
  <c r="GHJ54" i="8"/>
  <c r="GHI54" i="8"/>
  <c r="GHH54" i="8"/>
  <c r="GHG54" i="8"/>
  <c r="GHF54" i="8"/>
  <c r="GHE54" i="8"/>
  <c r="GHD54" i="8"/>
  <c r="GHC54" i="8"/>
  <c r="GHB54" i="8"/>
  <c r="GHA54" i="8"/>
  <c r="GGZ54" i="8"/>
  <c r="GGY54" i="8"/>
  <c r="GGX54" i="8"/>
  <c r="GGW54" i="8"/>
  <c r="GGV54" i="8"/>
  <c r="GGU54" i="8"/>
  <c r="GGT54" i="8"/>
  <c r="GGS54" i="8"/>
  <c r="GGR54" i="8"/>
  <c r="GGQ54" i="8"/>
  <c r="GGP54" i="8"/>
  <c r="GGO54" i="8"/>
  <c r="GGN54" i="8"/>
  <c r="GGM54" i="8"/>
  <c r="GGL54" i="8"/>
  <c r="GGK54" i="8"/>
  <c r="GGJ54" i="8"/>
  <c r="GGI54" i="8"/>
  <c r="GGH54" i="8"/>
  <c r="GGG54" i="8"/>
  <c r="GGF54" i="8"/>
  <c r="GGE54" i="8"/>
  <c r="GGD54" i="8"/>
  <c r="GGC54" i="8"/>
  <c r="GGB54" i="8"/>
  <c r="GGA54" i="8"/>
  <c r="GFZ54" i="8"/>
  <c r="GFY54" i="8"/>
  <c r="GFX54" i="8"/>
  <c r="GFW54" i="8"/>
  <c r="GFV54" i="8"/>
  <c r="GFU54" i="8"/>
  <c r="GFT54" i="8"/>
  <c r="GFS54" i="8"/>
  <c r="GFR54" i="8"/>
  <c r="GFQ54" i="8"/>
  <c r="GFP54" i="8"/>
  <c r="GFO54" i="8"/>
  <c r="GFN54" i="8"/>
  <c r="GFM54" i="8"/>
  <c r="GFL54" i="8"/>
  <c r="GFK54" i="8"/>
  <c r="GFJ54" i="8"/>
  <c r="GFI54" i="8"/>
  <c r="GFH54" i="8"/>
  <c r="GFG54" i="8"/>
  <c r="GFF54" i="8"/>
  <c r="GFE54" i="8"/>
  <c r="GFD54" i="8"/>
  <c r="GFC54" i="8"/>
  <c r="GFB54" i="8"/>
  <c r="GFA54" i="8"/>
  <c r="GEZ54" i="8"/>
  <c r="GEY54" i="8"/>
  <c r="GEX54" i="8"/>
  <c r="GEW54" i="8"/>
  <c r="GEV54" i="8"/>
  <c r="GEU54" i="8"/>
  <c r="GET54" i="8"/>
  <c r="GES54" i="8"/>
  <c r="GER54" i="8"/>
  <c r="GEQ54" i="8"/>
  <c r="GEP54" i="8"/>
  <c r="GEO54" i="8"/>
  <c r="GEN54" i="8"/>
  <c r="GEM54" i="8"/>
  <c r="GEL54" i="8"/>
  <c r="GEK54" i="8"/>
  <c r="GEJ54" i="8"/>
  <c r="GEI54" i="8"/>
  <c r="GEH54" i="8"/>
  <c r="GEG54" i="8"/>
  <c r="GEF54" i="8"/>
  <c r="GEE54" i="8"/>
  <c r="GED54" i="8"/>
  <c r="GEC54" i="8"/>
  <c r="GEB54" i="8"/>
  <c r="GEA54" i="8"/>
  <c r="GDZ54" i="8"/>
  <c r="GDY54" i="8"/>
  <c r="GDX54" i="8"/>
  <c r="GDW54" i="8"/>
  <c r="GDV54" i="8"/>
  <c r="GDU54" i="8"/>
  <c r="GDT54" i="8"/>
  <c r="GDS54" i="8"/>
  <c r="GDR54" i="8"/>
  <c r="GDQ54" i="8"/>
  <c r="GDP54" i="8"/>
  <c r="GDO54" i="8"/>
  <c r="GDN54" i="8"/>
  <c r="GDM54" i="8"/>
  <c r="GDL54" i="8"/>
  <c r="GDK54" i="8"/>
  <c r="GDJ54" i="8"/>
  <c r="GDI54" i="8"/>
  <c r="GDH54" i="8"/>
  <c r="GDG54" i="8"/>
  <c r="GDF54" i="8"/>
  <c r="GDE54" i="8"/>
  <c r="GDD54" i="8"/>
  <c r="GDC54" i="8"/>
  <c r="GDB54" i="8"/>
  <c r="GDA54" i="8"/>
  <c r="GCZ54" i="8"/>
  <c r="GCY54" i="8"/>
  <c r="GCX54" i="8"/>
  <c r="GCW54" i="8"/>
  <c r="GCV54" i="8"/>
  <c r="GCU54" i="8"/>
  <c r="GCT54" i="8"/>
  <c r="GCS54" i="8"/>
  <c r="GCR54" i="8"/>
  <c r="GCQ54" i="8"/>
  <c r="GCP54" i="8"/>
  <c r="GCO54" i="8"/>
  <c r="GCN54" i="8"/>
  <c r="GCM54" i="8"/>
  <c r="GCL54" i="8"/>
  <c r="GCK54" i="8"/>
  <c r="GCJ54" i="8"/>
  <c r="GCI54" i="8"/>
  <c r="GCH54" i="8"/>
  <c r="GCG54" i="8"/>
  <c r="GCF54" i="8"/>
  <c r="GCE54" i="8"/>
  <c r="GCD54" i="8"/>
  <c r="GCC54" i="8"/>
  <c r="GCB54" i="8"/>
  <c r="GCA54" i="8"/>
  <c r="GBZ54" i="8"/>
  <c r="GBY54" i="8"/>
  <c r="GBX54" i="8"/>
  <c r="GBW54" i="8"/>
  <c r="GBV54" i="8"/>
  <c r="GBU54" i="8"/>
  <c r="GBT54" i="8"/>
  <c r="GBS54" i="8"/>
  <c r="GBR54" i="8"/>
  <c r="GBQ54" i="8"/>
  <c r="GBP54" i="8"/>
  <c r="GBO54" i="8"/>
  <c r="GBN54" i="8"/>
  <c r="GBM54" i="8"/>
  <c r="GBL54" i="8"/>
  <c r="GBK54" i="8"/>
  <c r="GBJ54" i="8"/>
  <c r="GBI54" i="8"/>
  <c r="GBH54" i="8"/>
  <c r="GBG54" i="8"/>
  <c r="GBF54" i="8"/>
  <c r="GBE54" i="8"/>
  <c r="GBD54" i="8"/>
  <c r="GBC54" i="8"/>
  <c r="GBB54" i="8"/>
  <c r="GBA54" i="8"/>
  <c r="GAZ54" i="8"/>
  <c r="GAY54" i="8"/>
  <c r="GAX54" i="8"/>
  <c r="GAW54" i="8"/>
  <c r="GAV54" i="8"/>
  <c r="GAU54" i="8"/>
  <c r="GAT54" i="8"/>
  <c r="GAS54" i="8"/>
  <c r="GAR54" i="8"/>
  <c r="GAQ54" i="8"/>
  <c r="GAP54" i="8"/>
  <c r="GAO54" i="8"/>
  <c r="GAN54" i="8"/>
  <c r="GAM54" i="8"/>
  <c r="GAL54" i="8"/>
  <c r="GAK54" i="8"/>
  <c r="GAJ54" i="8"/>
  <c r="GAI54" i="8"/>
  <c r="GAH54" i="8"/>
  <c r="GAG54" i="8"/>
  <c r="GAF54" i="8"/>
  <c r="GAE54" i="8"/>
  <c r="GAD54" i="8"/>
  <c r="GAC54" i="8"/>
  <c r="GAB54" i="8"/>
  <c r="GAA54" i="8"/>
  <c r="FZZ54" i="8"/>
  <c r="FZY54" i="8"/>
  <c r="FZX54" i="8"/>
  <c r="FZW54" i="8"/>
  <c r="FZV54" i="8"/>
  <c r="FZU54" i="8"/>
  <c r="FZT54" i="8"/>
  <c r="FZS54" i="8"/>
  <c r="FZR54" i="8"/>
  <c r="FZQ54" i="8"/>
  <c r="FZP54" i="8"/>
  <c r="FZO54" i="8"/>
  <c r="FZN54" i="8"/>
  <c r="FZM54" i="8"/>
  <c r="FZL54" i="8"/>
  <c r="FZK54" i="8"/>
  <c r="FZJ54" i="8"/>
  <c r="FZI54" i="8"/>
  <c r="FZH54" i="8"/>
  <c r="FZG54" i="8"/>
  <c r="FZF54" i="8"/>
  <c r="FZE54" i="8"/>
  <c r="FZD54" i="8"/>
  <c r="FZC54" i="8"/>
  <c r="FZB54" i="8"/>
  <c r="FZA54" i="8"/>
  <c r="FYZ54" i="8"/>
  <c r="FYY54" i="8"/>
  <c r="FYX54" i="8"/>
  <c r="FYW54" i="8"/>
  <c r="FYV54" i="8"/>
  <c r="FYU54" i="8"/>
  <c r="FYT54" i="8"/>
  <c r="FYS54" i="8"/>
  <c r="FYR54" i="8"/>
  <c r="FYQ54" i="8"/>
  <c r="FYP54" i="8"/>
  <c r="FYO54" i="8"/>
  <c r="FYN54" i="8"/>
  <c r="FYM54" i="8"/>
  <c r="FYL54" i="8"/>
  <c r="FYK54" i="8"/>
  <c r="FYJ54" i="8"/>
  <c r="FYI54" i="8"/>
  <c r="FYH54" i="8"/>
  <c r="FYG54" i="8"/>
  <c r="FYF54" i="8"/>
  <c r="FYE54" i="8"/>
  <c r="FYD54" i="8"/>
  <c r="FYC54" i="8"/>
  <c r="FYB54" i="8"/>
  <c r="FYA54" i="8"/>
  <c r="FXZ54" i="8"/>
  <c r="FXY54" i="8"/>
  <c r="FXX54" i="8"/>
  <c r="FXW54" i="8"/>
  <c r="FXV54" i="8"/>
  <c r="FXU54" i="8"/>
  <c r="FXT54" i="8"/>
  <c r="FXS54" i="8"/>
  <c r="FXR54" i="8"/>
  <c r="FXQ54" i="8"/>
  <c r="FXP54" i="8"/>
  <c r="FXO54" i="8"/>
  <c r="FXN54" i="8"/>
  <c r="FXM54" i="8"/>
  <c r="FXL54" i="8"/>
  <c r="FXK54" i="8"/>
  <c r="FXJ54" i="8"/>
  <c r="FXI54" i="8"/>
  <c r="FXH54" i="8"/>
  <c r="FXG54" i="8"/>
  <c r="FXF54" i="8"/>
  <c r="FXE54" i="8"/>
  <c r="FXD54" i="8"/>
  <c r="FXC54" i="8"/>
  <c r="FXB54" i="8"/>
  <c r="FXA54" i="8"/>
  <c r="FWZ54" i="8"/>
  <c r="FWY54" i="8"/>
  <c r="FWX54" i="8"/>
  <c r="FWW54" i="8"/>
  <c r="FWV54" i="8"/>
  <c r="FWU54" i="8"/>
  <c r="FWT54" i="8"/>
  <c r="FWS54" i="8"/>
  <c r="FWR54" i="8"/>
  <c r="FWQ54" i="8"/>
  <c r="FWP54" i="8"/>
  <c r="FWO54" i="8"/>
  <c r="FWN54" i="8"/>
  <c r="FWM54" i="8"/>
  <c r="FWL54" i="8"/>
  <c r="FWK54" i="8"/>
  <c r="FWJ54" i="8"/>
  <c r="FWI54" i="8"/>
  <c r="FWH54" i="8"/>
  <c r="FWG54" i="8"/>
  <c r="FWF54" i="8"/>
  <c r="FWE54" i="8"/>
  <c r="FWD54" i="8"/>
  <c r="FWC54" i="8"/>
  <c r="FWB54" i="8"/>
  <c r="FWA54" i="8"/>
  <c r="FVZ54" i="8"/>
  <c r="FVY54" i="8"/>
  <c r="FVX54" i="8"/>
  <c r="FVW54" i="8"/>
  <c r="FVV54" i="8"/>
  <c r="FVU54" i="8"/>
  <c r="FVT54" i="8"/>
  <c r="FVS54" i="8"/>
  <c r="FVR54" i="8"/>
  <c r="FVQ54" i="8"/>
  <c r="FVP54" i="8"/>
  <c r="FVO54" i="8"/>
  <c r="FVN54" i="8"/>
  <c r="FVM54" i="8"/>
  <c r="FVL54" i="8"/>
  <c r="FVK54" i="8"/>
  <c r="FVJ54" i="8"/>
  <c r="FVI54" i="8"/>
  <c r="FVH54" i="8"/>
  <c r="FVG54" i="8"/>
  <c r="FVF54" i="8"/>
  <c r="FVE54" i="8"/>
  <c r="FVD54" i="8"/>
  <c r="FVC54" i="8"/>
  <c r="FVB54" i="8"/>
  <c r="FVA54" i="8"/>
  <c r="FUZ54" i="8"/>
  <c r="FUY54" i="8"/>
  <c r="FUX54" i="8"/>
  <c r="FUW54" i="8"/>
  <c r="FUV54" i="8"/>
  <c r="FUU54" i="8"/>
  <c r="FUT54" i="8"/>
  <c r="FUS54" i="8"/>
  <c r="FUR54" i="8"/>
  <c r="FUQ54" i="8"/>
  <c r="FUP54" i="8"/>
  <c r="FUO54" i="8"/>
  <c r="FUN54" i="8"/>
  <c r="FUM54" i="8"/>
  <c r="FUL54" i="8"/>
  <c r="FUK54" i="8"/>
  <c r="FUJ54" i="8"/>
  <c r="FUI54" i="8"/>
  <c r="FUH54" i="8"/>
  <c r="FUG54" i="8"/>
  <c r="FUF54" i="8"/>
  <c r="FUE54" i="8"/>
  <c r="FUD54" i="8"/>
  <c r="FUC54" i="8"/>
  <c r="FUB54" i="8"/>
  <c r="FUA54" i="8"/>
  <c r="FTZ54" i="8"/>
  <c r="FTY54" i="8"/>
  <c r="FTX54" i="8"/>
  <c r="FTW54" i="8"/>
  <c r="FTV54" i="8"/>
  <c r="FTU54" i="8"/>
  <c r="FTT54" i="8"/>
  <c r="FTS54" i="8"/>
  <c r="FTR54" i="8"/>
  <c r="FTQ54" i="8"/>
  <c r="FTP54" i="8"/>
  <c r="FTO54" i="8"/>
  <c r="FTN54" i="8"/>
  <c r="FTM54" i="8"/>
  <c r="FTL54" i="8"/>
  <c r="FTK54" i="8"/>
  <c r="FTJ54" i="8"/>
  <c r="FTI54" i="8"/>
  <c r="FTH54" i="8"/>
  <c r="FTG54" i="8"/>
  <c r="FTF54" i="8"/>
  <c r="FTE54" i="8"/>
  <c r="FTD54" i="8"/>
  <c r="FTC54" i="8"/>
  <c r="FTB54" i="8"/>
  <c r="FTA54" i="8"/>
  <c r="FSZ54" i="8"/>
  <c r="FSY54" i="8"/>
  <c r="FSX54" i="8"/>
  <c r="FSW54" i="8"/>
  <c r="FSV54" i="8"/>
  <c r="FSU54" i="8"/>
  <c r="FST54" i="8"/>
  <c r="FSS54" i="8"/>
  <c r="FSR54" i="8"/>
  <c r="FSQ54" i="8"/>
  <c r="FSP54" i="8"/>
  <c r="FSO54" i="8"/>
  <c r="FSN54" i="8"/>
  <c r="FSM54" i="8"/>
  <c r="FSL54" i="8"/>
  <c r="FSK54" i="8"/>
  <c r="FSJ54" i="8"/>
  <c r="FSI54" i="8"/>
  <c r="FSH54" i="8"/>
  <c r="FSG54" i="8"/>
  <c r="FSF54" i="8"/>
  <c r="FSE54" i="8"/>
  <c r="FSD54" i="8"/>
  <c r="FSC54" i="8"/>
  <c r="FSB54" i="8"/>
  <c r="FSA54" i="8"/>
  <c r="FRZ54" i="8"/>
  <c r="FRY54" i="8"/>
  <c r="FRX54" i="8"/>
  <c r="FRW54" i="8"/>
  <c r="FRV54" i="8"/>
  <c r="FRU54" i="8"/>
  <c r="FRT54" i="8"/>
  <c r="FRS54" i="8"/>
  <c r="FRR54" i="8"/>
  <c r="FRQ54" i="8"/>
  <c r="FRP54" i="8"/>
  <c r="FRO54" i="8"/>
  <c r="FRN54" i="8"/>
  <c r="FRM54" i="8"/>
  <c r="FRL54" i="8"/>
  <c r="FRK54" i="8"/>
  <c r="FRJ54" i="8"/>
  <c r="FRI54" i="8"/>
  <c r="FRH54" i="8"/>
  <c r="FRG54" i="8"/>
  <c r="FRF54" i="8"/>
  <c r="FRE54" i="8"/>
  <c r="FRD54" i="8"/>
  <c r="FRC54" i="8"/>
  <c r="FRB54" i="8"/>
  <c r="FRA54" i="8"/>
  <c r="FQZ54" i="8"/>
  <c r="FQY54" i="8"/>
  <c r="FQX54" i="8"/>
  <c r="FQW54" i="8"/>
  <c r="FQV54" i="8"/>
  <c r="FQU54" i="8"/>
  <c r="FQT54" i="8"/>
  <c r="FQS54" i="8"/>
  <c r="FQR54" i="8"/>
  <c r="FQQ54" i="8"/>
  <c r="FQP54" i="8"/>
  <c r="FQO54" i="8"/>
  <c r="FQN54" i="8"/>
  <c r="FQM54" i="8"/>
  <c r="FQL54" i="8"/>
  <c r="FQK54" i="8"/>
  <c r="FQJ54" i="8"/>
  <c r="FQI54" i="8"/>
  <c r="FQH54" i="8"/>
  <c r="FQG54" i="8"/>
  <c r="FQF54" i="8"/>
  <c r="FQE54" i="8"/>
  <c r="FQD54" i="8"/>
  <c r="FQC54" i="8"/>
  <c r="FQB54" i="8"/>
  <c r="FQA54" i="8"/>
  <c r="FPZ54" i="8"/>
  <c r="FPY54" i="8"/>
  <c r="FPX54" i="8"/>
  <c r="FPW54" i="8"/>
  <c r="FPV54" i="8"/>
  <c r="FPU54" i="8"/>
  <c r="FPT54" i="8"/>
  <c r="FPS54" i="8"/>
  <c r="FPR54" i="8"/>
  <c r="FPQ54" i="8"/>
  <c r="FPP54" i="8"/>
  <c r="FPO54" i="8"/>
  <c r="FPN54" i="8"/>
  <c r="FPM54" i="8"/>
  <c r="FPL54" i="8"/>
  <c r="FPK54" i="8"/>
  <c r="FPJ54" i="8"/>
  <c r="FPI54" i="8"/>
  <c r="FPH54" i="8"/>
  <c r="FPG54" i="8"/>
  <c r="FPF54" i="8"/>
  <c r="FPE54" i="8"/>
  <c r="FPD54" i="8"/>
  <c r="FPC54" i="8"/>
  <c r="FPB54" i="8"/>
  <c r="FPA54" i="8"/>
  <c r="FOZ54" i="8"/>
  <c r="FOY54" i="8"/>
  <c r="FOX54" i="8"/>
  <c r="FOW54" i="8"/>
  <c r="FOV54" i="8"/>
  <c r="FOU54" i="8"/>
  <c r="FOT54" i="8"/>
  <c r="FOS54" i="8"/>
  <c r="FOR54" i="8"/>
  <c r="FOQ54" i="8"/>
  <c r="FOP54" i="8"/>
  <c r="FOO54" i="8"/>
  <c r="FON54" i="8"/>
  <c r="FOM54" i="8"/>
  <c r="FOL54" i="8"/>
  <c r="FOK54" i="8"/>
  <c r="FOJ54" i="8"/>
  <c r="FOI54" i="8"/>
  <c r="FOH54" i="8"/>
  <c r="FOG54" i="8"/>
  <c r="FOF54" i="8"/>
  <c r="FOE54" i="8"/>
  <c r="FOD54" i="8"/>
  <c r="FOC54" i="8"/>
  <c r="FOB54" i="8"/>
  <c r="FOA54" i="8"/>
  <c r="FNZ54" i="8"/>
  <c r="FNY54" i="8"/>
  <c r="FNX54" i="8"/>
  <c r="FNW54" i="8"/>
  <c r="FNV54" i="8"/>
  <c r="FNU54" i="8"/>
  <c r="FNT54" i="8"/>
  <c r="FNS54" i="8"/>
  <c r="FNR54" i="8"/>
  <c r="FNQ54" i="8"/>
  <c r="FNP54" i="8"/>
  <c r="FNO54" i="8"/>
  <c r="FNN54" i="8"/>
  <c r="FNM54" i="8"/>
  <c r="FNL54" i="8"/>
  <c r="FNK54" i="8"/>
  <c r="FNJ54" i="8"/>
  <c r="FNI54" i="8"/>
  <c r="FNH54" i="8"/>
  <c r="FNG54" i="8"/>
  <c r="FNF54" i="8"/>
  <c r="FNE54" i="8"/>
  <c r="FND54" i="8"/>
  <c r="FNC54" i="8"/>
  <c r="FNB54" i="8"/>
  <c r="FNA54" i="8"/>
  <c r="FMZ54" i="8"/>
  <c r="FMY54" i="8"/>
  <c r="FMX54" i="8"/>
  <c r="FMW54" i="8"/>
  <c r="FMV54" i="8"/>
  <c r="FMU54" i="8"/>
  <c r="FMT54" i="8"/>
  <c r="FMS54" i="8"/>
  <c r="FMR54" i="8"/>
  <c r="FMQ54" i="8"/>
  <c r="FMP54" i="8"/>
  <c r="FMO54" i="8"/>
  <c r="FMN54" i="8"/>
  <c r="FMM54" i="8"/>
  <c r="FML54" i="8"/>
  <c r="FMK54" i="8"/>
  <c r="FMJ54" i="8"/>
  <c r="FMI54" i="8"/>
  <c r="FMH54" i="8"/>
  <c r="FMG54" i="8"/>
  <c r="FMF54" i="8"/>
  <c r="FME54" i="8"/>
  <c r="FMD54" i="8"/>
  <c r="FMC54" i="8"/>
  <c r="FMB54" i="8"/>
  <c r="FMA54" i="8"/>
  <c r="FLZ54" i="8"/>
  <c r="FLY54" i="8"/>
  <c r="FLX54" i="8"/>
  <c r="FLW54" i="8"/>
  <c r="FLV54" i="8"/>
  <c r="FLU54" i="8"/>
  <c r="FLT54" i="8"/>
  <c r="FLS54" i="8"/>
  <c r="FLR54" i="8"/>
  <c r="FLQ54" i="8"/>
  <c r="FLP54" i="8"/>
  <c r="FLO54" i="8"/>
  <c r="FLN54" i="8"/>
  <c r="FLM54" i="8"/>
  <c r="FLL54" i="8"/>
  <c r="FLK54" i="8"/>
  <c r="FLJ54" i="8"/>
  <c r="FLI54" i="8"/>
  <c r="FLH54" i="8"/>
  <c r="FLG54" i="8"/>
  <c r="FLF54" i="8"/>
  <c r="FLE54" i="8"/>
  <c r="FLD54" i="8"/>
  <c r="FLC54" i="8"/>
  <c r="FLB54" i="8"/>
  <c r="FLA54" i="8"/>
  <c r="FKZ54" i="8"/>
  <c r="FKY54" i="8"/>
  <c r="FKX54" i="8"/>
  <c r="FKW54" i="8"/>
  <c r="FKV54" i="8"/>
  <c r="FKU54" i="8"/>
  <c r="FKT54" i="8"/>
  <c r="FKS54" i="8"/>
  <c r="FKR54" i="8"/>
  <c r="FKQ54" i="8"/>
  <c r="FKP54" i="8"/>
  <c r="FKO54" i="8"/>
  <c r="FKN54" i="8"/>
  <c r="FKM54" i="8"/>
  <c r="FKL54" i="8"/>
  <c r="FKK54" i="8"/>
  <c r="FKJ54" i="8"/>
  <c r="FKI54" i="8"/>
  <c r="FKH54" i="8"/>
  <c r="FKG54" i="8"/>
  <c r="FKF54" i="8"/>
  <c r="FKE54" i="8"/>
  <c r="FKD54" i="8"/>
  <c r="FKC54" i="8"/>
  <c r="FKB54" i="8"/>
  <c r="FKA54" i="8"/>
  <c r="FJZ54" i="8"/>
  <c r="FJY54" i="8"/>
  <c r="FJX54" i="8"/>
  <c r="FJW54" i="8"/>
  <c r="FJV54" i="8"/>
  <c r="FJU54" i="8"/>
  <c r="FJT54" i="8"/>
  <c r="FJS54" i="8"/>
  <c r="FJR54" i="8"/>
  <c r="FJQ54" i="8"/>
  <c r="FJP54" i="8"/>
  <c r="FJO54" i="8"/>
  <c r="FJN54" i="8"/>
  <c r="FJM54" i="8"/>
  <c r="FJL54" i="8"/>
  <c r="FJK54" i="8"/>
  <c r="FJJ54" i="8"/>
  <c r="FJI54" i="8"/>
  <c r="FJH54" i="8"/>
  <c r="FJG54" i="8"/>
  <c r="FJF54" i="8"/>
  <c r="FJE54" i="8"/>
  <c r="FJD54" i="8"/>
  <c r="FJC54" i="8"/>
  <c r="FJB54" i="8"/>
  <c r="FJA54" i="8"/>
  <c r="FIZ54" i="8"/>
  <c r="FIY54" i="8"/>
  <c r="FIX54" i="8"/>
  <c r="FIW54" i="8"/>
  <c r="FIV54" i="8"/>
  <c r="FIU54" i="8"/>
  <c r="FIT54" i="8"/>
  <c r="FIS54" i="8"/>
  <c r="FIR54" i="8"/>
  <c r="FIQ54" i="8"/>
  <c r="FIP54" i="8"/>
  <c r="FIO54" i="8"/>
  <c r="FIN54" i="8"/>
  <c r="FIM54" i="8"/>
  <c r="FIL54" i="8"/>
  <c r="FIK54" i="8"/>
  <c r="FIJ54" i="8"/>
  <c r="FII54" i="8"/>
  <c r="FIH54" i="8"/>
  <c r="FIG54" i="8"/>
  <c r="FIF54" i="8"/>
  <c r="FIE54" i="8"/>
  <c r="FID54" i="8"/>
  <c r="FIC54" i="8"/>
  <c r="FIB54" i="8"/>
  <c r="FIA54" i="8"/>
  <c r="FHZ54" i="8"/>
  <c r="FHY54" i="8"/>
  <c r="FHX54" i="8"/>
  <c r="FHW54" i="8"/>
  <c r="FHV54" i="8"/>
  <c r="FHU54" i="8"/>
  <c r="FHT54" i="8"/>
  <c r="FHS54" i="8"/>
  <c r="FHR54" i="8"/>
  <c r="FHQ54" i="8"/>
  <c r="FHP54" i="8"/>
  <c r="FHO54" i="8"/>
  <c r="FHN54" i="8"/>
  <c r="FHM54" i="8"/>
  <c r="FHL54" i="8"/>
  <c r="FHK54" i="8"/>
  <c r="FHJ54" i="8"/>
  <c r="FHI54" i="8"/>
  <c r="FHH54" i="8"/>
  <c r="FHG54" i="8"/>
  <c r="FHF54" i="8"/>
  <c r="FHE54" i="8"/>
  <c r="FHD54" i="8"/>
  <c r="FHC54" i="8"/>
  <c r="FHB54" i="8"/>
  <c r="FHA54" i="8"/>
  <c r="FGZ54" i="8"/>
  <c r="FGY54" i="8"/>
  <c r="FGX54" i="8"/>
  <c r="FGW54" i="8"/>
  <c r="FGV54" i="8"/>
  <c r="FGU54" i="8"/>
  <c r="FGT54" i="8"/>
  <c r="FGS54" i="8"/>
  <c r="FGR54" i="8"/>
  <c r="FGQ54" i="8"/>
  <c r="FGP54" i="8"/>
  <c r="FGO54" i="8"/>
  <c r="FGN54" i="8"/>
  <c r="FGM54" i="8"/>
  <c r="FGL54" i="8"/>
  <c r="FGK54" i="8"/>
  <c r="FGJ54" i="8"/>
  <c r="FGI54" i="8"/>
  <c r="FGH54" i="8"/>
  <c r="FGG54" i="8"/>
  <c r="FGF54" i="8"/>
  <c r="FGE54" i="8"/>
  <c r="FGD54" i="8"/>
  <c r="FGC54" i="8"/>
  <c r="FGB54" i="8"/>
  <c r="FGA54" i="8"/>
  <c r="FFZ54" i="8"/>
  <c r="FFY54" i="8"/>
  <c r="FFX54" i="8"/>
  <c r="FFW54" i="8"/>
  <c r="FFV54" i="8"/>
  <c r="FFU54" i="8"/>
  <c r="FFT54" i="8"/>
  <c r="FFS54" i="8"/>
  <c r="FFR54" i="8"/>
  <c r="FFQ54" i="8"/>
  <c r="FFP54" i="8"/>
  <c r="FFO54" i="8"/>
  <c r="FFN54" i="8"/>
  <c r="FFM54" i="8"/>
  <c r="FFL54" i="8"/>
  <c r="FFK54" i="8"/>
  <c r="FFJ54" i="8"/>
  <c r="FFI54" i="8"/>
  <c r="FFH54" i="8"/>
  <c r="FFG54" i="8"/>
  <c r="FFF54" i="8"/>
  <c r="FFE54" i="8"/>
  <c r="FFD54" i="8"/>
  <c r="FFC54" i="8"/>
  <c r="FFB54" i="8"/>
  <c r="FFA54" i="8"/>
  <c r="FEZ54" i="8"/>
  <c r="FEY54" i="8"/>
  <c r="FEX54" i="8"/>
  <c r="FEW54" i="8"/>
  <c r="FEV54" i="8"/>
  <c r="FEU54" i="8"/>
  <c r="FET54" i="8"/>
  <c r="FES54" i="8"/>
  <c r="FER54" i="8"/>
  <c r="FEQ54" i="8"/>
  <c r="FEP54" i="8"/>
  <c r="FEO54" i="8"/>
  <c r="FEN54" i="8"/>
  <c r="FEM54" i="8"/>
  <c r="FEL54" i="8"/>
  <c r="FEK54" i="8"/>
  <c r="FEJ54" i="8"/>
  <c r="FEI54" i="8"/>
  <c r="FEH54" i="8"/>
  <c r="FEG54" i="8"/>
  <c r="FEF54" i="8"/>
  <c r="FEE54" i="8"/>
  <c r="FED54" i="8"/>
  <c r="FEC54" i="8"/>
  <c r="FEB54" i="8"/>
  <c r="FEA54" i="8"/>
  <c r="FDZ54" i="8"/>
  <c r="FDY54" i="8"/>
  <c r="FDX54" i="8"/>
  <c r="FDW54" i="8"/>
  <c r="FDV54" i="8"/>
  <c r="FDU54" i="8"/>
  <c r="FDT54" i="8"/>
  <c r="FDS54" i="8"/>
  <c r="FDR54" i="8"/>
  <c r="FDQ54" i="8"/>
  <c r="FDP54" i="8"/>
  <c r="FDO54" i="8"/>
  <c r="FDN54" i="8"/>
  <c r="FDM54" i="8"/>
  <c r="FDL54" i="8"/>
  <c r="FDK54" i="8"/>
  <c r="FDJ54" i="8"/>
  <c r="FDI54" i="8"/>
  <c r="FDH54" i="8"/>
  <c r="FDG54" i="8"/>
  <c r="FDF54" i="8"/>
  <c r="FDE54" i="8"/>
  <c r="FDD54" i="8"/>
  <c r="FDC54" i="8"/>
  <c r="FDB54" i="8"/>
  <c r="FDA54" i="8"/>
  <c r="FCZ54" i="8"/>
  <c r="FCY54" i="8"/>
  <c r="FCX54" i="8"/>
  <c r="FCW54" i="8"/>
  <c r="FCV54" i="8"/>
  <c r="FCU54" i="8"/>
  <c r="FCT54" i="8"/>
  <c r="FCS54" i="8"/>
  <c r="FCR54" i="8"/>
  <c r="FCQ54" i="8"/>
  <c r="FCP54" i="8"/>
  <c r="FCO54" i="8"/>
  <c r="FCN54" i="8"/>
  <c r="FCM54" i="8"/>
  <c r="FCL54" i="8"/>
  <c r="FCK54" i="8"/>
  <c r="FCJ54" i="8"/>
  <c r="FCI54" i="8"/>
  <c r="FCH54" i="8"/>
  <c r="FCG54" i="8"/>
  <c r="FCF54" i="8"/>
  <c r="FCE54" i="8"/>
  <c r="FCD54" i="8"/>
  <c r="FCC54" i="8"/>
  <c r="FCB54" i="8"/>
  <c r="FCA54" i="8"/>
  <c r="FBZ54" i="8"/>
  <c r="FBY54" i="8"/>
  <c r="FBX54" i="8"/>
  <c r="FBW54" i="8"/>
  <c r="FBV54" i="8"/>
  <c r="FBU54" i="8"/>
  <c r="FBT54" i="8"/>
  <c r="FBS54" i="8"/>
  <c r="FBR54" i="8"/>
  <c r="FBQ54" i="8"/>
  <c r="FBP54" i="8"/>
  <c r="FBO54" i="8"/>
  <c r="FBN54" i="8"/>
  <c r="FBM54" i="8"/>
  <c r="FBL54" i="8"/>
  <c r="FBK54" i="8"/>
  <c r="FBJ54" i="8"/>
  <c r="FBI54" i="8"/>
  <c r="FBH54" i="8"/>
  <c r="FBG54" i="8"/>
  <c r="FBF54" i="8"/>
  <c r="FBE54" i="8"/>
  <c r="FBD54" i="8"/>
  <c r="FBC54" i="8"/>
  <c r="FBB54" i="8"/>
  <c r="FBA54" i="8"/>
  <c r="FAZ54" i="8"/>
  <c r="FAY54" i="8"/>
  <c r="FAX54" i="8"/>
  <c r="FAW54" i="8"/>
  <c r="FAV54" i="8"/>
  <c r="FAU54" i="8"/>
  <c r="FAT54" i="8"/>
  <c r="FAS54" i="8"/>
  <c r="FAR54" i="8"/>
  <c r="FAQ54" i="8"/>
  <c r="FAP54" i="8"/>
  <c r="FAO54" i="8"/>
  <c r="FAN54" i="8"/>
  <c r="FAM54" i="8"/>
  <c r="FAL54" i="8"/>
  <c r="FAK54" i="8"/>
  <c r="FAJ54" i="8"/>
  <c r="FAI54" i="8"/>
  <c r="FAH54" i="8"/>
  <c r="FAG54" i="8"/>
  <c r="FAF54" i="8"/>
  <c r="FAE54" i="8"/>
  <c r="FAD54" i="8"/>
  <c r="FAC54" i="8"/>
  <c r="FAB54" i="8"/>
  <c r="FAA54" i="8"/>
  <c r="EZZ54" i="8"/>
  <c r="EZY54" i="8"/>
  <c r="EZX54" i="8"/>
  <c r="EZW54" i="8"/>
  <c r="EZV54" i="8"/>
  <c r="EZU54" i="8"/>
  <c r="EZT54" i="8"/>
  <c r="EZS54" i="8"/>
  <c r="EZR54" i="8"/>
  <c r="EZQ54" i="8"/>
  <c r="EZP54" i="8"/>
  <c r="EZO54" i="8"/>
  <c r="EZN54" i="8"/>
  <c r="EZM54" i="8"/>
  <c r="EZL54" i="8"/>
  <c r="EZK54" i="8"/>
  <c r="EZJ54" i="8"/>
  <c r="EZI54" i="8"/>
  <c r="EZH54" i="8"/>
  <c r="EZG54" i="8"/>
  <c r="EZF54" i="8"/>
  <c r="EZE54" i="8"/>
  <c r="EZD54" i="8"/>
  <c r="EZC54" i="8"/>
  <c r="EZB54" i="8"/>
  <c r="EZA54" i="8"/>
  <c r="EYZ54" i="8"/>
  <c r="EYY54" i="8"/>
  <c r="EYX54" i="8"/>
  <c r="EYW54" i="8"/>
  <c r="EYV54" i="8"/>
  <c r="EYU54" i="8"/>
  <c r="EYT54" i="8"/>
  <c r="EYS54" i="8"/>
  <c r="EYR54" i="8"/>
  <c r="EYQ54" i="8"/>
  <c r="EYP54" i="8"/>
  <c r="EYO54" i="8"/>
  <c r="EYN54" i="8"/>
  <c r="EYM54" i="8"/>
  <c r="EYL54" i="8"/>
  <c r="EYK54" i="8"/>
  <c r="EYJ54" i="8"/>
  <c r="EYI54" i="8"/>
  <c r="EYH54" i="8"/>
  <c r="EYG54" i="8"/>
  <c r="EYF54" i="8"/>
  <c r="EYE54" i="8"/>
  <c r="EYD54" i="8"/>
  <c r="EYC54" i="8"/>
  <c r="EYB54" i="8"/>
  <c r="EYA54" i="8"/>
  <c r="EXZ54" i="8"/>
  <c r="EXY54" i="8"/>
  <c r="EXX54" i="8"/>
  <c r="EXW54" i="8"/>
  <c r="EXV54" i="8"/>
  <c r="EXU54" i="8"/>
  <c r="EXT54" i="8"/>
  <c r="EXS54" i="8"/>
  <c r="EXR54" i="8"/>
  <c r="EXQ54" i="8"/>
  <c r="EXP54" i="8"/>
  <c r="EXO54" i="8"/>
  <c r="EXN54" i="8"/>
  <c r="EXM54" i="8"/>
  <c r="EXL54" i="8"/>
  <c r="EXK54" i="8"/>
  <c r="EXJ54" i="8"/>
  <c r="EXI54" i="8"/>
  <c r="EXH54" i="8"/>
  <c r="EXG54" i="8"/>
  <c r="EXF54" i="8"/>
  <c r="EXE54" i="8"/>
  <c r="EXD54" i="8"/>
  <c r="EXC54" i="8"/>
  <c r="EXB54" i="8"/>
  <c r="EXA54" i="8"/>
  <c r="EWZ54" i="8"/>
  <c r="EWY54" i="8"/>
  <c r="EWX54" i="8"/>
  <c r="EWW54" i="8"/>
  <c r="EWV54" i="8"/>
  <c r="EWU54" i="8"/>
  <c r="EWT54" i="8"/>
  <c r="EWS54" i="8"/>
  <c r="EWR54" i="8"/>
  <c r="EWQ54" i="8"/>
  <c r="EWP54" i="8"/>
  <c r="EWO54" i="8"/>
  <c r="EWN54" i="8"/>
  <c r="EWM54" i="8"/>
  <c r="EWL54" i="8"/>
  <c r="EWK54" i="8"/>
  <c r="EWJ54" i="8"/>
  <c r="EWI54" i="8"/>
  <c r="EWH54" i="8"/>
  <c r="EWG54" i="8"/>
  <c r="EWF54" i="8"/>
  <c r="EWE54" i="8"/>
  <c r="EWD54" i="8"/>
  <c r="EWC54" i="8"/>
  <c r="EWB54" i="8"/>
  <c r="EWA54" i="8"/>
  <c r="EVZ54" i="8"/>
  <c r="EVY54" i="8"/>
  <c r="EVX54" i="8"/>
  <c r="EVW54" i="8"/>
  <c r="EVV54" i="8"/>
  <c r="EVU54" i="8"/>
  <c r="EVT54" i="8"/>
  <c r="EVS54" i="8"/>
  <c r="EVR54" i="8"/>
  <c r="EVQ54" i="8"/>
  <c r="EVP54" i="8"/>
  <c r="EVO54" i="8"/>
  <c r="EVN54" i="8"/>
  <c r="EVM54" i="8"/>
  <c r="EVL54" i="8"/>
  <c r="EVK54" i="8"/>
  <c r="EVJ54" i="8"/>
  <c r="EVI54" i="8"/>
  <c r="EVH54" i="8"/>
  <c r="EVG54" i="8"/>
  <c r="EVF54" i="8"/>
  <c r="EVE54" i="8"/>
  <c r="EVD54" i="8"/>
  <c r="EVC54" i="8"/>
  <c r="EVB54" i="8"/>
  <c r="EVA54" i="8"/>
  <c r="EUZ54" i="8"/>
  <c r="EUY54" i="8"/>
  <c r="EUX54" i="8"/>
  <c r="EUW54" i="8"/>
  <c r="EUV54" i="8"/>
  <c r="EUU54" i="8"/>
  <c r="EUT54" i="8"/>
  <c r="EUS54" i="8"/>
  <c r="EUR54" i="8"/>
  <c r="EUQ54" i="8"/>
  <c r="EUP54" i="8"/>
  <c r="EUO54" i="8"/>
  <c r="EUN54" i="8"/>
  <c r="EUM54" i="8"/>
  <c r="EUL54" i="8"/>
  <c r="EUK54" i="8"/>
  <c r="EUJ54" i="8"/>
  <c r="EUI54" i="8"/>
  <c r="EUH54" i="8"/>
  <c r="EUG54" i="8"/>
  <c r="EUF54" i="8"/>
  <c r="EUE54" i="8"/>
  <c r="EUD54" i="8"/>
  <c r="EUC54" i="8"/>
  <c r="EUB54" i="8"/>
  <c r="EUA54" i="8"/>
  <c r="ETZ54" i="8"/>
  <c r="ETY54" i="8"/>
  <c r="ETX54" i="8"/>
  <c r="ETW54" i="8"/>
  <c r="ETV54" i="8"/>
  <c r="ETU54" i="8"/>
  <c r="ETT54" i="8"/>
  <c r="ETS54" i="8"/>
  <c r="ETR54" i="8"/>
  <c r="ETQ54" i="8"/>
  <c r="ETP54" i="8"/>
  <c r="ETO54" i="8"/>
  <c r="ETN54" i="8"/>
  <c r="ETM54" i="8"/>
  <c r="ETL54" i="8"/>
  <c r="ETK54" i="8"/>
  <c r="ETJ54" i="8"/>
  <c r="ETI54" i="8"/>
  <c r="ETH54" i="8"/>
  <c r="ETG54" i="8"/>
  <c r="ETF54" i="8"/>
  <c r="ETE54" i="8"/>
  <c r="ETD54" i="8"/>
  <c r="ETC54" i="8"/>
  <c r="ETB54" i="8"/>
  <c r="ETA54" i="8"/>
  <c r="ESZ54" i="8"/>
  <c r="ESY54" i="8"/>
  <c r="ESX54" i="8"/>
  <c r="ESW54" i="8"/>
  <c r="ESV54" i="8"/>
  <c r="ESU54" i="8"/>
  <c r="EST54" i="8"/>
  <c r="ESS54" i="8"/>
  <c r="ESR54" i="8"/>
  <c r="ESQ54" i="8"/>
  <c r="ESP54" i="8"/>
  <c r="ESO54" i="8"/>
  <c r="ESN54" i="8"/>
  <c r="ESM54" i="8"/>
  <c r="ESL54" i="8"/>
  <c r="ESK54" i="8"/>
  <c r="ESJ54" i="8"/>
  <c r="ESI54" i="8"/>
  <c r="ESH54" i="8"/>
  <c r="ESG54" i="8"/>
  <c r="ESF54" i="8"/>
  <c r="ESE54" i="8"/>
  <c r="ESD54" i="8"/>
  <c r="ESC54" i="8"/>
  <c r="ESB54" i="8"/>
  <c r="ESA54" i="8"/>
  <c r="ERZ54" i="8"/>
  <c r="ERY54" i="8"/>
  <c r="ERX54" i="8"/>
  <c r="ERW54" i="8"/>
  <c r="ERV54" i="8"/>
  <c r="ERU54" i="8"/>
  <c r="ERT54" i="8"/>
  <c r="ERS54" i="8"/>
  <c r="ERR54" i="8"/>
  <c r="ERQ54" i="8"/>
  <c r="ERP54" i="8"/>
  <c r="ERO54" i="8"/>
  <c r="ERN54" i="8"/>
  <c r="ERM54" i="8"/>
  <c r="ERL54" i="8"/>
  <c r="ERK54" i="8"/>
  <c r="ERJ54" i="8"/>
  <c r="ERI54" i="8"/>
  <c r="ERH54" i="8"/>
  <c r="ERG54" i="8"/>
  <c r="ERF54" i="8"/>
  <c r="ERE54" i="8"/>
  <c r="ERD54" i="8"/>
  <c r="ERC54" i="8"/>
  <c r="ERB54" i="8"/>
  <c r="ERA54" i="8"/>
  <c r="EQZ54" i="8"/>
  <c r="EQY54" i="8"/>
  <c r="EQX54" i="8"/>
  <c r="EQW54" i="8"/>
  <c r="EQV54" i="8"/>
  <c r="EQU54" i="8"/>
  <c r="EQT54" i="8"/>
  <c r="EQS54" i="8"/>
  <c r="EQR54" i="8"/>
  <c r="EQQ54" i="8"/>
  <c r="EQP54" i="8"/>
  <c r="EQO54" i="8"/>
  <c r="EQN54" i="8"/>
  <c r="EQM54" i="8"/>
  <c r="EQL54" i="8"/>
  <c r="EQK54" i="8"/>
  <c r="EQJ54" i="8"/>
  <c r="EQI54" i="8"/>
  <c r="EQH54" i="8"/>
  <c r="EQG54" i="8"/>
  <c r="EQF54" i="8"/>
  <c r="EQE54" i="8"/>
  <c r="EQD54" i="8"/>
  <c r="EQC54" i="8"/>
  <c r="EQB54" i="8"/>
  <c r="EQA54" i="8"/>
  <c r="EPZ54" i="8"/>
  <c r="EPY54" i="8"/>
  <c r="EPX54" i="8"/>
  <c r="EPW54" i="8"/>
  <c r="EPV54" i="8"/>
  <c r="EPU54" i="8"/>
  <c r="EPT54" i="8"/>
  <c r="EPS54" i="8"/>
  <c r="EPR54" i="8"/>
  <c r="EPQ54" i="8"/>
  <c r="EPP54" i="8"/>
  <c r="EPO54" i="8"/>
  <c r="EPN54" i="8"/>
  <c r="EPM54" i="8"/>
  <c r="EPL54" i="8"/>
  <c r="EPK54" i="8"/>
  <c r="EPJ54" i="8"/>
  <c r="EPI54" i="8"/>
  <c r="EPH54" i="8"/>
  <c r="EPG54" i="8"/>
  <c r="EPF54" i="8"/>
  <c r="EPE54" i="8"/>
  <c r="EPD54" i="8"/>
  <c r="EPC54" i="8"/>
  <c r="EPB54" i="8"/>
  <c r="EPA54" i="8"/>
  <c r="EOZ54" i="8"/>
  <c r="EOY54" i="8"/>
  <c r="EOX54" i="8"/>
  <c r="EOW54" i="8"/>
  <c r="EOV54" i="8"/>
  <c r="EOU54" i="8"/>
  <c r="EOT54" i="8"/>
  <c r="EOS54" i="8"/>
  <c r="EOR54" i="8"/>
  <c r="EOQ54" i="8"/>
  <c r="EOP54" i="8"/>
  <c r="EOO54" i="8"/>
  <c r="EON54" i="8"/>
  <c r="EOM54" i="8"/>
  <c r="EOL54" i="8"/>
  <c r="EOK54" i="8"/>
  <c r="EOJ54" i="8"/>
  <c r="EOI54" i="8"/>
  <c r="EOH54" i="8"/>
  <c r="EOG54" i="8"/>
  <c r="EOF54" i="8"/>
  <c r="EOE54" i="8"/>
  <c r="EOD54" i="8"/>
  <c r="EOC54" i="8"/>
  <c r="EOB54" i="8"/>
  <c r="EOA54" i="8"/>
  <c r="ENZ54" i="8"/>
  <c r="ENY54" i="8"/>
  <c r="ENX54" i="8"/>
  <c r="ENW54" i="8"/>
  <c r="ENV54" i="8"/>
  <c r="ENU54" i="8"/>
  <c r="ENT54" i="8"/>
  <c r="ENS54" i="8"/>
  <c r="ENR54" i="8"/>
  <c r="ENQ54" i="8"/>
  <c r="ENP54" i="8"/>
  <c r="ENO54" i="8"/>
  <c r="ENN54" i="8"/>
  <c r="ENM54" i="8"/>
  <c r="ENL54" i="8"/>
  <c r="ENK54" i="8"/>
  <c r="ENJ54" i="8"/>
  <c r="ENI54" i="8"/>
  <c r="ENH54" i="8"/>
  <c r="ENG54" i="8"/>
  <c r="ENF54" i="8"/>
  <c r="ENE54" i="8"/>
  <c r="END54" i="8"/>
  <c r="ENC54" i="8"/>
  <c r="ENB54" i="8"/>
  <c r="ENA54" i="8"/>
  <c r="EMZ54" i="8"/>
  <c r="EMY54" i="8"/>
  <c r="EMX54" i="8"/>
  <c r="EMW54" i="8"/>
  <c r="EMV54" i="8"/>
  <c r="EMU54" i="8"/>
  <c r="EMT54" i="8"/>
  <c r="EMS54" i="8"/>
  <c r="EMR54" i="8"/>
  <c r="EMQ54" i="8"/>
  <c r="EMP54" i="8"/>
  <c r="EMO54" i="8"/>
  <c r="EMN54" i="8"/>
  <c r="EMM54" i="8"/>
  <c r="EML54" i="8"/>
  <c r="EMK54" i="8"/>
  <c r="EMJ54" i="8"/>
  <c r="EMI54" i="8"/>
  <c r="EMH54" i="8"/>
  <c r="EMG54" i="8"/>
  <c r="EMF54" i="8"/>
  <c r="EME54" i="8"/>
  <c r="EMD54" i="8"/>
  <c r="EMC54" i="8"/>
  <c r="EMB54" i="8"/>
  <c r="EMA54" i="8"/>
  <c r="ELZ54" i="8"/>
  <c r="ELY54" i="8"/>
  <c r="ELX54" i="8"/>
  <c r="ELW54" i="8"/>
  <c r="ELV54" i="8"/>
  <c r="ELU54" i="8"/>
  <c r="ELT54" i="8"/>
  <c r="ELS54" i="8"/>
  <c r="ELR54" i="8"/>
  <c r="ELQ54" i="8"/>
  <c r="ELP54" i="8"/>
  <c r="ELO54" i="8"/>
  <c r="ELN54" i="8"/>
  <c r="ELM54" i="8"/>
  <c r="ELL54" i="8"/>
  <c r="ELK54" i="8"/>
  <c r="ELJ54" i="8"/>
  <c r="ELI54" i="8"/>
  <c r="ELH54" i="8"/>
  <c r="ELG54" i="8"/>
  <c r="ELF54" i="8"/>
  <c r="ELE54" i="8"/>
  <c r="ELD54" i="8"/>
  <c r="ELC54" i="8"/>
  <c r="ELB54" i="8"/>
  <c r="ELA54" i="8"/>
  <c r="EKZ54" i="8"/>
  <c r="EKY54" i="8"/>
  <c r="EKX54" i="8"/>
  <c r="EKW54" i="8"/>
  <c r="EKV54" i="8"/>
  <c r="EKU54" i="8"/>
  <c r="EKT54" i="8"/>
  <c r="EKS54" i="8"/>
  <c r="EKR54" i="8"/>
  <c r="EKQ54" i="8"/>
  <c r="EKP54" i="8"/>
  <c r="EKO54" i="8"/>
  <c r="EKN54" i="8"/>
  <c r="EKM54" i="8"/>
  <c r="EKL54" i="8"/>
  <c r="EKK54" i="8"/>
  <c r="EKJ54" i="8"/>
  <c r="EKI54" i="8"/>
  <c r="EKH54" i="8"/>
  <c r="EKG54" i="8"/>
  <c r="EKF54" i="8"/>
  <c r="EKE54" i="8"/>
  <c r="EKD54" i="8"/>
  <c r="EKC54" i="8"/>
  <c r="EKB54" i="8"/>
  <c r="EKA54" i="8"/>
  <c r="EJZ54" i="8"/>
  <c r="EJY54" i="8"/>
  <c r="EJX54" i="8"/>
  <c r="EJW54" i="8"/>
  <c r="EJV54" i="8"/>
  <c r="EJU54" i="8"/>
  <c r="EJT54" i="8"/>
  <c r="EJS54" i="8"/>
  <c r="EJR54" i="8"/>
  <c r="EJQ54" i="8"/>
  <c r="EJP54" i="8"/>
  <c r="EJO54" i="8"/>
  <c r="EJN54" i="8"/>
  <c r="EJM54" i="8"/>
  <c r="EJL54" i="8"/>
  <c r="EJK54" i="8"/>
  <c r="EJJ54" i="8"/>
  <c r="EJI54" i="8"/>
  <c r="EJH54" i="8"/>
  <c r="EJG54" i="8"/>
  <c r="EJF54" i="8"/>
  <c r="EJE54" i="8"/>
  <c r="EJD54" i="8"/>
  <c r="EJC54" i="8"/>
  <c r="EJB54" i="8"/>
  <c r="EJA54" i="8"/>
  <c r="EIZ54" i="8"/>
  <c r="EIY54" i="8"/>
  <c r="EIX54" i="8"/>
  <c r="EIW54" i="8"/>
  <c r="EIV54" i="8"/>
  <c r="EIU54" i="8"/>
  <c r="EIT54" i="8"/>
  <c r="EIS54" i="8"/>
  <c r="EIR54" i="8"/>
  <c r="EIQ54" i="8"/>
  <c r="EIP54" i="8"/>
  <c r="EIO54" i="8"/>
  <c r="EIN54" i="8"/>
  <c r="EIM54" i="8"/>
  <c r="EIL54" i="8"/>
  <c r="EIK54" i="8"/>
  <c r="EIJ54" i="8"/>
  <c r="EII54" i="8"/>
  <c r="EIH54" i="8"/>
  <c r="EIG54" i="8"/>
  <c r="EIF54" i="8"/>
  <c r="EIE54" i="8"/>
  <c r="EID54" i="8"/>
  <c r="EIC54" i="8"/>
  <c r="EIB54" i="8"/>
  <c r="EIA54" i="8"/>
  <c r="EHZ54" i="8"/>
  <c r="EHY54" i="8"/>
  <c r="EHX54" i="8"/>
  <c r="EHW54" i="8"/>
  <c r="EHV54" i="8"/>
  <c r="EHU54" i="8"/>
  <c r="EHT54" i="8"/>
  <c r="EHS54" i="8"/>
  <c r="EHR54" i="8"/>
  <c r="EHQ54" i="8"/>
  <c r="EHP54" i="8"/>
  <c r="EHO54" i="8"/>
  <c r="EHN54" i="8"/>
  <c r="EHM54" i="8"/>
  <c r="EHL54" i="8"/>
  <c r="EHK54" i="8"/>
  <c r="EHJ54" i="8"/>
  <c r="EHI54" i="8"/>
  <c r="EHH54" i="8"/>
  <c r="EHG54" i="8"/>
  <c r="EHF54" i="8"/>
  <c r="EHE54" i="8"/>
  <c r="EHD54" i="8"/>
  <c r="EHC54" i="8"/>
  <c r="EHB54" i="8"/>
  <c r="EHA54" i="8"/>
  <c r="EGZ54" i="8"/>
  <c r="EGY54" i="8"/>
  <c r="EGX54" i="8"/>
  <c r="EGW54" i="8"/>
  <c r="EGV54" i="8"/>
  <c r="EGU54" i="8"/>
  <c r="EGT54" i="8"/>
  <c r="EGS54" i="8"/>
  <c r="EGR54" i="8"/>
  <c r="EGQ54" i="8"/>
  <c r="EGP54" i="8"/>
  <c r="EGO54" i="8"/>
  <c r="EGN54" i="8"/>
  <c r="EGM54" i="8"/>
  <c r="EGL54" i="8"/>
  <c r="EGK54" i="8"/>
  <c r="EGJ54" i="8"/>
  <c r="EGI54" i="8"/>
  <c r="EGH54" i="8"/>
  <c r="EGG54" i="8"/>
  <c r="EGF54" i="8"/>
  <c r="EGE54" i="8"/>
  <c r="EGD54" i="8"/>
  <c r="EGC54" i="8"/>
  <c r="EGB54" i="8"/>
  <c r="EGA54" i="8"/>
  <c r="EFZ54" i="8"/>
  <c r="EFY54" i="8"/>
  <c r="EFX54" i="8"/>
  <c r="EFW54" i="8"/>
  <c r="EFV54" i="8"/>
  <c r="EFU54" i="8"/>
  <c r="EFT54" i="8"/>
  <c r="EFS54" i="8"/>
  <c r="EFR54" i="8"/>
  <c r="EFQ54" i="8"/>
  <c r="EFP54" i="8"/>
  <c r="EFO54" i="8"/>
  <c r="EFN54" i="8"/>
  <c r="EFM54" i="8"/>
  <c r="EFL54" i="8"/>
  <c r="EFK54" i="8"/>
  <c r="EFJ54" i="8"/>
  <c r="EFI54" i="8"/>
  <c r="EFH54" i="8"/>
  <c r="EFG54" i="8"/>
  <c r="EFF54" i="8"/>
  <c r="EFE54" i="8"/>
  <c r="EFD54" i="8"/>
  <c r="EFC54" i="8"/>
  <c r="EFB54" i="8"/>
  <c r="EFA54" i="8"/>
  <c r="EEZ54" i="8"/>
  <c r="EEY54" i="8"/>
  <c r="EEX54" i="8"/>
  <c r="EEW54" i="8"/>
  <c r="EEV54" i="8"/>
  <c r="EEU54" i="8"/>
  <c r="EET54" i="8"/>
  <c r="EES54" i="8"/>
  <c r="EER54" i="8"/>
  <c r="EEQ54" i="8"/>
  <c r="EEP54" i="8"/>
  <c r="EEO54" i="8"/>
  <c r="EEN54" i="8"/>
  <c r="EEM54" i="8"/>
  <c r="EEL54" i="8"/>
  <c r="EEK54" i="8"/>
  <c r="EEJ54" i="8"/>
  <c r="EEI54" i="8"/>
  <c r="EEH54" i="8"/>
  <c r="EEG54" i="8"/>
  <c r="EEF54" i="8"/>
  <c r="EEE54" i="8"/>
  <c r="EED54" i="8"/>
  <c r="EEC54" i="8"/>
  <c r="EEB54" i="8"/>
  <c r="EEA54" i="8"/>
  <c r="EDZ54" i="8"/>
  <c r="EDY54" i="8"/>
  <c r="EDX54" i="8"/>
  <c r="EDW54" i="8"/>
  <c r="EDV54" i="8"/>
  <c r="EDU54" i="8"/>
  <c r="EDT54" i="8"/>
  <c r="EDS54" i="8"/>
  <c r="EDR54" i="8"/>
  <c r="EDQ54" i="8"/>
  <c r="EDP54" i="8"/>
  <c r="EDO54" i="8"/>
  <c r="EDN54" i="8"/>
  <c r="EDM54" i="8"/>
  <c r="EDL54" i="8"/>
  <c r="EDK54" i="8"/>
  <c r="EDJ54" i="8"/>
  <c r="EDI54" i="8"/>
  <c r="EDH54" i="8"/>
  <c r="EDG54" i="8"/>
  <c r="EDF54" i="8"/>
  <c r="EDE54" i="8"/>
  <c r="EDD54" i="8"/>
  <c r="EDC54" i="8"/>
  <c r="EDB54" i="8"/>
  <c r="EDA54" i="8"/>
  <c r="ECZ54" i="8"/>
  <c r="ECY54" i="8"/>
  <c r="ECX54" i="8"/>
  <c r="ECW54" i="8"/>
  <c r="ECV54" i="8"/>
  <c r="ECU54" i="8"/>
  <c r="ECT54" i="8"/>
  <c r="ECS54" i="8"/>
  <c r="ECR54" i="8"/>
  <c r="ECQ54" i="8"/>
  <c r="ECP54" i="8"/>
  <c r="ECO54" i="8"/>
  <c r="ECN54" i="8"/>
  <c r="ECM54" i="8"/>
  <c r="ECL54" i="8"/>
  <c r="ECK54" i="8"/>
  <c r="ECJ54" i="8"/>
  <c r="ECI54" i="8"/>
  <c r="ECH54" i="8"/>
  <c r="ECG54" i="8"/>
  <c r="ECF54" i="8"/>
  <c r="ECE54" i="8"/>
  <c r="ECD54" i="8"/>
  <c r="ECC54" i="8"/>
  <c r="ECB54" i="8"/>
  <c r="ECA54" i="8"/>
  <c r="EBZ54" i="8"/>
  <c r="EBY54" i="8"/>
  <c r="EBX54" i="8"/>
  <c r="EBW54" i="8"/>
  <c r="EBV54" i="8"/>
  <c r="EBU54" i="8"/>
  <c r="EBT54" i="8"/>
  <c r="EBS54" i="8"/>
  <c r="EBR54" i="8"/>
  <c r="EBQ54" i="8"/>
  <c r="EBP54" i="8"/>
  <c r="EBO54" i="8"/>
  <c r="EBN54" i="8"/>
  <c r="EBM54" i="8"/>
  <c r="EBL54" i="8"/>
  <c r="EBK54" i="8"/>
  <c r="EBJ54" i="8"/>
  <c r="EBI54" i="8"/>
  <c r="EBH54" i="8"/>
  <c r="EBG54" i="8"/>
  <c r="EBF54" i="8"/>
  <c r="EBE54" i="8"/>
  <c r="EBD54" i="8"/>
  <c r="EBC54" i="8"/>
  <c r="EBB54" i="8"/>
  <c r="EBA54" i="8"/>
  <c r="EAZ54" i="8"/>
  <c r="EAY54" i="8"/>
  <c r="EAX54" i="8"/>
  <c r="EAW54" i="8"/>
  <c r="EAV54" i="8"/>
  <c r="EAU54" i="8"/>
  <c r="EAT54" i="8"/>
  <c r="EAS54" i="8"/>
  <c r="EAR54" i="8"/>
  <c r="EAQ54" i="8"/>
  <c r="EAP54" i="8"/>
  <c r="EAO54" i="8"/>
  <c r="EAN54" i="8"/>
  <c r="EAM54" i="8"/>
  <c r="EAL54" i="8"/>
  <c r="EAK54" i="8"/>
  <c r="EAJ54" i="8"/>
  <c r="EAI54" i="8"/>
  <c r="EAH54" i="8"/>
  <c r="EAG54" i="8"/>
  <c r="EAF54" i="8"/>
  <c r="EAE54" i="8"/>
  <c r="EAD54" i="8"/>
  <c r="EAC54" i="8"/>
  <c r="EAB54" i="8"/>
  <c r="EAA54" i="8"/>
  <c r="DZZ54" i="8"/>
  <c r="DZY54" i="8"/>
  <c r="DZX54" i="8"/>
  <c r="DZW54" i="8"/>
  <c r="DZV54" i="8"/>
  <c r="DZU54" i="8"/>
  <c r="DZT54" i="8"/>
  <c r="DZS54" i="8"/>
  <c r="DZR54" i="8"/>
  <c r="DZQ54" i="8"/>
  <c r="DZP54" i="8"/>
  <c r="DZO54" i="8"/>
  <c r="DZN54" i="8"/>
  <c r="DZM54" i="8"/>
  <c r="DZL54" i="8"/>
  <c r="DZK54" i="8"/>
  <c r="DZJ54" i="8"/>
  <c r="DZI54" i="8"/>
  <c r="DZH54" i="8"/>
  <c r="DZG54" i="8"/>
  <c r="DZF54" i="8"/>
  <c r="DZE54" i="8"/>
  <c r="DZD54" i="8"/>
  <c r="DZC54" i="8"/>
  <c r="DZB54" i="8"/>
  <c r="DZA54" i="8"/>
  <c r="DYZ54" i="8"/>
  <c r="DYY54" i="8"/>
  <c r="DYX54" i="8"/>
  <c r="DYW54" i="8"/>
  <c r="DYV54" i="8"/>
  <c r="DYU54" i="8"/>
  <c r="DYT54" i="8"/>
  <c r="DYS54" i="8"/>
  <c r="DYR54" i="8"/>
  <c r="DYQ54" i="8"/>
  <c r="DYP54" i="8"/>
  <c r="DYO54" i="8"/>
  <c r="DYN54" i="8"/>
  <c r="DYM54" i="8"/>
  <c r="DYL54" i="8"/>
  <c r="DYK54" i="8"/>
  <c r="DYJ54" i="8"/>
  <c r="DYI54" i="8"/>
  <c r="DYH54" i="8"/>
  <c r="DYG54" i="8"/>
  <c r="DYF54" i="8"/>
  <c r="DYE54" i="8"/>
  <c r="DYD54" i="8"/>
  <c r="DYC54" i="8"/>
  <c r="DYB54" i="8"/>
  <c r="DYA54" i="8"/>
  <c r="DXZ54" i="8"/>
  <c r="DXY54" i="8"/>
  <c r="DXX54" i="8"/>
  <c r="DXW54" i="8"/>
  <c r="DXV54" i="8"/>
  <c r="DXU54" i="8"/>
  <c r="DXT54" i="8"/>
  <c r="DXS54" i="8"/>
  <c r="DXR54" i="8"/>
  <c r="DXQ54" i="8"/>
  <c r="DXP54" i="8"/>
  <c r="DXO54" i="8"/>
  <c r="DXN54" i="8"/>
  <c r="DXM54" i="8"/>
  <c r="DXL54" i="8"/>
  <c r="DXK54" i="8"/>
  <c r="DXJ54" i="8"/>
  <c r="DXI54" i="8"/>
  <c r="DXH54" i="8"/>
  <c r="DXG54" i="8"/>
  <c r="DXF54" i="8"/>
  <c r="DXE54" i="8"/>
  <c r="DXD54" i="8"/>
  <c r="DXC54" i="8"/>
  <c r="DXB54" i="8"/>
  <c r="DXA54" i="8"/>
  <c r="DWZ54" i="8"/>
  <c r="DWY54" i="8"/>
  <c r="DWX54" i="8"/>
  <c r="DWW54" i="8"/>
  <c r="DWV54" i="8"/>
  <c r="DWU54" i="8"/>
  <c r="DWT54" i="8"/>
  <c r="DWS54" i="8"/>
  <c r="DWR54" i="8"/>
  <c r="DWQ54" i="8"/>
  <c r="DWP54" i="8"/>
  <c r="DWO54" i="8"/>
  <c r="DWN54" i="8"/>
  <c r="DWM54" i="8"/>
  <c r="DWL54" i="8"/>
  <c r="DWK54" i="8"/>
  <c r="DWJ54" i="8"/>
  <c r="DWI54" i="8"/>
  <c r="DWH54" i="8"/>
  <c r="DWG54" i="8"/>
  <c r="DWF54" i="8"/>
  <c r="DWE54" i="8"/>
  <c r="DWD54" i="8"/>
  <c r="DWC54" i="8"/>
  <c r="DWB54" i="8"/>
  <c r="DWA54" i="8"/>
  <c r="DVZ54" i="8"/>
  <c r="DVY54" i="8"/>
  <c r="DVX54" i="8"/>
  <c r="DVW54" i="8"/>
  <c r="DVV54" i="8"/>
  <c r="DVU54" i="8"/>
  <c r="DVT54" i="8"/>
  <c r="DVS54" i="8"/>
  <c r="DVR54" i="8"/>
  <c r="DVQ54" i="8"/>
  <c r="DVP54" i="8"/>
  <c r="DVO54" i="8"/>
  <c r="DVN54" i="8"/>
  <c r="DVM54" i="8"/>
  <c r="DVL54" i="8"/>
  <c r="DVK54" i="8"/>
  <c r="DVJ54" i="8"/>
  <c r="DVI54" i="8"/>
  <c r="DVH54" i="8"/>
  <c r="DVG54" i="8"/>
  <c r="DVF54" i="8"/>
  <c r="DVE54" i="8"/>
  <c r="DVD54" i="8"/>
  <c r="DVC54" i="8"/>
  <c r="DVB54" i="8"/>
  <c r="DVA54" i="8"/>
  <c r="DUZ54" i="8"/>
  <c r="DUY54" i="8"/>
  <c r="DUX54" i="8"/>
  <c r="DUW54" i="8"/>
  <c r="DUV54" i="8"/>
  <c r="DUU54" i="8"/>
  <c r="DUT54" i="8"/>
  <c r="DUS54" i="8"/>
  <c r="DUR54" i="8"/>
  <c r="DUQ54" i="8"/>
  <c r="DUP54" i="8"/>
  <c r="DUO54" i="8"/>
  <c r="DUN54" i="8"/>
  <c r="DUM54" i="8"/>
  <c r="DUL54" i="8"/>
  <c r="DUK54" i="8"/>
  <c r="DUJ54" i="8"/>
  <c r="DUI54" i="8"/>
  <c r="DUH54" i="8"/>
  <c r="DUG54" i="8"/>
  <c r="DUF54" i="8"/>
  <c r="DUE54" i="8"/>
  <c r="DUD54" i="8"/>
  <c r="DUC54" i="8"/>
  <c r="DUB54" i="8"/>
  <c r="DUA54" i="8"/>
  <c r="DTZ54" i="8"/>
  <c r="DTY54" i="8"/>
  <c r="DTX54" i="8"/>
  <c r="DTW54" i="8"/>
  <c r="DTV54" i="8"/>
  <c r="DTU54" i="8"/>
  <c r="DTT54" i="8"/>
  <c r="DTS54" i="8"/>
  <c r="DTR54" i="8"/>
  <c r="DTQ54" i="8"/>
  <c r="DTP54" i="8"/>
  <c r="DTO54" i="8"/>
  <c r="DTN54" i="8"/>
  <c r="DTM54" i="8"/>
  <c r="DTL54" i="8"/>
  <c r="DTK54" i="8"/>
  <c r="DTJ54" i="8"/>
  <c r="DTI54" i="8"/>
  <c r="DTH54" i="8"/>
  <c r="DTG54" i="8"/>
  <c r="DTF54" i="8"/>
  <c r="DTE54" i="8"/>
  <c r="DTD54" i="8"/>
  <c r="DTC54" i="8"/>
  <c r="DTB54" i="8"/>
  <c r="DTA54" i="8"/>
  <c r="DSZ54" i="8"/>
  <c r="DSY54" i="8"/>
  <c r="DSX54" i="8"/>
  <c r="DSW54" i="8"/>
  <c r="DSV54" i="8"/>
  <c r="DSU54" i="8"/>
  <c r="DST54" i="8"/>
  <c r="DSS54" i="8"/>
  <c r="DSR54" i="8"/>
  <c r="DSQ54" i="8"/>
  <c r="DSP54" i="8"/>
  <c r="DSO54" i="8"/>
  <c r="DSN54" i="8"/>
  <c r="DSM54" i="8"/>
  <c r="DSL54" i="8"/>
  <c r="DSK54" i="8"/>
  <c r="DSJ54" i="8"/>
  <c r="DSI54" i="8"/>
  <c r="DSH54" i="8"/>
  <c r="DSG54" i="8"/>
  <c r="DSF54" i="8"/>
  <c r="DSE54" i="8"/>
  <c r="DSD54" i="8"/>
  <c r="DSC54" i="8"/>
  <c r="DSB54" i="8"/>
  <c r="DSA54" i="8"/>
  <c r="DRZ54" i="8"/>
  <c r="DRY54" i="8"/>
  <c r="DRX54" i="8"/>
  <c r="DRW54" i="8"/>
  <c r="DRV54" i="8"/>
  <c r="DRU54" i="8"/>
  <c r="DRT54" i="8"/>
  <c r="DRS54" i="8"/>
  <c r="DRR54" i="8"/>
  <c r="DRQ54" i="8"/>
  <c r="DRP54" i="8"/>
  <c r="DRO54" i="8"/>
  <c r="DRN54" i="8"/>
  <c r="DRM54" i="8"/>
  <c r="DRL54" i="8"/>
  <c r="DRK54" i="8"/>
  <c r="DRJ54" i="8"/>
  <c r="DRI54" i="8"/>
  <c r="DRH54" i="8"/>
  <c r="DRG54" i="8"/>
  <c r="DRF54" i="8"/>
  <c r="DRE54" i="8"/>
  <c r="DRD54" i="8"/>
  <c r="DRC54" i="8"/>
  <c r="DRB54" i="8"/>
  <c r="DRA54" i="8"/>
  <c r="DQZ54" i="8"/>
  <c r="DQY54" i="8"/>
  <c r="DQX54" i="8"/>
  <c r="DQW54" i="8"/>
  <c r="DQV54" i="8"/>
  <c r="DQU54" i="8"/>
  <c r="DQT54" i="8"/>
  <c r="DQS54" i="8"/>
  <c r="DQR54" i="8"/>
  <c r="DQQ54" i="8"/>
  <c r="DQP54" i="8"/>
  <c r="DQO54" i="8"/>
  <c r="DQN54" i="8"/>
  <c r="DQM54" i="8"/>
  <c r="DQL54" i="8"/>
  <c r="DQK54" i="8"/>
  <c r="DQJ54" i="8"/>
  <c r="DQI54" i="8"/>
  <c r="DQH54" i="8"/>
  <c r="DQG54" i="8"/>
  <c r="DQF54" i="8"/>
  <c r="DQE54" i="8"/>
  <c r="DQD54" i="8"/>
  <c r="DQC54" i="8"/>
  <c r="DQB54" i="8"/>
  <c r="DQA54" i="8"/>
  <c r="DPZ54" i="8"/>
  <c r="DPY54" i="8"/>
  <c r="DPX54" i="8"/>
  <c r="DPW54" i="8"/>
  <c r="DPV54" i="8"/>
  <c r="DPU54" i="8"/>
  <c r="DPT54" i="8"/>
  <c r="DPS54" i="8"/>
  <c r="DPR54" i="8"/>
  <c r="DPQ54" i="8"/>
  <c r="DPP54" i="8"/>
  <c r="DPO54" i="8"/>
  <c r="DPN54" i="8"/>
  <c r="DPM54" i="8"/>
  <c r="DPL54" i="8"/>
  <c r="DPK54" i="8"/>
  <c r="DPJ54" i="8"/>
  <c r="DPI54" i="8"/>
  <c r="DPH54" i="8"/>
  <c r="DPG54" i="8"/>
  <c r="DPF54" i="8"/>
  <c r="DPE54" i="8"/>
  <c r="DPD54" i="8"/>
  <c r="DPC54" i="8"/>
  <c r="DPB54" i="8"/>
  <c r="DPA54" i="8"/>
  <c r="DOZ54" i="8"/>
  <c r="DOY54" i="8"/>
  <c r="DOX54" i="8"/>
  <c r="DOW54" i="8"/>
  <c r="DOV54" i="8"/>
  <c r="DOU54" i="8"/>
  <c r="DOT54" i="8"/>
  <c r="DOS54" i="8"/>
  <c r="DOR54" i="8"/>
  <c r="DOQ54" i="8"/>
  <c r="DOP54" i="8"/>
  <c r="DOO54" i="8"/>
  <c r="DON54" i="8"/>
  <c r="DOM54" i="8"/>
  <c r="DOL54" i="8"/>
  <c r="DOK54" i="8"/>
  <c r="DOJ54" i="8"/>
  <c r="DOI54" i="8"/>
  <c r="DOH54" i="8"/>
  <c r="DOG54" i="8"/>
  <c r="DOF54" i="8"/>
  <c r="DOE54" i="8"/>
  <c r="DOD54" i="8"/>
  <c r="DOC54" i="8"/>
  <c r="DOB54" i="8"/>
  <c r="DOA54" i="8"/>
  <c r="DNZ54" i="8"/>
  <c r="DNY54" i="8"/>
  <c r="DNX54" i="8"/>
  <c r="DNW54" i="8"/>
  <c r="DNV54" i="8"/>
  <c r="DNU54" i="8"/>
  <c r="DNT54" i="8"/>
  <c r="DNS54" i="8"/>
  <c r="DNR54" i="8"/>
  <c r="DNQ54" i="8"/>
  <c r="DNP54" i="8"/>
  <c r="DNO54" i="8"/>
  <c r="DNN54" i="8"/>
  <c r="DNM54" i="8"/>
  <c r="DNL54" i="8"/>
  <c r="DNK54" i="8"/>
  <c r="DNJ54" i="8"/>
  <c r="DNI54" i="8"/>
  <c r="DNH54" i="8"/>
  <c r="DNG54" i="8"/>
  <c r="DNF54" i="8"/>
  <c r="DNE54" i="8"/>
  <c r="DND54" i="8"/>
  <c r="DNC54" i="8"/>
  <c r="DNB54" i="8"/>
  <c r="DNA54" i="8"/>
  <c r="DMZ54" i="8"/>
  <c r="DMY54" i="8"/>
  <c r="DMX54" i="8"/>
  <c r="DMW54" i="8"/>
  <c r="DMV54" i="8"/>
  <c r="DMU54" i="8"/>
  <c r="DMT54" i="8"/>
  <c r="DMS54" i="8"/>
  <c r="DMR54" i="8"/>
  <c r="DMQ54" i="8"/>
  <c r="DMP54" i="8"/>
  <c r="DMO54" i="8"/>
  <c r="DMN54" i="8"/>
  <c r="DMM54" i="8"/>
  <c r="DML54" i="8"/>
  <c r="DMK54" i="8"/>
  <c r="DMJ54" i="8"/>
  <c r="DMI54" i="8"/>
  <c r="DMH54" i="8"/>
  <c r="DMG54" i="8"/>
  <c r="DMF54" i="8"/>
  <c r="DME54" i="8"/>
  <c r="DMD54" i="8"/>
  <c r="DMC54" i="8"/>
  <c r="DMB54" i="8"/>
  <c r="DMA54" i="8"/>
  <c r="DLZ54" i="8"/>
  <c r="DLY54" i="8"/>
  <c r="DLX54" i="8"/>
  <c r="DLW54" i="8"/>
  <c r="DLV54" i="8"/>
  <c r="DLU54" i="8"/>
  <c r="DLT54" i="8"/>
  <c r="DLS54" i="8"/>
  <c r="DLR54" i="8"/>
  <c r="DLQ54" i="8"/>
  <c r="DLP54" i="8"/>
  <c r="DLO54" i="8"/>
  <c r="DLN54" i="8"/>
  <c r="DLM54" i="8"/>
  <c r="DLL54" i="8"/>
  <c r="DLK54" i="8"/>
  <c r="DLJ54" i="8"/>
  <c r="DLI54" i="8"/>
  <c r="DLH54" i="8"/>
  <c r="DLG54" i="8"/>
  <c r="DLF54" i="8"/>
  <c r="DLE54" i="8"/>
  <c r="DLD54" i="8"/>
  <c r="DLC54" i="8"/>
  <c r="DLB54" i="8"/>
  <c r="DLA54" i="8"/>
  <c r="DKZ54" i="8"/>
  <c r="DKY54" i="8"/>
  <c r="DKX54" i="8"/>
  <c r="DKW54" i="8"/>
  <c r="DKV54" i="8"/>
  <c r="DKU54" i="8"/>
  <c r="DKT54" i="8"/>
  <c r="DKS54" i="8"/>
  <c r="DKR54" i="8"/>
  <c r="DKQ54" i="8"/>
  <c r="DKP54" i="8"/>
  <c r="DKO54" i="8"/>
  <c r="DKN54" i="8"/>
  <c r="DKM54" i="8"/>
  <c r="DKL54" i="8"/>
  <c r="DKK54" i="8"/>
  <c r="DKJ54" i="8"/>
  <c r="DKI54" i="8"/>
  <c r="DKH54" i="8"/>
  <c r="DKG54" i="8"/>
  <c r="DKF54" i="8"/>
  <c r="DKE54" i="8"/>
  <c r="DKD54" i="8"/>
  <c r="DKC54" i="8"/>
  <c r="DKB54" i="8"/>
  <c r="DKA54" i="8"/>
  <c r="DJZ54" i="8"/>
  <c r="DJY54" i="8"/>
  <c r="DJX54" i="8"/>
  <c r="DJW54" i="8"/>
  <c r="DJV54" i="8"/>
  <c r="DJU54" i="8"/>
  <c r="DJT54" i="8"/>
  <c r="DJS54" i="8"/>
  <c r="DJR54" i="8"/>
  <c r="DJQ54" i="8"/>
  <c r="DJP54" i="8"/>
  <c r="DJO54" i="8"/>
  <c r="DJN54" i="8"/>
  <c r="DJM54" i="8"/>
  <c r="DJL54" i="8"/>
  <c r="DJK54" i="8"/>
  <c r="DJJ54" i="8"/>
  <c r="DJI54" i="8"/>
  <c r="DJH54" i="8"/>
  <c r="DJG54" i="8"/>
  <c r="DJF54" i="8"/>
  <c r="DJE54" i="8"/>
  <c r="DJD54" i="8"/>
  <c r="DJC54" i="8"/>
  <c r="DJB54" i="8"/>
  <c r="DJA54" i="8"/>
  <c r="DIZ54" i="8"/>
  <c r="DIY54" i="8"/>
  <c r="DIX54" i="8"/>
  <c r="DIW54" i="8"/>
  <c r="DIV54" i="8"/>
  <c r="DIU54" i="8"/>
  <c r="DIT54" i="8"/>
  <c r="DIS54" i="8"/>
  <c r="DIR54" i="8"/>
  <c r="DIQ54" i="8"/>
  <c r="DIP54" i="8"/>
  <c r="DIO54" i="8"/>
  <c r="DIN54" i="8"/>
  <c r="DIM54" i="8"/>
  <c r="DIL54" i="8"/>
  <c r="DIK54" i="8"/>
  <c r="DIJ54" i="8"/>
  <c r="DII54" i="8"/>
  <c r="DIH54" i="8"/>
  <c r="DIG54" i="8"/>
  <c r="DIF54" i="8"/>
  <c r="DIE54" i="8"/>
  <c r="DID54" i="8"/>
  <c r="DIC54" i="8"/>
  <c r="DIB54" i="8"/>
  <c r="DIA54" i="8"/>
  <c r="DHZ54" i="8"/>
  <c r="DHY54" i="8"/>
  <c r="DHX54" i="8"/>
  <c r="DHW54" i="8"/>
  <c r="DHV54" i="8"/>
  <c r="DHU54" i="8"/>
  <c r="DHT54" i="8"/>
  <c r="DHS54" i="8"/>
  <c r="DHR54" i="8"/>
  <c r="DHQ54" i="8"/>
  <c r="DHP54" i="8"/>
  <c r="DHO54" i="8"/>
  <c r="DHN54" i="8"/>
  <c r="DHM54" i="8"/>
  <c r="DHL54" i="8"/>
  <c r="DHK54" i="8"/>
  <c r="DHJ54" i="8"/>
  <c r="DHI54" i="8"/>
  <c r="DHH54" i="8"/>
  <c r="DHG54" i="8"/>
  <c r="DHF54" i="8"/>
  <c r="DHE54" i="8"/>
  <c r="DHD54" i="8"/>
  <c r="DHC54" i="8"/>
  <c r="DHB54" i="8"/>
  <c r="DHA54" i="8"/>
  <c r="DGZ54" i="8"/>
  <c r="DGY54" i="8"/>
  <c r="DGX54" i="8"/>
  <c r="DGW54" i="8"/>
  <c r="DGV54" i="8"/>
  <c r="DGU54" i="8"/>
  <c r="DGT54" i="8"/>
  <c r="DGS54" i="8"/>
  <c r="DGR54" i="8"/>
  <c r="DGQ54" i="8"/>
  <c r="DGP54" i="8"/>
  <c r="DGO54" i="8"/>
  <c r="DGN54" i="8"/>
  <c r="DGM54" i="8"/>
  <c r="DGL54" i="8"/>
  <c r="DGK54" i="8"/>
  <c r="DGJ54" i="8"/>
  <c r="DGI54" i="8"/>
  <c r="DGH54" i="8"/>
  <c r="DGG54" i="8"/>
  <c r="DGF54" i="8"/>
  <c r="DGE54" i="8"/>
  <c r="DGD54" i="8"/>
  <c r="DGC54" i="8"/>
  <c r="DGB54" i="8"/>
  <c r="DGA54" i="8"/>
  <c r="DFZ54" i="8"/>
  <c r="DFY54" i="8"/>
  <c r="DFX54" i="8"/>
  <c r="DFW54" i="8"/>
  <c r="DFV54" i="8"/>
  <c r="DFU54" i="8"/>
  <c r="DFT54" i="8"/>
  <c r="DFS54" i="8"/>
  <c r="DFR54" i="8"/>
  <c r="DFQ54" i="8"/>
  <c r="DFP54" i="8"/>
  <c r="DFO54" i="8"/>
  <c r="DFN54" i="8"/>
  <c r="DFM54" i="8"/>
  <c r="DFL54" i="8"/>
  <c r="DFK54" i="8"/>
  <c r="DFJ54" i="8"/>
  <c r="DFI54" i="8"/>
  <c r="DFH54" i="8"/>
  <c r="DFG54" i="8"/>
  <c r="DFF54" i="8"/>
  <c r="DFE54" i="8"/>
  <c r="DFD54" i="8"/>
  <c r="DFC54" i="8"/>
  <c r="DFB54" i="8"/>
  <c r="DFA54" i="8"/>
  <c r="DEZ54" i="8"/>
  <c r="DEY54" i="8"/>
  <c r="DEX54" i="8"/>
  <c r="DEW54" i="8"/>
  <c r="DEV54" i="8"/>
  <c r="DEU54" i="8"/>
  <c r="DET54" i="8"/>
  <c r="DES54" i="8"/>
  <c r="DER54" i="8"/>
  <c r="DEQ54" i="8"/>
  <c r="DEP54" i="8"/>
  <c r="DEO54" i="8"/>
  <c r="DEN54" i="8"/>
  <c r="DEM54" i="8"/>
  <c r="DEL54" i="8"/>
  <c r="DEK54" i="8"/>
  <c r="DEJ54" i="8"/>
  <c r="DEI54" i="8"/>
  <c r="DEH54" i="8"/>
  <c r="DEG54" i="8"/>
  <c r="DEF54" i="8"/>
  <c r="DEE54" i="8"/>
  <c r="DED54" i="8"/>
  <c r="DEC54" i="8"/>
  <c r="DEB54" i="8"/>
  <c r="DEA54" i="8"/>
  <c r="DDZ54" i="8"/>
  <c r="DDY54" i="8"/>
  <c r="DDX54" i="8"/>
  <c r="DDW54" i="8"/>
  <c r="DDV54" i="8"/>
  <c r="DDU54" i="8"/>
  <c r="DDT54" i="8"/>
  <c r="DDS54" i="8"/>
  <c r="DDR54" i="8"/>
  <c r="DDQ54" i="8"/>
  <c r="DDP54" i="8"/>
  <c r="DDO54" i="8"/>
  <c r="DDN54" i="8"/>
  <c r="DDM54" i="8"/>
  <c r="DDL54" i="8"/>
  <c r="DDK54" i="8"/>
  <c r="DDJ54" i="8"/>
  <c r="DDI54" i="8"/>
  <c r="DDH54" i="8"/>
  <c r="DDG54" i="8"/>
  <c r="DDF54" i="8"/>
  <c r="DDE54" i="8"/>
  <c r="DDD54" i="8"/>
  <c r="DDC54" i="8"/>
  <c r="DDB54" i="8"/>
  <c r="DDA54" i="8"/>
  <c r="DCZ54" i="8"/>
  <c r="DCY54" i="8"/>
  <c r="DCX54" i="8"/>
  <c r="DCW54" i="8"/>
  <c r="DCV54" i="8"/>
  <c r="DCU54" i="8"/>
  <c r="DCT54" i="8"/>
  <c r="DCS54" i="8"/>
  <c r="DCR54" i="8"/>
  <c r="DCQ54" i="8"/>
  <c r="DCP54" i="8"/>
  <c r="DCO54" i="8"/>
  <c r="DCN54" i="8"/>
  <c r="DCM54" i="8"/>
  <c r="DCL54" i="8"/>
  <c r="DCK54" i="8"/>
  <c r="DCJ54" i="8"/>
  <c r="DCI54" i="8"/>
  <c r="DCH54" i="8"/>
  <c r="DCG54" i="8"/>
  <c r="DCF54" i="8"/>
  <c r="DCE54" i="8"/>
  <c r="DCD54" i="8"/>
  <c r="DCC54" i="8"/>
  <c r="DCB54" i="8"/>
  <c r="DCA54" i="8"/>
  <c r="DBZ54" i="8"/>
  <c r="DBY54" i="8"/>
  <c r="DBX54" i="8"/>
  <c r="DBW54" i="8"/>
  <c r="DBV54" i="8"/>
  <c r="DBU54" i="8"/>
  <c r="DBT54" i="8"/>
  <c r="DBS54" i="8"/>
  <c r="DBR54" i="8"/>
  <c r="DBQ54" i="8"/>
  <c r="DBP54" i="8"/>
  <c r="DBO54" i="8"/>
  <c r="DBN54" i="8"/>
  <c r="DBM54" i="8"/>
  <c r="DBL54" i="8"/>
  <c r="DBK54" i="8"/>
  <c r="DBJ54" i="8"/>
  <c r="DBI54" i="8"/>
  <c r="DBH54" i="8"/>
  <c r="DBG54" i="8"/>
  <c r="DBF54" i="8"/>
  <c r="DBE54" i="8"/>
  <c r="DBD54" i="8"/>
  <c r="DBC54" i="8"/>
  <c r="DBB54" i="8"/>
  <c r="DBA54" i="8"/>
  <c r="DAZ54" i="8"/>
  <c r="DAY54" i="8"/>
  <c r="DAX54" i="8"/>
  <c r="DAW54" i="8"/>
  <c r="DAV54" i="8"/>
  <c r="DAU54" i="8"/>
  <c r="DAT54" i="8"/>
  <c r="DAS54" i="8"/>
  <c r="DAR54" i="8"/>
  <c r="DAQ54" i="8"/>
  <c r="DAP54" i="8"/>
  <c r="DAO54" i="8"/>
  <c r="DAN54" i="8"/>
  <c r="DAM54" i="8"/>
  <c r="DAL54" i="8"/>
  <c r="DAK54" i="8"/>
  <c r="DAJ54" i="8"/>
  <c r="DAI54" i="8"/>
  <c r="DAH54" i="8"/>
  <c r="DAG54" i="8"/>
  <c r="DAF54" i="8"/>
  <c r="DAE54" i="8"/>
  <c r="DAD54" i="8"/>
  <c r="DAC54" i="8"/>
  <c r="DAB54" i="8"/>
  <c r="DAA54" i="8"/>
  <c r="CZZ54" i="8"/>
  <c r="CZY54" i="8"/>
  <c r="CZX54" i="8"/>
  <c r="CZW54" i="8"/>
  <c r="CZV54" i="8"/>
  <c r="CZU54" i="8"/>
  <c r="CZT54" i="8"/>
  <c r="CZS54" i="8"/>
  <c r="CZR54" i="8"/>
  <c r="CZQ54" i="8"/>
  <c r="CZP54" i="8"/>
  <c r="CZO54" i="8"/>
  <c r="CZN54" i="8"/>
  <c r="CZM54" i="8"/>
  <c r="CZL54" i="8"/>
  <c r="CZK54" i="8"/>
  <c r="CZJ54" i="8"/>
  <c r="CZI54" i="8"/>
  <c r="CZH54" i="8"/>
  <c r="CZG54" i="8"/>
  <c r="CZF54" i="8"/>
  <c r="CZE54" i="8"/>
  <c r="CZD54" i="8"/>
  <c r="CZC54" i="8"/>
  <c r="CZB54" i="8"/>
  <c r="CZA54" i="8"/>
  <c r="CYZ54" i="8"/>
  <c r="CYY54" i="8"/>
  <c r="CYX54" i="8"/>
  <c r="CYW54" i="8"/>
  <c r="CYV54" i="8"/>
  <c r="CYU54" i="8"/>
  <c r="CYT54" i="8"/>
  <c r="CYS54" i="8"/>
  <c r="CYR54" i="8"/>
  <c r="CYQ54" i="8"/>
  <c r="CYP54" i="8"/>
  <c r="CYO54" i="8"/>
  <c r="CYN54" i="8"/>
  <c r="CYM54" i="8"/>
  <c r="CYL54" i="8"/>
  <c r="CYK54" i="8"/>
  <c r="CYJ54" i="8"/>
  <c r="CYI54" i="8"/>
  <c r="CYH54" i="8"/>
  <c r="CYG54" i="8"/>
  <c r="CYF54" i="8"/>
  <c r="CYE54" i="8"/>
  <c r="CYD54" i="8"/>
  <c r="CYC54" i="8"/>
  <c r="CYB54" i="8"/>
  <c r="CYA54" i="8"/>
  <c r="CXZ54" i="8"/>
  <c r="CXY54" i="8"/>
  <c r="CXX54" i="8"/>
  <c r="CXW54" i="8"/>
  <c r="CXV54" i="8"/>
  <c r="CXU54" i="8"/>
  <c r="CXT54" i="8"/>
  <c r="CXS54" i="8"/>
  <c r="CXR54" i="8"/>
  <c r="CXQ54" i="8"/>
  <c r="CXP54" i="8"/>
  <c r="CXO54" i="8"/>
  <c r="CXN54" i="8"/>
  <c r="CXM54" i="8"/>
  <c r="CXL54" i="8"/>
  <c r="CXK54" i="8"/>
  <c r="CXJ54" i="8"/>
  <c r="CXI54" i="8"/>
  <c r="CXH54" i="8"/>
  <c r="CXG54" i="8"/>
  <c r="CXF54" i="8"/>
  <c r="CXE54" i="8"/>
  <c r="CXD54" i="8"/>
  <c r="CXC54" i="8"/>
  <c r="CXB54" i="8"/>
  <c r="CXA54" i="8"/>
  <c r="CWZ54" i="8"/>
  <c r="CWY54" i="8"/>
  <c r="CWX54" i="8"/>
  <c r="CWW54" i="8"/>
  <c r="CWV54" i="8"/>
  <c r="CWU54" i="8"/>
  <c r="CWT54" i="8"/>
  <c r="CWS54" i="8"/>
  <c r="CWR54" i="8"/>
  <c r="CWQ54" i="8"/>
  <c r="CWP54" i="8"/>
  <c r="CWO54" i="8"/>
  <c r="CWN54" i="8"/>
  <c r="CWM54" i="8"/>
  <c r="CWL54" i="8"/>
  <c r="CWK54" i="8"/>
  <c r="CWJ54" i="8"/>
  <c r="CWI54" i="8"/>
  <c r="CWH54" i="8"/>
  <c r="CWG54" i="8"/>
  <c r="CWF54" i="8"/>
  <c r="CWE54" i="8"/>
  <c r="CWD54" i="8"/>
  <c r="CWC54" i="8"/>
  <c r="CWB54" i="8"/>
  <c r="CWA54" i="8"/>
  <c r="CVZ54" i="8"/>
  <c r="CVY54" i="8"/>
  <c r="CVX54" i="8"/>
  <c r="CVW54" i="8"/>
  <c r="CVV54" i="8"/>
  <c r="CVU54" i="8"/>
  <c r="CVT54" i="8"/>
  <c r="CVS54" i="8"/>
  <c r="CVR54" i="8"/>
  <c r="CVQ54" i="8"/>
  <c r="CVP54" i="8"/>
  <c r="CVO54" i="8"/>
  <c r="CVN54" i="8"/>
  <c r="CVM54" i="8"/>
  <c r="CVL54" i="8"/>
  <c r="CVK54" i="8"/>
  <c r="CVJ54" i="8"/>
  <c r="CVI54" i="8"/>
  <c r="CVH54" i="8"/>
  <c r="CVG54" i="8"/>
  <c r="CVF54" i="8"/>
  <c r="CVE54" i="8"/>
  <c r="CVD54" i="8"/>
  <c r="CVC54" i="8"/>
  <c r="CVB54" i="8"/>
  <c r="CVA54" i="8"/>
  <c r="CUZ54" i="8"/>
  <c r="CUY54" i="8"/>
  <c r="CUX54" i="8"/>
  <c r="CUW54" i="8"/>
  <c r="CUV54" i="8"/>
  <c r="CUU54" i="8"/>
  <c r="CUT54" i="8"/>
  <c r="CUS54" i="8"/>
  <c r="CUR54" i="8"/>
  <c r="CUQ54" i="8"/>
  <c r="CUP54" i="8"/>
  <c r="CUO54" i="8"/>
  <c r="CUN54" i="8"/>
  <c r="CUM54" i="8"/>
  <c r="CUL54" i="8"/>
  <c r="CUK54" i="8"/>
  <c r="CUJ54" i="8"/>
  <c r="CUI54" i="8"/>
  <c r="CUH54" i="8"/>
  <c r="CUG54" i="8"/>
  <c r="CUF54" i="8"/>
  <c r="CUE54" i="8"/>
  <c r="CUD54" i="8"/>
  <c r="CUC54" i="8"/>
  <c r="CUB54" i="8"/>
  <c r="CUA54" i="8"/>
  <c r="CTZ54" i="8"/>
  <c r="CTY54" i="8"/>
  <c r="CTX54" i="8"/>
  <c r="CTW54" i="8"/>
  <c r="CTV54" i="8"/>
  <c r="CTU54" i="8"/>
  <c r="CTT54" i="8"/>
  <c r="CTS54" i="8"/>
  <c r="CTR54" i="8"/>
  <c r="CTQ54" i="8"/>
  <c r="CTP54" i="8"/>
  <c r="CTO54" i="8"/>
  <c r="CTN54" i="8"/>
  <c r="CTM54" i="8"/>
  <c r="CTL54" i="8"/>
  <c r="CTK54" i="8"/>
  <c r="CTJ54" i="8"/>
  <c r="CTI54" i="8"/>
  <c r="CTH54" i="8"/>
  <c r="CTG54" i="8"/>
  <c r="CTF54" i="8"/>
  <c r="CTE54" i="8"/>
  <c r="CTD54" i="8"/>
  <c r="CTC54" i="8"/>
  <c r="CTB54" i="8"/>
  <c r="CTA54" i="8"/>
  <c r="CSZ54" i="8"/>
  <c r="CSY54" i="8"/>
  <c r="CSX54" i="8"/>
  <c r="CSW54" i="8"/>
  <c r="CSV54" i="8"/>
  <c r="CSU54" i="8"/>
  <c r="CST54" i="8"/>
  <c r="CSS54" i="8"/>
  <c r="CSR54" i="8"/>
  <c r="CSQ54" i="8"/>
  <c r="CSP54" i="8"/>
  <c r="CSO54" i="8"/>
  <c r="CSN54" i="8"/>
  <c r="CSM54" i="8"/>
  <c r="CSL54" i="8"/>
  <c r="CSK54" i="8"/>
  <c r="CSJ54" i="8"/>
  <c r="CSI54" i="8"/>
  <c r="CSH54" i="8"/>
  <c r="CSG54" i="8"/>
  <c r="CSF54" i="8"/>
  <c r="CSE54" i="8"/>
  <c r="CSD54" i="8"/>
  <c r="CSC54" i="8"/>
  <c r="CSB54" i="8"/>
  <c r="CSA54" i="8"/>
  <c r="CRZ54" i="8"/>
  <c r="CRY54" i="8"/>
  <c r="CRX54" i="8"/>
  <c r="CRW54" i="8"/>
  <c r="CRV54" i="8"/>
  <c r="CRU54" i="8"/>
  <c r="CRT54" i="8"/>
  <c r="CRS54" i="8"/>
  <c r="CRR54" i="8"/>
  <c r="CRQ54" i="8"/>
  <c r="CRP54" i="8"/>
  <c r="CRO54" i="8"/>
  <c r="CRN54" i="8"/>
  <c r="CRM54" i="8"/>
  <c r="CRL54" i="8"/>
  <c r="CRK54" i="8"/>
  <c r="CRJ54" i="8"/>
  <c r="CRI54" i="8"/>
  <c r="CRH54" i="8"/>
  <c r="CRG54" i="8"/>
  <c r="CRF54" i="8"/>
  <c r="CRE54" i="8"/>
  <c r="CRD54" i="8"/>
  <c r="CRC54" i="8"/>
  <c r="CRB54" i="8"/>
  <c r="CRA54" i="8"/>
  <c r="CQZ54" i="8"/>
  <c r="CQY54" i="8"/>
  <c r="CQX54" i="8"/>
  <c r="CQW54" i="8"/>
  <c r="CQV54" i="8"/>
  <c r="CQU54" i="8"/>
  <c r="CQT54" i="8"/>
  <c r="CQS54" i="8"/>
  <c r="CQR54" i="8"/>
  <c r="CQQ54" i="8"/>
  <c r="CQP54" i="8"/>
  <c r="CQO54" i="8"/>
  <c r="CQN54" i="8"/>
  <c r="CQM54" i="8"/>
  <c r="CQL54" i="8"/>
  <c r="CQK54" i="8"/>
  <c r="CQJ54" i="8"/>
  <c r="CQI54" i="8"/>
  <c r="CQH54" i="8"/>
  <c r="CQG54" i="8"/>
  <c r="CQF54" i="8"/>
  <c r="CQE54" i="8"/>
  <c r="CQD54" i="8"/>
  <c r="CQC54" i="8"/>
  <c r="CQB54" i="8"/>
  <c r="CQA54" i="8"/>
  <c r="CPZ54" i="8"/>
  <c r="CPY54" i="8"/>
  <c r="CPX54" i="8"/>
  <c r="CPW54" i="8"/>
  <c r="CPV54" i="8"/>
  <c r="CPU54" i="8"/>
  <c r="CPT54" i="8"/>
  <c r="CPS54" i="8"/>
  <c r="CPR54" i="8"/>
  <c r="CPQ54" i="8"/>
  <c r="CPP54" i="8"/>
  <c r="CPO54" i="8"/>
  <c r="CPN54" i="8"/>
  <c r="CPM54" i="8"/>
  <c r="CPL54" i="8"/>
  <c r="CPK54" i="8"/>
  <c r="CPJ54" i="8"/>
  <c r="CPI54" i="8"/>
  <c r="CPH54" i="8"/>
  <c r="CPG54" i="8"/>
  <c r="CPF54" i="8"/>
  <c r="CPE54" i="8"/>
  <c r="CPD54" i="8"/>
  <c r="CPC54" i="8"/>
  <c r="CPB54" i="8"/>
  <c r="CPA54" i="8"/>
  <c r="COZ54" i="8"/>
  <c r="COY54" i="8"/>
  <c r="COX54" i="8"/>
  <c r="COW54" i="8"/>
  <c r="COV54" i="8"/>
  <c r="COU54" i="8"/>
  <c r="COT54" i="8"/>
  <c r="COS54" i="8"/>
  <c r="COR54" i="8"/>
  <c r="COQ54" i="8"/>
  <c r="COP54" i="8"/>
  <c r="COO54" i="8"/>
  <c r="CON54" i="8"/>
  <c r="COM54" i="8"/>
  <c r="COL54" i="8"/>
  <c r="COK54" i="8"/>
  <c r="COJ54" i="8"/>
  <c r="COI54" i="8"/>
  <c r="COH54" i="8"/>
  <c r="COG54" i="8"/>
  <c r="COF54" i="8"/>
  <c r="COE54" i="8"/>
  <c r="COD54" i="8"/>
  <c r="COC54" i="8"/>
  <c r="COB54" i="8"/>
  <c r="COA54" i="8"/>
  <c r="CNZ54" i="8"/>
  <c r="CNY54" i="8"/>
  <c r="CNX54" i="8"/>
  <c r="CNW54" i="8"/>
  <c r="CNV54" i="8"/>
  <c r="CNU54" i="8"/>
  <c r="CNT54" i="8"/>
  <c r="CNS54" i="8"/>
  <c r="CNR54" i="8"/>
  <c r="CNQ54" i="8"/>
  <c r="CNP54" i="8"/>
  <c r="CNO54" i="8"/>
  <c r="CNN54" i="8"/>
  <c r="CNM54" i="8"/>
  <c r="CNL54" i="8"/>
  <c r="CNK54" i="8"/>
  <c r="CNJ54" i="8"/>
  <c r="CNI54" i="8"/>
  <c r="CNH54" i="8"/>
  <c r="CNG54" i="8"/>
  <c r="CNF54" i="8"/>
  <c r="CNE54" i="8"/>
  <c r="CND54" i="8"/>
  <c r="CNC54" i="8"/>
  <c r="CNB54" i="8"/>
  <c r="CNA54" i="8"/>
  <c r="CMZ54" i="8"/>
  <c r="CMY54" i="8"/>
  <c r="CMX54" i="8"/>
  <c r="CMW54" i="8"/>
  <c r="CMV54" i="8"/>
  <c r="CMU54" i="8"/>
  <c r="CMT54" i="8"/>
  <c r="CMS54" i="8"/>
  <c r="CMR54" i="8"/>
  <c r="CMQ54" i="8"/>
  <c r="CMP54" i="8"/>
  <c r="CMO54" i="8"/>
  <c r="CMN54" i="8"/>
  <c r="CMM54" i="8"/>
  <c r="CML54" i="8"/>
  <c r="CMK54" i="8"/>
  <c r="CMJ54" i="8"/>
  <c r="CMI54" i="8"/>
  <c r="CMH54" i="8"/>
  <c r="CMG54" i="8"/>
  <c r="CMF54" i="8"/>
  <c r="CME54" i="8"/>
  <c r="CMD54" i="8"/>
  <c r="CMC54" i="8"/>
  <c r="CMB54" i="8"/>
  <c r="CMA54" i="8"/>
  <c r="CLZ54" i="8"/>
  <c r="CLY54" i="8"/>
  <c r="CLX54" i="8"/>
  <c r="CLW54" i="8"/>
  <c r="CLV54" i="8"/>
  <c r="CLU54" i="8"/>
  <c r="CLT54" i="8"/>
  <c r="CLS54" i="8"/>
  <c r="CLR54" i="8"/>
  <c r="CLQ54" i="8"/>
  <c r="CLP54" i="8"/>
  <c r="CLO54" i="8"/>
  <c r="CLN54" i="8"/>
  <c r="CLM54" i="8"/>
  <c r="CLL54" i="8"/>
  <c r="CLK54" i="8"/>
  <c r="CLJ54" i="8"/>
  <c r="CLI54" i="8"/>
  <c r="CLH54" i="8"/>
  <c r="CLG54" i="8"/>
  <c r="CLF54" i="8"/>
  <c r="CLE54" i="8"/>
  <c r="CLD54" i="8"/>
  <c r="CLC54" i="8"/>
  <c r="CLB54" i="8"/>
  <c r="CLA54" i="8"/>
  <c r="CKZ54" i="8"/>
  <c r="CKY54" i="8"/>
  <c r="CKX54" i="8"/>
  <c r="CKW54" i="8"/>
  <c r="CKV54" i="8"/>
  <c r="CKU54" i="8"/>
  <c r="CKT54" i="8"/>
  <c r="CKS54" i="8"/>
  <c r="CKR54" i="8"/>
  <c r="CKQ54" i="8"/>
  <c r="CKP54" i="8"/>
  <c r="CKO54" i="8"/>
  <c r="CKN54" i="8"/>
  <c r="CKM54" i="8"/>
  <c r="CKL54" i="8"/>
  <c r="CKK54" i="8"/>
  <c r="CKJ54" i="8"/>
  <c r="CKI54" i="8"/>
  <c r="CKH54" i="8"/>
  <c r="CKG54" i="8"/>
  <c r="CKF54" i="8"/>
  <c r="CKE54" i="8"/>
  <c r="CKD54" i="8"/>
  <c r="CKC54" i="8"/>
  <c r="CKB54" i="8"/>
  <c r="CKA54" i="8"/>
  <c r="CJZ54" i="8"/>
  <c r="CJY54" i="8"/>
  <c r="CJX54" i="8"/>
  <c r="CJW54" i="8"/>
  <c r="CJV54" i="8"/>
  <c r="CJU54" i="8"/>
  <c r="CJT54" i="8"/>
  <c r="CJS54" i="8"/>
  <c r="CJR54" i="8"/>
  <c r="CJQ54" i="8"/>
  <c r="CJP54" i="8"/>
  <c r="CJO54" i="8"/>
  <c r="CJN54" i="8"/>
  <c r="CJM54" i="8"/>
  <c r="CJL54" i="8"/>
  <c r="CJK54" i="8"/>
  <c r="CJJ54" i="8"/>
  <c r="CJI54" i="8"/>
  <c r="CJH54" i="8"/>
  <c r="CJG54" i="8"/>
  <c r="CJF54" i="8"/>
  <c r="CJE54" i="8"/>
  <c r="CJD54" i="8"/>
  <c r="CJC54" i="8"/>
  <c r="CJB54" i="8"/>
  <c r="CJA54" i="8"/>
  <c r="CIZ54" i="8"/>
  <c r="CIY54" i="8"/>
  <c r="CIX54" i="8"/>
  <c r="CIW54" i="8"/>
  <c r="CIV54" i="8"/>
  <c r="CIU54" i="8"/>
  <c r="CIT54" i="8"/>
  <c r="CIS54" i="8"/>
  <c r="CIR54" i="8"/>
  <c r="CIQ54" i="8"/>
  <c r="CIP54" i="8"/>
  <c r="CIO54" i="8"/>
  <c r="CIN54" i="8"/>
  <c r="CIM54" i="8"/>
  <c r="CIL54" i="8"/>
  <c r="CIK54" i="8"/>
  <c r="CIJ54" i="8"/>
  <c r="CII54" i="8"/>
  <c r="CIH54" i="8"/>
  <c r="CIG54" i="8"/>
  <c r="CIF54" i="8"/>
  <c r="CIE54" i="8"/>
  <c r="CID54" i="8"/>
  <c r="CIC54" i="8"/>
  <c r="CIB54" i="8"/>
  <c r="CIA54" i="8"/>
  <c r="CHZ54" i="8"/>
  <c r="CHY54" i="8"/>
  <c r="CHX54" i="8"/>
  <c r="CHW54" i="8"/>
  <c r="CHV54" i="8"/>
  <c r="CHU54" i="8"/>
  <c r="CHT54" i="8"/>
  <c r="CHS54" i="8"/>
  <c r="CHR54" i="8"/>
  <c r="CHQ54" i="8"/>
  <c r="CHP54" i="8"/>
  <c r="CHO54" i="8"/>
  <c r="CHN54" i="8"/>
  <c r="CHM54" i="8"/>
  <c r="CHL54" i="8"/>
  <c r="CHK54" i="8"/>
  <c r="CHJ54" i="8"/>
  <c r="CHI54" i="8"/>
  <c r="CHH54" i="8"/>
  <c r="CHG54" i="8"/>
  <c r="CHF54" i="8"/>
  <c r="CHE54" i="8"/>
  <c r="CHD54" i="8"/>
  <c r="CHC54" i="8"/>
  <c r="CHB54" i="8"/>
  <c r="CHA54" i="8"/>
  <c r="CGZ54" i="8"/>
  <c r="CGY54" i="8"/>
  <c r="CGX54" i="8"/>
  <c r="CGW54" i="8"/>
  <c r="CGV54" i="8"/>
  <c r="CGU54" i="8"/>
  <c r="CGT54" i="8"/>
  <c r="CGS54" i="8"/>
  <c r="CGR54" i="8"/>
  <c r="CGQ54" i="8"/>
  <c r="CGP54" i="8"/>
  <c r="CGO54" i="8"/>
  <c r="CGN54" i="8"/>
  <c r="CGM54" i="8"/>
  <c r="CGL54" i="8"/>
  <c r="CGK54" i="8"/>
  <c r="CGJ54" i="8"/>
  <c r="CGI54" i="8"/>
  <c r="CGH54" i="8"/>
  <c r="CGG54" i="8"/>
  <c r="CGF54" i="8"/>
  <c r="CGE54" i="8"/>
  <c r="CGD54" i="8"/>
  <c r="CGC54" i="8"/>
  <c r="CGB54" i="8"/>
  <c r="CGA54" i="8"/>
  <c r="CFZ54" i="8"/>
  <c r="CFY54" i="8"/>
  <c r="CFX54" i="8"/>
  <c r="CFW54" i="8"/>
  <c r="CFV54" i="8"/>
  <c r="CFU54" i="8"/>
  <c r="CFT54" i="8"/>
  <c r="CFS54" i="8"/>
  <c r="CFR54" i="8"/>
  <c r="CFQ54" i="8"/>
  <c r="CFP54" i="8"/>
  <c r="CFO54" i="8"/>
  <c r="CFN54" i="8"/>
  <c r="CFM54" i="8"/>
  <c r="CFL54" i="8"/>
  <c r="CFK54" i="8"/>
  <c r="CFJ54" i="8"/>
  <c r="CFI54" i="8"/>
  <c r="CFH54" i="8"/>
  <c r="CFG54" i="8"/>
  <c r="CFF54" i="8"/>
  <c r="CFE54" i="8"/>
  <c r="CFD54" i="8"/>
  <c r="CFC54" i="8"/>
  <c r="CFB54" i="8"/>
  <c r="CFA54" i="8"/>
  <c r="CEZ54" i="8"/>
  <c r="CEY54" i="8"/>
  <c r="CEX54" i="8"/>
  <c r="CEW54" i="8"/>
  <c r="CEV54" i="8"/>
  <c r="CEU54" i="8"/>
  <c r="CET54" i="8"/>
  <c r="CES54" i="8"/>
  <c r="CER54" i="8"/>
  <c r="CEQ54" i="8"/>
  <c r="CEP54" i="8"/>
  <c r="CEO54" i="8"/>
  <c r="CEN54" i="8"/>
  <c r="CEM54" i="8"/>
  <c r="CEL54" i="8"/>
  <c r="CEK54" i="8"/>
  <c r="CEJ54" i="8"/>
  <c r="CEI54" i="8"/>
  <c r="CEH54" i="8"/>
  <c r="CEG54" i="8"/>
  <c r="CEF54" i="8"/>
  <c r="CEE54" i="8"/>
  <c r="CED54" i="8"/>
  <c r="CEC54" i="8"/>
  <c r="CEB54" i="8"/>
  <c r="CEA54" i="8"/>
  <c r="CDZ54" i="8"/>
  <c r="CDY54" i="8"/>
  <c r="CDX54" i="8"/>
  <c r="CDW54" i="8"/>
  <c r="CDV54" i="8"/>
  <c r="CDU54" i="8"/>
  <c r="CDT54" i="8"/>
  <c r="CDS54" i="8"/>
  <c r="CDR54" i="8"/>
  <c r="CDQ54" i="8"/>
  <c r="CDP54" i="8"/>
  <c r="CDO54" i="8"/>
  <c r="CDN54" i="8"/>
  <c r="CDM54" i="8"/>
  <c r="CDL54" i="8"/>
  <c r="CDK54" i="8"/>
  <c r="CDJ54" i="8"/>
  <c r="CDI54" i="8"/>
  <c r="CDH54" i="8"/>
  <c r="CDG54" i="8"/>
  <c r="CDF54" i="8"/>
  <c r="CDE54" i="8"/>
  <c r="CDD54" i="8"/>
  <c r="CDC54" i="8"/>
  <c r="CDB54" i="8"/>
  <c r="CDA54" i="8"/>
  <c r="CCZ54" i="8"/>
  <c r="CCY54" i="8"/>
  <c r="CCX54" i="8"/>
  <c r="CCW54" i="8"/>
  <c r="CCV54" i="8"/>
  <c r="CCU54" i="8"/>
  <c r="CCT54" i="8"/>
  <c r="CCS54" i="8"/>
  <c r="CCR54" i="8"/>
  <c r="CCQ54" i="8"/>
  <c r="CCP54" i="8"/>
  <c r="CCO54" i="8"/>
  <c r="CCN54" i="8"/>
  <c r="CCM54" i="8"/>
  <c r="CCL54" i="8"/>
  <c r="CCK54" i="8"/>
  <c r="CCJ54" i="8"/>
  <c r="CCI54" i="8"/>
  <c r="CCH54" i="8"/>
  <c r="CCG54" i="8"/>
  <c r="CCF54" i="8"/>
  <c r="CCE54" i="8"/>
  <c r="CCD54" i="8"/>
  <c r="CCC54" i="8"/>
  <c r="CCB54" i="8"/>
  <c r="CCA54" i="8"/>
  <c r="CBZ54" i="8"/>
  <c r="CBY54" i="8"/>
  <c r="CBX54" i="8"/>
  <c r="CBW54" i="8"/>
  <c r="CBV54" i="8"/>
  <c r="CBU54" i="8"/>
  <c r="CBT54" i="8"/>
  <c r="CBS54" i="8"/>
  <c r="CBR54" i="8"/>
  <c r="CBQ54" i="8"/>
  <c r="CBP54" i="8"/>
  <c r="CBO54" i="8"/>
  <c r="CBN54" i="8"/>
  <c r="CBM54" i="8"/>
  <c r="CBL54" i="8"/>
  <c r="CBK54" i="8"/>
  <c r="CBJ54" i="8"/>
  <c r="CBI54" i="8"/>
  <c r="CBH54" i="8"/>
  <c r="CBG54" i="8"/>
  <c r="CBF54" i="8"/>
  <c r="CBE54" i="8"/>
  <c r="CBD54" i="8"/>
  <c r="CBC54" i="8"/>
  <c r="CBB54" i="8"/>
  <c r="CBA54" i="8"/>
  <c r="CAZ54" i="8"/>
  <c r="CAY54" i="8"/>
  <c r="CAX54" i="8"/>
  <c r="CAW54" i="8"/>
  <c r="CAV54" i="8"/>
  <c r="CAU54" i="8"/>
  <c r="CAT54" i="8"/>
  <c r="CAS54" i="8"/>
  <c r="CAR54" i="8"/>
  <c r="CAQ54" i="8"/>
  <c r="CAP54" i="8"/>
  <c r="CAO54" i="8"/>
  <c r="CAN54" i="8"/>
  <c r="CAM54" i="8"/>
  <c r="CAL54" i="8"/>
  <c r="CAK54" i="8"/>
  <c r="CAJ54" i="8"/>
  <c r="CAI54" i="8"/>
  <c r="CAH54" i="8"/>
  <c r="CAG54" i="8"/>
  <c r="CAF54" i="8"/>
  <c r="CAE54" i="8"/>
  <c r="CAD54" i="8"/>
  <c r="CAC54" i="8"/>
  <c r="CAB54" i="8"/>
  <c r="CAA54" i="8"/>
  <c r="BZZ54" i="8"/>
  <c r="BZY54" i="8"/>
  <c r="BZX54" i="8"/>
  <c r="BZW54" i="8"/>
  <c r="BZV54" i="8"/>
  <c r="BZU54" i="8"/>
  <c r="BZT54" i="8"/>
  <c r="BZS54" i="8"/>
  <c r="BZR54" i="8"/>
  <c r="BZQ54" i="8"/>
  <c r="BZP54" i="8"/>
  <c r="BZO54" i="8"/>
  <c r="BZN54" i="8"/>
  <c r="BZM54" i="8"/>
  <c r="BZL54" i="8"/>
  <c r="BZK54" i="8"/>
  <c r="BZJ54" i="8"/>
  <c r="BZI54" i="8"/>
  <c r="BZH54" i="8"/>
  <c r="BZG54" i="8"/>
  <c r="BZF54" i="8"/>
  <c r="BZE54" i="8"/>
  <c r="BZD54" i="8"/>
  <c r="BZC54" i="8"/>
  <c r="BZB54" i="8"/>
  <c r="BZA54" i="8"/>
  <c r="BYZ54" i="8"/>
  <c r="BYY54" i="8"/>
  <c r="BYX54" i="8"/>
  <c r="BYW54" i="8"/>
  <c r="BYV54" i="8"/>
  <c r="BYU54" i="8"/>
  <c r="BYT54" i="8"/>
  <c r="BYS54" i="8"/>
  <c r="BYR54" i="8"/>
  <c r="BYQ54" i="8"/>
  <c r="BYP54" i="8"/>
  <c r="BYO54" i="8"/>
  <c r="BYN54" i="8"/>
  <c r="BYM54" i="8"/>
  <c r="BYL54" i="8"/>
  <c r="BYK54" i="8"/>
  <c r="BYJ54" i="8"/>
  <c r="BYI54" i="8"/>
  <c r="BYH54" i="8"/>
  <c r="BYG54" i="8"/>
  <c r="BYF54" i="8"/>
  <c r="BYE54" i="8"/>
  <c r="BYD54" i="8"/>
  <c r="BYC54" i="8"/>
  <c r="BYB54" i="8"/>
  <c r="BYA54" i="8"/>
  <c r="BXZ54" i="8"/>
  <c r="BXY54" i="8"/>
  <c r="BXX54" i="8"/>
  <c r="BXW54" i="8"/>
  <c r="BXV54" i="8"/>
  <c r="BXU54" i="8"/>
  <c r="BXT54" i="8"/>
  <c r="BXS54" i="8"/>
  <c r="BXR54" i="8"/>
  <c r="BXQ54" i="8"/>
  <c r="BXP54" i="8"/>
  <c r="BXO54" i="8"/>
  <c r="BXN54" i="8"/>
  <c r="BXM54" i="8"/>
  <c r="BXL54" i="8"/>
  <c r="BXK54" i="8"/>
  <c r="BXJ54" i="8"/>
  <c r="BXI54" i="8"/>
  <c r="BXH54" i="8"/>
  <c r="BXG54" i="8"/>
  <c r="BXF54" i="8"/>
  <c r="BXE54" i="8"/>
  <c r="BXD54" i="8"/>
  <c r="BXC54" i="8"/>
  <c r="BXB54" i="8"/>
  <c r="BXA54" i="8"/>
  <c r="BWZ54" i="8"/>
  <c r="BWY54" i="8"/>
  <c r="BWX54" i="8"/>
  <c r="BWW54" i="8"/>
  <c r="BWV54" i="8"/>
  <c r="BWU54" i="8"/>
  <c r="BWT54" i="8"/>
  <c r="BWS54" i="8"/>
  <c r="BWR54" i="8"/>
  <c r="BWQ54" i="8"/>
  <c r="BWP54" i="8"/>
  <c r="BWO54" i="8"/>
  <c r="BWN54" i="8"/>
  <c r="BWM54" i="8"/>
  <c r="BWL54" i="8"/>
  <c r="BWK54" i="8"/>
  <c r="BWJ54" i="8"/>
  <c r="BWI54" i="8"/>
  <c r="BWH54" i="8"/>
  <c r="BWG54" i="8"/>
  <c r="BWF54" i="8"/>
  <c r="BWE54" i="8"/>
  <c r="BWD54" i="8"/>
  <c r="BWC54" i="8"/>
  <c r="BWB54" i="8"/>
  <c r="BWA54" i="8"/>
  <c r="BVZ54" i="8"/>
  <c r="BVY54" i="8"/>
  <c r="BVX54" i="8"/>
  <c r="BVW54" i="8"/>
  <c r="BVV54" i="8"/>
  <c r="BVU54" i="8"/>
  <c r="BVT54" i="8"/>
  <c r="BVS54" i="8"/>
  <c r="BVR54" i="8"/>
  <c r="BVQ54" i="8"/>
  <c r="BVP54" i="8"/>
  <c r="BVO54" i="8"/>
  <c r="BVN54" i="8"/>
  <c r="BVM54" i="8"/>
  <c r="BVL54" i="8"/>
  <c r="BVK54" i="8"/>
  <c r="BVJ54" i="8"/>
  <c r="BVI54" i="8"/>
  <c r="BVH54" i="8"/>
  <c r="BVG54" i="8"/>
  <c r="BVF54" i="8"/>
  <c r="BVE54" i="8"/>
  <c r="BVD54" i="8"/>
  <c r="BVC54" i="8"/>
  <c r="BVB54" i="8"/>
  <c r="BVA54" i="8"/>
  <c r="BUZ54" i="8"/>
  <c r="BUY54" i="8"/>
  <c r="BUX54" i="8"/>
  <c r="BUW54" i="8"/>
  <c r="BUV54" i="8"/>
  <c r="BUU54" i="8"/>
  <c r="BUT54" i="8"/>
  <c r="BUS54" i="8"/>
  <c r="BUR54" i="8"/>
  <c r="BUQ54" i="8"/>
  <c r="BUP54" i="8"/>
  <c r="BUO54" i="8"/>
  <c r="BUN54" i="8"/>
  <c r="BUM54" i="8"/>
  <c r="BUL54" i="8"/>
  <c r="BUK54" i="8"/>
  <c r="BUJ54" i="8"/>
  <c r="BUI54" i="8"/>
  <c r="BUH54" i="8"/>
  <c r="BUG54" i="8"/>
  <c r="BUF54" i="8"/>
  <c r="BUE54" i="8"/>
  <c r="BUD54" i="8"/>
  <c r="BUC54" i="8"/>
  <c r="BUB54" i="8"/>
  <c r="BUA54" i="8"/>
  <c r="BTZ54" i="8"/>
  <c r="BTY54" i="8"/>
  <c r="BTX54" i="8"/>
  <c r="BTW54" i="8"/>
  <c r="BTV54" i="8"/>
  <c r="BTU54" i="8"/>
  <c r="BTT54" i="8"/>
  <c r="BTS54" i="8"/>
  <c r="BTR54" i="8"/>
  <c r="BTQ54" i="8"/>
  <c r="BTP54" i="8"/>
  <c r="BTO54" i="8"/>
  <c r="BTN54" i="8"/>
  <c r="BTM54" i="8"/>
  <c r="BTL54" i="8"/>
  <c r="BTK54" i="8"/>
  <c r="BTJ54" i="8"/>
  <c r="BTI54" i="8"/>
  <c r="BTH54" i="8"/>
  <c r="BTG54" i="8"/>
  <c r="BTF54" i="8"/>
  <c r="BTE54" i="8"/>
  <c r="BTD54" i="8"/>
  <c r="BTC54" i="8"/>
  <c r="BTB54" i="8"/>
  <c r="BTA54" i="8"/>
  <c r="BSZ54" i="8"/>
  <c r="BSY54" i="8"/>
  <c r="BSX54" i="8"/>
  <c r="BSW54" i="8"/>
  <c r="BSV54" i="8"/>
  <c r="BSU54" i="8"/>
  <c r="BST54" i="8"/>
  <c r="BSS54" i="8"/>
  <c r="BSR54" i="8"/>
  <c r="BSQ54" i="8"/>
  <c r="BSP54" i="8"/>
  <c r="BSO54" i="8"/>
  <c r="BSN54" i="8"/>
  <c r="BSM54" i="8"/>
  <c r="BSL54" i="8"/>
  <c r="BSK54" i="8"/>
  <c r="BSJ54" i="8"/>
  <c r="BSI54" i="8"/>
  <c r="BSH54" i="8"/>
  <c r="BSG54" i="8"/>
  <c r="BSF54" i="8"/>
  <c r="BSE54" i="8"/>
  <c r="BSD54" i="8"/>
  <c r="BSC54" i="8"/>
  <c r="BSB54" i="8"/>
  <c r="BSA54" i="8"/>
  <c r="BRZ54" i="8"/>
  <c r="BRY54" i="8"/>
  <c r="BRX54" i="8"/>
  <c r="BRW54" i="8"/>
  <c r="BRV54" i="8"/>
  <c r="BRU54" i="8"/>
  <c r="BRT54" i="8"/>
  <c r="BRS54" i="8"/>
  <c r="BRR54" i="8"/>
  <c r="BRQ54" i="8"/>
  <c r="BRP54" i="8"/>
  <c r="BRO54" i="8"/>
  <c r="BRN54" i="8"/>
  <c r="BRM54" i="8"/>
  <c r="BRL54" i="8"/>
  <c r="BRK54" i="8"/>
  <c r="BRJ54" i="8"/>
  <c r="BRI54" i="8"/>
  <c r="BRH54" i="8"/>
  <c r="BRG54" i="8"/>
  <c r="BRF54" i="8"/>
  <c r="BRE54" i="8"/>
  <c r="BRD54" i="8"/>
  <c r="BRC54" i="8"/>
  <c r="BRB54" i="8"/>
  <c r="BRA54" i="8"/>
  <c r="BQZ54" i="8"/>
  <c r="BQY54" i="8"/>
  <c r="BQX54" i="8"/>
  <c r="BQW54" i="8"/>
  <c r="BQV54" i="8"/>
  <c r="BQU54" i="8"/>
  <c r="BQT54" i="8"/>
  <c r="BQS54" i="8"/>
  <c r="BQR54" i="8"/>
  <c r="BQQ54" i="8"/>
  <c r="BQP54" i="8"/>
  <c r="BQO54" i="8"/>
  <c r="BQN54" i="8"/>
  <c r="BQM54" i="8"/>
  <c r="BQL54" i="8"/>
  <c r="BQK54" i="8"/>
  <c r="BQJ54" i="8"/>
  <c r="BQI54" i="8"/>
  <c r="BQH54" i="8"/>
  <c r="BQG54" i="8"/>
  <c r="BQF54" i="8"/>
  <c r="BQE54" i="8"/>
  <c r="BQD54" i="8"/>
  <c r="BQC54" i="8"/>
  <c r="BQB54" i="8"/>
  <c r="BQA54" i="8"/>
  <c r="BPZ54" i="8"/>
  <c r="BPY54" i="8"/>
  <c r="BPX54" i="8"/>
  <c r="BPW54" i="8"/>
  <c r="BPV54" i="8"/>
  <c r="BPU54" i="8"/>
  <c r="BPT54" i="8"/>
  <c r="BPS54" i="8"/>
  <c r="BPR54" i="8"/>
  <c r="BPQ54" i="8"/>
  <c r="BPP54" i="8"/>
  <c r="BPO54" i="8"/>
  <c r="BPN54" i="8"/>
  <c r="BPM54" i="8"/>
  <c r="BPL54" i="8"/>
  <c r="BPK54" i="8"/>
  <c r="BPJ54" i="8"/>
  <c r="BPI54" i="8"/>
  <c r="BPH54" i="8"/>
  <c r="BPG54" i="8"/>
  <c r="BPF54" i="8"/>
  <c r="BPE54" i="8"/>
  <c r="BPD54" i="8"/>
  <c r="BPC54" i="8"/>
  <c r="BPB54" i="8"/>
  <c r="BPA54" i="8"/>
  <c r="BOZ54" i="8"/>
  <c r="BOY54" i="8"/>
  <c r="BOX54" i="8"/>
  <c r="BOW54" i="8"/>
  <c r="BOV54" i="8"/>
  <c r="BOU54" i="8"/>
  <c r="BOT54" i="8"/>
  <c r="BOS54" i="8"/>
  <c r="BOR54" i="8"/>
  <c r="BOQ54" i="8"/>
  <c r="BOP54" i="8"/>
  <c r="BOO54" i="8"/>
  <c r="BON54" i="8"/>
  <c r="BOM54" i="8"/>
  <c r="BOL54" i="8"/>
  <c r="BOK54" i="8"/>
  <c r="BOJ54" i="8"/>
  <c r="BOI54" i="8"/>
  <c r="BOH54" i="8"/>
  <c r="BOG54" i="8"/>
  <c r="BOF54" i="8"/>
  <c r="BOE54" i="8"/>
  <c r="BOD54" i="8"/>
  <c r="BOC54" i="8"/>
  <c r="BOB54" i="8"/>
  <c r="BOA54" i="8"/>
  <c r="BNZ54" i="8"/>
  <c r="BNY54" i="8"/>
  <c r="BNX54" i="8"/>
  <c r="BNW54" i="8"/>
  <c r="BNV54" i="8"/>
  <c r="BNU54" i="8"/>
  <c r="BNT54" i="8"/>
  <c r="BNS54" i="8"/>
  <c r="BNR54" i="8"/>
  <c r="BNQ54" i="8"/>
  <c r="BNP54" i="8"/>
  <c r="BNO54" i="8"/>
  <c r="BNN54" i="8"/>
  <c r="BNM54" i="8"/>
  <c r="BNL54" i="8"/>
  <c r="BNK54" i="8"/>
  <c r="BNJ54" i="8"/>
  <c r="BNI54" i="8"/>
  <c r="BNH54" i="8"/>
  <c r="BNG54" i="8"/>
  <c r="BNF54" i="8"/>
  <c r="BNE54" i="8"/>
  <c r="BND54" i="8"/>
  <c r="BNC54" i="8"/>
  <c r="BNB54" i="8"/>
  <c r="BNA54" i="8"/>
  <c r="BMZ54" i="8"/>
  <c r="BMY54" i="8"/>
  <c r="BMX54" i="8"/>
  <c r="BMW54" i="8"/>
  <c r="BMV54" i="8"/>
  <c r="BMU54" i="8"/>
  <c r="BMT54" i="8"/>
  <c r="BMS54" i="8"/>
  <c r="BMR54" i="8"/>
  <c r="BMQ54" i="8"/>
  <c r="BMP54" i="8"/>
  <c r="BMO54" i="8"/>
  <c r="BMN54" i="8"/>
  <c r="BMM54" i="8"/>
  <c r="BML54" i="8"/>
  <c r="BMK54" i="8"/>
  <c r="BMJ54" i="8"/>
  <c r="BMI54" i="8"/>
  <c r="BMH54" i="8"/>
  <c r="BMG54" i="8"/>
  <c r="BMF54" i="8"/>
  <c r="BME54" i="8"/>
  <c r="BMD54" i="8"/>
  <c r="BMC54" i="8"/>
  <c r="BMB54" i="8"/>
  <c r="BMA54" i="8"/>
  <c r="BLZ54" i="8"/>
  <c r="BLY54" i="8"/>
  <c r="BLX54" i="8"/>
  <c r="BLW54" i="8"/>
  <c r="BLV54" i="8"/>
  <c r="BLU54" i="8"/>
  <c r="BLT54" i="8"/>
  <c r="BLS54" i="8"/>
  <c r="BLR54" i="8"/>
  <c r="BLQ54" i="8"/>
  <c r="BLP54" i="8"/>
  <c r="BLO54" i="8"/>
  <c r="BLN54" i="8"/>
  <c r="BLM54" i="8"/>
  <c r="BLL54" i="8"/>
  <c r="BLK54" i="8"/>
  <c r="BLJ54" i="8"/>
  <c r="BLI54" i="8"/>
  <c r="BLH54" i="8"/>
  <c r="BLG54" i="8"/>
  <c r="BLF54" i="8"/>
  <c r="BLE54" i="8"/>
  <c r="BLD54" i="8"/>
  <c r="BLC54" i="8"/>
  <c r="BLB54" i="8"/>
  <c r="BLA54" i="8"/>
  <c r="BKZ54" i="8"/>
  <c r="BKY54" i="8"/>
  <c r="BKX54" i="8"/>
  <c r="BKW54" i="8"/>
  <c r="BKV54" i="8"/>
  <c r="BKU54" i="8"/>
  <c r="BKT54" i="8"/>
  <c r="BKS54" i="8"/>
  <c r="BKR54" i="8"/>
  <c r="BKQ54" i="8"/>
  <c r="BKP54" i="8"/>
  <c r="BKO54" i="8"/>
  <c r="BKN54" i="8"/>
  <c r="BKM54" i="8"/>
  <c r="BKL54" i="8"/>
  <c r="BKK54" i="8"/>
  <c r="BKJ54" i="8"/>
  <c r="BKI54" i="8"/>
  <c r="BKH54" i="8"/>
  <c r="BKG54" i="8"/>
  <c r="BKF54" i="8"/>
  <c r="BKE54" i="8"/>
  <c r="BKD54" i="8"/>
  <c r="BKC54" i="8"/>
  <c r="BKB54" i="8"/>
  <c r="BKA54" i="8"/>
  <c r="BJZ54" i="8"/>
  <c r="BJY54" i="8"/>
  <c r="BJX54" i="8"/>
  <c r="BJW54" i="8"/>
  <c r="BJV54" i="8"/>
  <c r="BJU54" i="8"/>
  <c r="BJT54" i="8"/>
  <c r="BJS54" i="8"/>
  <c r="BJR54" i="8"/>
  <c r="BJQ54" i="8"/>
  <c r="BJP54" i="8"/>
  <c r="BJO54" i="8"/>
  <c r="BJN54" i="8"/>
  <c r="BJM54" i="8"/>
  <c r="BJL54" i="8"/>
  <c r="BJK54" i="8"/>
  <c r="BJJ54" i="8"/>
  <c r="BJI54" i="8"/>
  <c r="BJH54" i="8"/>
  <c r="BJG54" i="8"/>
  <c r="BJF54" i="8"/>
  <c r="BJE54" i="8"/>
  <c r="BJD54" i="8"/>
  <c r="BJC54" i="8"/>
  <c r="BJB54" i="8"/>
  <c r="BJA54" i="8"/>
  <c r="BIZ54" i="8"/>
  <c r="BIY54" i="8"/>
  <c r="BIX54" i="8"/>
  <c r="BIW54" i="8"/>
  <c r="BIV54" i="8"/>
  <c r="BIU54" i="8"/>
  <c r="BIT54" i="8"/>
  <c r="BIS54" i="8"/>
  <c r="BIR54" i="8"/>
  <c r="BIQ54" i="8"/>
  <c r="BIP54" i="8"/>
  <c r="BIO54" i="8"/>
  <c r="BIN54" i="8"/>
  <c r="BIM54" i="8"/>
  <c r="BIL54" i="8"/>
  <c r="BIK54" i="8"/>
  <c r="BIJ54" i="8"/>
  <c r="BII54" i="8"/>
  <c r="BIH54" i="8"/>
  <c r="BIG54" i="8"/>
  <c r="BIF54" i="8"/>
  <c r="BIE54" i="8"/>
  <c r="BID54" i="8"/>
  <c r="BIC54" i="8"/>
  <c r="BIB54" i="8"/>
  <c r="BIA54" i="8"/>
  <c r="BHZ54" i="8"/>
  <c r="BHY54" i="8"/>
  <c r="BHX54" i="8"/>
  <c r="BHW54" i="8"/>
  <c r="BHV54" i="8"/>
  <c r="BHU54" i="8"/>
  <c r="BHT54" i="8"/>
  <c r="BHS54" i="8"/>
  <c r="BHR54" i="8"/>
  <c r="BHQ54" i="8"/>
  <c r="BHP54" i="8"/>
  <c r="BHO54" i="8"/>
  <c r="BHN54" i="8"/>
  <c r="BHM54" i="8"/>
  <c r="BHL54" i="8"/>
  <c r="BHK54" i="8"/>
  <c r="BHJ54" i="8"/>
  <c r="BHI54" i="8"/>
  <c r="BHH54" i="8"/>
  <c r="BHG54" i="8"/>
  <c r="BHF54" i="8"/>
  <c r="BHE54" i="8"/>
  <c r="BHD54" i="8"/>
  <c r="BHC54" i="8"/>
  <c r="BHB54" i="8"/>
  <c r="BHA54" i="8"/>
  <c r="BGZ54" i="8"/>
  <c r="BGY54" i="8"/>
  <c r="BGX54" i="8"/>
  <c r="BGW54" i="8"/>
  <c r="BGV54" i="8"/>
  <c r="BGU54" i="8"/>
  <c r="BGT54" i="8"/>
  <c r="BGS54" i="8"/>
  <c r="BGR54" i="8"/>
  <c r="BGQ54" i="8"/>
  <c r="BGP54" i="8"/>
  <c r="BGO54" i="8"/>
  <c r="BGN54" i="8"/>
  <c r="BGM54" i="8"/>
  <c r="BGL54" i="8"/>
  <c r="BGK54" i="8"/>
  <c r="BGJ54" i="8"/>
  <c r="BGI54" i="8"/>
  <c r="BGH54" i="8"/>
  <c r="BGG54" i="8"/>
  <c r="BGF54" i="8"/>
  <c r="BGE54" i="8"/>
  <c r="BGD54" i="8"/>
  <c r="BGC54" i="8"/>
  <c r="BGB54" i="8"/>
  <c r="BGA54" i="8"/>
  <c r="BFZ54" i="8"/>
  <c r="BFY54" i="8"/>
  <c r="BFX54" i="8"/>
  <c r="BFW54" i="8"/>
  <c r="BFV54" i="8"/>
  <c r="BFU54" i="8"/>
  <c r="BFT54" i="8"/>
  <c r="BFS54" i="8"/>
  <c r="BFR54" i="8"/>
  <c r="BFQ54" i="8"/>
  <c r="BFP54" i="8"/>
  <c r="BFO54" i="8"/>
  <c r="BFN54" i="8"/>
  <c r="BFM54" i="8"/>
  <c r="BFL54" i="8"/>
  <c r="BFK54" i="8"/>
  <c r="BFJ54" i="8"/>
  <c r="BFI54" i="8"/>
  <c r="BFH54" i="8"/>
  <c r="BFG54" i="8"/>
  <c r="BFF54" i="8"/>
  <c r="BFE54" i="8"/>
  <c r="BFD54" i="8"/>
  <c r="BFC54" i="8"/>
  <c r="BFB54" i="8"/>
  <c r="BFA54" i="8"/>
  <c r="BEZ54" i="8"/>
  <c r="BEY54" i="8"/>
  <c r="BEX54" i="8"/>
  <c r="BEW54" i="8"/>
  <c r="BEV54" i="8"/>
  <c r="BEU54" i="8"/>
  <c r="BET54" i="8"/>
  <c r="BES54" i="8"/>
  <c r="BER54" i="8"/>
  <c r="BEQ54" i="8"/>
  <c r="BEP54" i="8"/>
  <c r="BEO54" i="8"/>
  <c r="BEN54" i="8"/>
  <c r="BEM54" i="8"/>
  <c r="BEL54" i="8"/>
  <c r="BEK54" i="8"/>
  <c r="BEJ54" i="8"/>
  <c r="BEI54" i="8"/>
  <c r="BEH54" i="8"/>
  <c r="BEG54" i="8"/>
  <c r="BEF54" i="8"/>
  <c r="BEE54" i="8"/>
  <c r="BED54" i="8"/>
  <c r="BEC54" i="8"/>
  <c r="BEB54" i="8"/>
  <c r="BEA54" i="8"/>
  <c r="BDZ54" i="8"/>
  <c r="BDY54" i="8"/>
  <c r="BDX54" i="8"/>
  <c r="BDW54" i="8"/>
  <c r="BDV54" i="8"/>
  <c r="BDU54" i="8"/>
  <c r="BDT54" i="8"/>
  <c r="BDS54" i="8"/>
  <c r="BDR54" i="8"/>
  <c r="BDQ54" i="8"/>
  <c r="BDP54" i="8"/>
  <c r="BDO54" i="8"/>
  <c r="BDN54" i="8"/>
  <c r="BDM54" i="8"/>
  <c r="BDL54" i="8"/>
  <c r="BDK54" i="8"/>
  <c r="BDJ54" i="8"/>
  <c r="BDI54" i="8"/>
  <c r="BDH54" i="8"/>
  <c r="BDG54" i="8"/>
  <c r="BDF54" i="8"/>
  <c r="BDE54" i="8"/>
  <c r="BDD54" i="8"/>
  <c r="BDC54" i="8"/>
  <c r="BDB54" i="8"/>
  <c r="BDA54" i="8"/>
  <c r="BCZ54" i="8"/>
  <c r="BCY54" i="8"/>
  <c r="BCX54" i="8"/>
  <c r="BCW54" i="8"/>
  <c r="BCV54" i="8"/>
  <c r="BCU54" i="8"/>
  <c r="BCT54" i="8"/>
  <c r="BCS54" i="8"/>
  <c r="BCR54" i="8"/>
  <c r="BCQ54" i="8"/>
  <c r="BCP54" i="8"/>
  <c r="BCO54" i="8"/>
  <c r="BCN54" i="8"/>
  <c r="BCM54" i="8"/>
  <c r="BCL54" i="8"/>
  <c r="BCK54" i="8"/>
  <c r="BCJ54" i="8"/>
  <c r="BCI54" i="8"/>
  <c r="BCH54" i="8"/>
  <c r="BCG54" i="8"/>
  <c r="BCF54" i="8"/>
  <c r="BCE54" i="8"/>
  <c r="BCD54" i="8"/>
  <c r="BCC54" i="8"/>
  <c r="BCB54" i="8"/>
  <c r="BCA54" i="8"/>
  <c r="BBZ54" i="8"/>
  <c r="BBY54" i="8"/>
  <c r="BBX54" i="8"/>
  <c r="BBW54" i="8"/>
  <c r="BBV54" i="8"/>
  <c r="BBU54" i="8"/>
  <c r="BBT54" i="8"/>
  <c r="BBS54" i="8"/>
  <c r="BBR54" i="8"/>
  <c r="BBQ54" i="8"/>
  <c r="BBP54" i="8"/>
  <c r="BBO54" i="8"/>
  <c r="BBN54" i="8"/>
  <c r="BBM54" i="8"/>
  <c r="BBL54" i="8"/>
  <c r="BBK54" i="8"/>
  <c r="BBJ54" i="8"/>
  <c r="BBI54" i="8"/>
  <c r="BBH54" i="8"/>
  <c r="BBG54" i="8"/>
  <c r="BBF54" i="8"/>
  <c r="BBE54" i="8"/>
  <c r="BBD54" i="8"/>
  <c r="BBC54" i="8"/>
  <c r="BBB54" i="8"/>
  <c r="BBA54" i="8"/>
  <c r="BAZ54" i="8"/>
  <c r="BAY54" i="8"/>
  <c r="BAX54" i="8"/>
  <c r="BAW54" i="8"/>
  <c r="BAV54" i="8"/>
  <c r="BAU54" i="8"/>
  <c r="BAT54" i="8"/>
  <c r="BAS54" i="8"/>
  <c r="BAR54" i="8"/>
  <c r="BAQ54" i="8"/>
  <c r="BAP54" i="8"/>
  <c r="BAO54" i="8"/>
  <c r="BAN54" i="8"/>
  <c r="BAM54" i="8"/>
  <c r="BAL54" i="8"/>
  <c r="BAK54" i="8"/>
  <c r="BAJ54" i="8"/>
  <c r="BAI54" i="8"/>
  <c r="BAH54" i="8"/>
  <c r="BAG54" i="8"/>
  <c r="BAF54" i="8"/>
  <c r="BAE54" i="8"/>
  <c r="BAD54" i="8"/>
  <c r="BAC54" i="8"/>
  <c r="BAB54" i="8"/>
  <c r="BAA54" i="8"/>
  <c r="AZZ54" i="8"/>
  <c r="AZY54" i="8"/>
  <c r="AZX54" i="8"/>
  <c r="AZW54" i="8"/>
  <c r="AZV54" i="8"/>
  <c r="AZU54" i="8"/>
  <c r="AZT54" i="8"/>
  <c r="AZS54" i="8"/>
  <c r="AZR54" i="8"/>
  <c r="AZQ54" i="8"/>
  <c r="AZP54" i="8"/>
  <c r="AZO54" i="8"/>
  <c r="AZN54" i="8"/>
  <c r="AZM54" i="8"/>
  <c r="AZL54" i="8"/>
  <c r="AZK54" i="8"/>
  <c r="AZJ54" i="8"/>
  <c r="AZI54" i="8"/>
  <c r="AZH54" i="8"/>
  <c r="AZG54" i="8"/>
  <c r="AZF54" i="8"/>
  <c r="AZE54" i="8"/>
  <c r="AZD54" i="8"/>
  <c r="AZC54" i="8"/>
  <c r="AZB54" i="8"/>
  <c r="AZA54" i="8"/>
  <c r="AYZ54" i="8"/>
  <c r="AYY54" i="8"/>
  <c r="AYX54" i="8"/>
  <c r="AYW54" i="8"/>
  <c r="AYV54" i="8"/>
  <c r="AYU54" i="8"/>
  <c r="AYT54" i="8"/>
  <c r="AYS54" i="8"/>
  <c r="AYR54" i="8"/>
  <c r="AYQ54" i="8"/>
  <c r="AYP54" i="8"/>
  <c r="AYO54" i="8"/>
  <c r="AYN54" i="8"/>
  <c r="AYM54" i="8"/>
  <c r="AYL54" i="8"/>
  <c r="AYK54" i="8"/>
  <c r="AYJ54" i="8"/>
  <c r="AYI54" i="8"/>
  <c r="AYH54" i="8"/>
  <c r="AYG54" i="8"/>
  <c r="AYF54" i="8"/>
  <c r="AYE54" i="8"/>
  <c r="AYD54" i="8"/>
  <c r="AYC54" i="8"/>
  <c r="AYB54" i="8"/>
  <c r="AYA54" i="8"/>
  <c r="AXZ54" i="8"/>
  <c r="AXY54" i="8"/>
  <c r="AXX54" i="8"/>
  <c r="AXW54" i="8"/>
  <c r="AXV54" i="8"/>
  <c r="AXU54" i="8"/>
  <c r="AXT54" i="8"/>
  <c r="AXS54" i="8"/>
  <c r="AXR54" i="8"/>
  <c r="AXQ54" i="8"/>
  <c r="AXP54" i="8"/>
  <c r="AXO54" i="8"/>
  <c r="AXN54" i="8"/>
  <c r="AXM54" i="8"/>
  <c r="AXL54" i="8"/>
  <c r="AXK54" i="8"/>
  <c r="AXJ54" i="8"/>
  <c r="AXI54" i="8"/>
  <c r="AXH54" i="8"/>
  <c r="AXG54" i="8"/>
  <c r="AXF54" i="8"/>
  <c r="AXE54" i="8"/>
  <c r="AXD54" i="8"/>
  <c r="AXC54" i="8"/>
  <c r="AXB54" i="8"/>
  <c r="AXA54" i="8"/>
  <c r="AWZ54" i="8"/>
  <c r="AWY54" i="8"/>
  <c r="AWX54" i="8"/>
  <c r="AWW54" i="8"/>
  <c r="AWV54" i="8"/>
  <c r="AWU54" i="8"/>
  <c r="AWT54" i="8"/>
  <c r="AWS54" i="8"/>
  <c r="AWR54" i="8"/>
  <c r="AWQ54" i="8"/>
  <c r="AWP54" i="8"/>
  <c r="AWO54" i="8"/>
  <c r="AWN54" i="8"/>
  <c r="AWM54" i="8"/>
  <c r="AWL54" i="8"/>
  <c r="AWK54" i="8"/>
  <c r="AWJ54" i="8"/>
  <c r="AWI54" i="8"/>
  <c r="AWH54" i="8"/>
  <c r="AWG54" i="8"/>
  <c r="AWF54" i="8"/>
  <c r="AWE54" i="8"/>
  <c r="AWD54" i="8"/>
  <c r="AWC54" i="8"/>
  <c r="AWB54" i="8"/>
  <c r="AWA54" i="8"/>
  <c r="AVZ54" i="8"/>
  <c r="AVY54" i="8"/>
  <c r="AVX54" i="8"/>
  <c r="AVW54" i="8"/>
  <c r="AVV54" i="8"/>
  <c r="AVU54" i="8"/>
  <c r="AVT54" i="8"/>
  <c r="AVS54" i="8"/>
  <c r="AVR54" i="8"/>
  <c r="AVQ54" i="8"/>
  <c r="AVP54" i="8"/>
  <c r="AVO54" i="8"/>
  <c r="AVN54" i="8"/>
  <c r="AVM54" i="8"/>
  <c r="AVL54" i="8"/>
  <c r="AVK54" i="8"/>
  <c r="AVJ54" i="8"/>
  <c r="AVI54" i="8"/>
  <c r="AVH54" i="8"/>
  <c r="AVG54" i="8"/>
  <c r="AVF54" i="8"/>
  <c r="AVE54" i="8"/>
  <c r="AVD54" i="8"/>
  <c r="AVC54" i="8"/>
  <c r="AVB54" i="8"/>
  <c r="AVA54" i="8"/>
  <c r="AUZ54" i="8"/>
  <c r="AUY54" i="8"/>
  <c r="AUX54" i="8"/>
  <c r="AUW54" i="8"/>
  <c r="AUV54" i="8"/>
  <c r="AUU54" i="8"/>
  <c r="AUT54" i="8"/>
  <c r="AUS54" i="8"/>
  <c r="AUR54" i="8"/>
  <c r="AUQ54" i="8"/>
  <c r="AUP54" i="8"/>
  <c r="AUO54" i="8"/>
  <c r="AUN54" i="8"/>
  <c r="AUM54" i="8"/>
  <c r="AUL54" i="8"/>
  <c r="AUK54" i="8"/>
  <c r="AUJ54" i="8"/>
  <c r="AUI54" i="8"/>
  <c r="AUH54" i="8"/>
  <c r="AUG54" i="8"/>
  <c r="AUF54" i="8"/>
  <c r="AUE54" i="8"/>
  <c r="AUD54" i="8"/>
  <c r="AUC54" i="8"/>
  <c r="AUB54" i="8"/>
  <c r="AUA54" i="8"/>
  <c r="ATZ54" i="8"/>
  <c r="ATY54" i="8"/>
  <c r="ATX54" i="8"/>
  <c r="ATW54" i="8"/>
  <c r="ATV54" i="8"/>
  <c r="ATU54" i="8"/>
  <c r="ATT54" i="8"/>
  <c r="ATS54" i="8"/>
  <c r="ATR54" i="8"/>
  <c r="ATQ54" i="8"/>
  <c r="ATP54" i="8"/>
  <c r="ATO54" i="8"/>
  <c r="ATN54" i="8"/>
  <c r="ATM54" i="8"/>
  <c r="ATL54" i="8"/>
  <c r="ATK54" i="8"/>
  <c r="ATJ54" i="8"/>
  <c r="ATI54" i="8"/>
  <c r="ATH54" i="8"/>
  <c r="ATG54" i="8"/>
  <c r="ATF54" i="8"/>
  <c r="ATE54" i="8"/>
  <c r="ATD54" i="8"/>
  <c r="ATC54" i="8"/>
  <c r="ATB54" i="8"/>
  <c r="ATA54" i="8"/>
  <c r="ASZ54" i="8"/>
  <c r="ASY54" i="8"/>
  <c r="ASX54" i="8"/>
  <c r="ASW54" i="8"/>
  <c r="ASV54" i="8"/>
  <c r="ASU54" i="8"/>
  <c r="AST54" i="8"/>
  <c r="ASS54" i="8"/>
  <c r="ASR54" i="8"/>
  <c r="ASQ54" i="8"/>
  <c r="ASP54" i="8"/>
  <c r="ASO54" i="8"/>
  <c r="ASN54" i="8"/>
  <c r="ASM54" i="8"/>
  <c r="ASL54" i="8"/>
  <c r="ASK54" i="8"/>
  <c r="ASJ54" i="8"/>
  <c r="ASI54" i="8"/>
  <c r="ASH54" i="8"/>
  <c r="ASG54" i="8"/>
  <c r="ASF54" i="8"/>
  <c r="ASE54" i="8"/>
  <c r="ASD54" i="8"/>
  <c r="ASC54" i="8"/>
  <c r="ASB54" i="8"/>
  <c r="ASA54" i="8"/>
  <c r="ARZ54" i="8"/>
  <c r="ARY54" i="8"/>
  <c r="ARX54" i="8"/>
  <c r="ARW54" i="8"/>
  <c r="ARV54" i="8"/>
  <c r="ARU54" i="8"/>
  <c r="ART54" i="8"/>
  <c r="ARS54" i="8"/>
  <c r="ARR54" i="8"/>
  <c r="ARQ54" i="8"/>
  <c r="ARP54" i="8"/>
  <c r="ARO54" i="8"/>
  <c r="ARN54" i="8"/>
  <c r="ARM54" i="8"/>
  <c r="ARL54" i="8"/>
  <c r="ARK54" i="8"/>
  <c r="ARJ54" i="8"/>
  <c r="ARI54" i="8"/>
  <c r="ARH54" i="8"/>
  <c r="ARG54" i="8"/>
  <c r="ARF54" i="8"/>
  <c r="ARE54" i="8"/>
  <c r="ARD54" i="8"/>
  <c r="ARC54" i="8"/>
  <c r="ARB54" i="8"/>
  <c r="ARA54" i="8"/>
  <c r="AQZ54" i="8"/>
  <c r="AQY54" i="8"/>
  <c r="AQX54" i="8"/>
  <c r="AQW54" i="8"/>
  <c r="AQV54" i="8"/>
  <c r="AQU54" i="8"/>
  <c r="AQT54" i="8"/>
  <c r="AQS54" i="8"/>
  <c r="AQR54" i="8"/>
  <c r="AQQ54" i="8"/>
  <c r="AQP54" i="8"/>
  <c r="AQO54" i="8"/>
  <c r="AQN54" i="8"/>
  <c r="AQM54" i="8"/>
  <c r="AQL54" i="8"/>
  <c r="AQK54" i="8"/>
  <c r="AQJ54" i="8"/>
  <c r="AQI54" i="8"/>
  <c r="AQH54" i="8"/>
  <c r="AQG54" i="8"/>
  <c r="AQF54" i="8"/>
  <c r="AQE54" i="8"/>
  <c r="AQD54" i="8"/>
  <c r="AQC54" i="8"/>
  <c r="AQB54" i="8"/>
  <c r="AQA54" i="8"/>
  <c r="APZ54" i="8"/>
  <c r="APY54" i="8"/>
  <c r="APX54" i="8"/>
  <c r="APW54" i="8"/>
  <c r="APV54" i="8"/>
  <c r="APU54" i="8"/>
  <c r="APT54" i="8"/>
  <c r="APS54" i="8"/>
  <c r="APR54" i="8"/>
  <c r="APQ54" i="8"/>
  <c r="APP54" i="8"/>
  <c r="APO54" i="8"/>
  <c r="APN54" i="8"/>
  <c r="APM54" i="8"/>
  <c r="APL54" i="8"/>
  <c r="APK54" i="8"/>
  <c r="APJ54" i="8"/>
  <c r="API54" i="8"/>
  <c r="APH54" i="8"/>
  <c r="APG54" i="8"/>
  <c r="APF54" i="8"/>
  <c r="APE54" i="8"/>
  <c r="APD54" i="8"/>
  <c r="APC54" i="8"/>
  <c r="APB54" i="8"/>
  <c r="APA54" i="8"/>
  <c r="AOZ54" i="8"/>
  <c r="AOY54" i="8"/>
  <c r="AOX54" i="8"/>
  <c r="AOW54" i="8"/>
  <c r="AOV54" i="8"/>
  <c r="AOU54" i="8"/>
  <c r="AOT54" i="8"/>
  <c r="AOS54" i="8"/>
  <c r="AOR54" i="8"/>
  <c r="AOQ54" i="8"/>
  <c r="AOP54" i="8"/>
  <c r="AOO54" i="8"/>
  <c r="AON54" i="8"/>
  <c r="AOM54" i="8"/>
  <c r="AOL54" i="8"/>
  <c r="AOK54" i="8"/>
  <c r="AOJ54" i="8"/>
  <c r="AOI54" i="8"/>
  <c r="AOH54" i="8"/>
  <c r="AOG54" i="8"/>
  <c r="AOF54" i="8"/>
  <c r="AOE54" i="8"/>
  <c r="AOD54" i="8"/>
  <c r="AOC54" i="8"/>
  <c r="AOB54" i="8"/>
  <c r="AOA54" i="8"/>
  <c r="ANZ54" i="8"/>
  <c r="ANY54" i="8"/>
  <c r="ANX54" i="8"/>
  <c r="ANW54" i="8"/>
  <c r="ANV54" i="8"/>
  <c r="ANU54" i="8"/>
  <c r="ANT54" i="8"/>
  <c r="ANS54" i="8"/>
  <c r="ANR54" i="8"/>
  <c r="ANQ54" i="8"/>
  <c r="ANP54" i="8"/>
  <c r="ANO54" i="8"/>
  <c r="ANN54" i="8"/>
  <c r="ANM54" i="8"/>
  <c r="ANL54" i="8"/>
  <c r="ANK54" i="8"/>
  <c r="ANJ54" i="8"/>
  <c r="ANI54" i="8"/>
  <c r="ANH54" i="8"/>
  <c r="ANG54" i="8"/>
  <c r="ANF54" i="8"/>
  <c r="ANE54" i="8"/>
  <c r="AND54" i="8"/>
  <c r="ANC54" i="8"/>
  <c r="ANB54" i="8"/>
  <c r="ANA54" i="8"/>
  <c r="AMZ54" i="8"/>
  <c r="AMY54" i="8"/>
  <c r="AMX54" i="8"/>
  <c r="AMW54" i="8"/>
  <c r="AMV54" i="8"/>
  <c r="AMU54" i="8"/>
  <c r="AMT54" i="8"/>
  <c r="AMS54" i="8"/>
  <c r="AMR54" i="8"/>
  <c r="AMQ54" i="8"/>
  <c r="AMP54" i="8"/>
  <c r="AMO54" i="8"/>
  <c r="AMN54" i="8"/>
  <c r="AMM54" i="8"/>
  <c r="AML54" i="8"/>
  <c r="AMK54" i="8"/>
  <c r="AMJ54" i="8"/>
  <c r="AMI54" i="8"/>
  <c r="AMH54" i="8"/>
  <c r="AMG54" i="8"/>
  <c r="AMF54" i="8"/>
  <c r="AME54" i="8"/>
  <c r="AMD54" i="8"/>
  <c r="AMC54" i="8"/>
  <c r="AMB54" i="8"/>
  <c r="AMA54" i="8"/>
  <c r="ALZ54" i="8"/>
  <c r="ALY54" i="8"/>
  <c r="ALX54" i="8"/>
  <c r="ALW54" i="8"/>
  <c r="ALV54" i="8"/>
  <c r="ALU54" i="8"/>
  <c r="ALT54" i="8"/>
  <c r="ALS54" i="8"/>
  <c r="ALR54" i="8"/>
  <c r="ALQ54" i="8"/>
  <c r="ALP54" i="8"/>
  <c r="ALO54" i="8"/>
  <c r="ALN54" i="8"/>
  <c r="ALM54" i="8"/>
  <c r="ALL54" i="8"/>
  <c r="ALK54" i="8"/>
  <c r="ALJ54" i="8"/>
  <c r="ALI54" i="8"/>
  <c r="ALH54" i="8"/>
  <c r="ALG54" i="8"/>
  <c r="ALF54" i="8"/>
  <c r="ALE54" i="8"/>
  <c r="ALD54" i="8"/>
  <c r="ALC54" i="8"/>
  <c r="ALB54" i="8"/>
  <c r="ALA54" i="8"/>
  <c r="AKZ54" i="8"/>
  <c r="AKY54" i="8"/>
  <c r="AKX54" i="8"/>
  <c r="AKW54" i="8"/>
  <c r="AKV54" i="8"/>
  <c r="AKU54" i="8"/>
  <c r="AKT54" i="8"/>
  <c r="AKS54" i="8"/>
  <c r="AKR54" i="8"/>
  <c r="AKQ54" i="8"/>
  <c r="AKP54" i="8"/>
  <c r="AKO54" i="8"/>
  <c r="AKN54" i="8"/>
  <c r="AKM54" i="8"/>
  <c r="AKL54" i="8"/>
  <c r="AKK54" i="8"/>
  <c r="AKJ54" i="8"/>
  <c r="AKI54" i="8"/>
  <c r="AKH54" i="8"/>
  <c r="AKG54" i="8"/>
  <c r="AKF54" i="8"/>
  <c r="AKE54" i="8"/>
  <c r="AKD54" i="8"/>
  <c r="AKC54" i="8"/>
  <c r="AKB54" i="8"/>
  <c r="AKA54" i="8"/>
  <c r="AJZ54" i="8"/>
  <c r="AJY54" i="8"/>
  <c r="AJX54" i="8"/>
  <c r="AJW54" i="8"/>
  <c r="AJV54" i="8"/>
  <c r="AJU54" i="8"/>
  <c r="AJT54" i="8"/>
  <c r="AJS54" i="8"/>
  <c r="AJR54" i="8"/>
  <c r="AJQ54" i="8"/>
  <c r="AJP54" i="8"/>
  <c r="AJO54" i="8"/>
  <c r="AJN54" i="8"/>
  <c r="AJM54" i="8"/>
  <c r="AJL54" i="8"/>
  <c r="AJK54" i="8"/>
  <c r="AJJ54" i="8"/>
  <c r="AJI54" i="8"/>
  <c r="AJH54" i="8"/>
  <c r="AJG54" i="8"/>
  <c r="AJF54" i="8"/>
  <c r="AJE54" i="8"/>
  <c r="AJD54" i="8"/>
  <c r="AJC54" i="8"/>
  <c r="AJB54" i="8"/>
  <c r="AJA54" i="8"/>
  <c r="AIZ54" i="8"/>
  <c r="AIY54" i="8"/>
  <c r="AIX54" i="8"/>
  <c r="AIW54" i="8"/>
  <c r="AIV54" i="8"/>
  <c r="AIU54" i="8"/>
  <c r="AIT54" i="8"/>
  <c r="AIS54" i="8"/>
  <c r="AIR54" i="8"/>
  <c r="AIQ54" i="8"/>
  <c r="AIP54" i="8"/>
  <c r="AIO54" i="8"/>
  <c r="AIN54" i="8"/>
  <c r="AIM54" i="8"/>
  <c r="AIL54" i="8"/>
  <c r="AIK54" i="8"/>
  <c r="AIJ54" i="8"/>
  <c r="AII54" i="8"/>
  <c r="AIH54" i="8"/>
  <c r="AIG54" i="8"/>
  <c r="AIF54" i="8"/>
  <c r="AIE54" i="8"/>
  <c r="AID54" i="8"/>
  <c r="AIC54" i="8"/>
  <c r="AIB54" i="8"/>
  <c r="AIA54" i="8"/>
  <c r="AHZ54" i="8"/>
  <c r="AHY54" i="8"/>
  <c r="AHX54" i="8"/>
  <c r="AHW54" i="8"/>
  <c r="AHV54" i="8"/>
  <c r="AHU54" i="8"/>
  <c r="AHT54" i="8"/>
  <c r="AHS54" i="8"/>
  <c r="AHR54" i="8"/>
  <c r="AHQ54" i="8"/>
  <c r="AHP54" i="8"/>
  <c r="AHO54" i="8"/>
  <c r="AHN54" i="8"/>
  <c r="AHM54" i="8"/>
  <c r="AHL54" i="8"/>
  <c r="AHK54" i="8"/>
  <c r="AHJ54" i="8"/>
  <c r="AHI54" i="8"/>
  <c r="AHH54" i="8"/>
  <c r="AHG54" i="8"/>
  <c r="AHF54" i="8"/>
  <c r="AHE54" i="8"/>
  <c r="AHD54" i="8"/>
  <c r="AHC54" i="8"/>
  <c r="AHB54" i="8"/>
  <c r="AHA54" i="8"/>
  <c r="AGZ54" i="8"/>
  <c r="AGY54" i="8"/>
  <c r="AGX54" i="8"/>
  <c r="AGW54" i="8"/>
  <c r="AGV54" i="8"/>
  <c r="AGU54" i="8"/>
  <c r="AGT54" i="8"/>
  <c r="AGS54" i="8"/>
  <c r="AGR54" i="8"/>
  <c r="AGQ54" i="8"/>
  <c r="AGP54" i="8"/>
  <c r="AGO54" i="8"/>
  <c r="AGN54" i="8"/>
  <c r="AGM54" i="8"/>
  <c r="AGL54" i="8"/>
  <c r="AGK54" i="8"/>
  <c r="AGJ54" i="8"/>
  <c r="AGI54" i="8"/>
  <c r="AGH54" i="8"/>
  <c r="AGG54" i="8"/>
  <c r="AGF54" i="8"/>
  <c r="AGE54" i="8"/>
  <c r="AGD54" i="8"/>
  <c r="AGC54" i="8"/>
  <c r="AGB54" i="8"/>
  <c r="AGA54" i="8"/>
  <c r="AFZ54" i="8"/>
  <c r="AFY54" i="8"/>
  <c r="AFX54" i="8"/>
  <c r="AFW54" i="8"/>
  <c r="AFV54" i="8"/>
  <c r="AFU54" i="8"/>
  <c r="AFT54" i="8"/>
  <c r="AFS54" i="8"/>
  <c r="AFR54" i="8"/>
  <c r="AFQ54" i="8"/>
  <c r="AFP54" i="8"/>
  <c r="AFO54" i="8"/>
  <c r="AFN54" i="8"/>
  <c r="AFM54" i="8"/>
  <c r="AFL54" i="8"/>
  <c r="AFK54" i="8"/>
  <c r="AFJ54" i="8"/>
  <c r="AFI54" i="8"/>
  <c r="AFH54" i="8"/>
  <c r="AFG54" i="8"/>
  <c r="AFF54" i="8"/>
  <c r="AFE54" i="8"/>
  <c r="AFD54" i="8"/>
  <c r="AFC54" i="8"/>
  <c r="AFB54" i="8"/>
  <c r="AFA54" i="8"/>
  <c r="AEZ54" i="8"/>
  <c r="AEY54" i="8"/>
  <c r="AEX54" i="8"/>
  <c r="AEW54" i="8"/>
  <c r="AEV54" i="8"/>
  <c r="AEU54" i="8"/>
  <c r="AET54" i="8"/>
  <c r="AES54" i="8"/>
  <c r="AER54" i="8"/>
  <c r="AEQ54" i="8"/>
  <c r="AEP54" i="8"/>
  <c r="AEO54" i="8"/>
  <c r="AEN54" i="8"/>
  <c r="AEM54" i="8"/>
  <c r="AEL54" i="8"/>
  <c r="AEK54" i="8"/>
  <c r="AEJ54" i="8"/>
  <c r="AEI54" i="8"/>
  <c r="AEH54" i="8"/>
  <c r="AEG54" i="8"/>
  <c r="AEF54" i="8"/>
  <c r="AEE54" i="8"/>
  <c r="AED54" i="8"/>
  <c r="AEC54" i="8"/>
  <c r="AEB54" i="8"/>
  <c r="AEA54" i="8"/>
  <c r="ADZ54" i="8"/>
  <c r="ADY54" i="8"/>
  <c r="ADX54" i="8"/>
  <c r="ADW54" i="8"/>
  <c r="ADV54" i="8"/>
  <c r="ADU54" i="8"/>
  <c r="ADT54" i="8"/>
  <c r="ADS54" i="8"/>
  <c r="ADR54" i="8"/>
  <c r="ADQ54" i="8"/>
  <c r="ADP54" i="8"/>
  <c r="ADO54" i="8"/>
  <c r="ADN54" i="8"/>
  <c r="ADM54" i="8"/>
  <c r="ADL54" i="8"/>
  <c r="ADK54" i="8"/>
  <c r="ADJ54" i="8"/>
  <c r="ADI54" i="8"/>
  <c r="ADH54" i="8"/>
  <c r="ADG54" i="8"/>
  <c r="ADF54" i="8"/>
  <c r="ADE54" i="8"/>
  <c r="ADD54" i="8"/>
  <c r="ADC54" i="8"/>
  <c r="ADB54" i="8"/>
  <c r="ADA54" i="8"/>
  <c r="ACZ54" i="8"/>
  <c r="ACY54" i="8"/>
  <c r="ACX54" i="8"/>
  <c r="ACW54" i="8"/>
  <c r="ACV54" i="8"/>
  <c r="ACU54" i="8"/>
  <c r="ACT54" i="8"/>
  <c r="ACS54" i="8"/>
  <c r="ACR54" i="8"/>
  <c r="ACQ54" i="8"/>
  <c r="ACP54" i="8"/>
  <c r="ACO54" i="8"/>
  <c r="ACN54" i="8"/>
  <c r="ACM54" i="8"/>
  <c r="ACL54" i="8"/>
  <c r="ACK54" i="8"/>
  <c r="ACJ54" i="8"/>
  <c r="ACI54" i="8"/>
  <c r="ACH54" i="8"/>
  <c r="ACG54" i="8"/>
  <c r="ACF54" i="8"/>
  <c r="ACE54" i="8"/>
  <c r="ACD54" i="8"/>
  <c r="ACC54" i="8"/>
  <c r="ACB54" i="8"/>
  <c r="ACA54" i="8"/>
  <c r="ABZ54" i="8"/>
  <c r="ABY54" i="8"/>
  <c r="ABX54" i="8"/>
  <c r="ABW54" i="8"/>
  <c r="ABV54" i="8"/>
  <c r="ABU54" i="8"/>
  <c r="ABT54" i="8"/>
  <c r="ABS54" i="8"/>
  <c r="ABR54" i="8"/>
  <c r="ABQ54" i="8"/>
  <c r="ABP54" i="8"/>
  <c r="ABO54" i="8"/>
  <c r="ABN54" i="8"/>
  <c r="ABM54" i="8"/>
  <c r="ABL54" i="8"/>
  <c r="ABK54" i="8"/>
  <c r="ABJ54" i="8"/>
  <c r="ABI54" i="8"/>
  <c r="ABH54" i="8"/>
  <c r="ABG54" i="8"/>
  <c r="ABF54" i="8"/>
  <c r="ABE54" i="8"/>
  <c r="ABD54" i="8"/>
  <c r="ABC54" i="8"/>
  <c r="ABB54" i="8"/>
  <c r="ABA54" i="8"/>
  <c r="AAZ54" i="8"/>
  <c r="AAY54" i="8"/>
  <c r="AAX54" i="8"/>
  <c r="AAW54" i="8"/>
  <c r="AAV54" i="8"/>
  <c r="AAU54" i="8"/>
  <c r="AAT54" i="8"/>
  <c r="AAS54" i="8"/>
  <c r="AAR54" i="8"/>
  <c r="AAQ54" i="8"/>
  <c r="AAP54" i="8"/>
  <c r="AAO54" i="8"/>
  <c r="AAN54" i="8"/>
  <c r="AAM54" i="8"/>
  <c r="AAL54" i="8"/>
  <c r="AAK54" i="8"/>
  <c r="AAJ54" i="8"/>
  <c r="AAI54" i="8"/>
  <c r="AAH54" i="8"/>
  <c r="AAG54" i="8"/>
  <c r="AAF54" i="8"/>
  <c r="AAE54" i="8"/>
  <c r="AAD54" i="8"/>
  <c r="AAC54" i="8"/>
  <c r="AAB54" i="8"/>
  <c r="AAA54" i="8"/>
  <c r="ZZ54" i="8"/>
  <c r="ZY54" i="8"/>
  <c r="ZX54" i="8"/>
  <c r="ZW54" i="8"/>
  <c r="ZV54" i="8"/>
  <c r="ZU54" i="8"/>
  <c r="ZT54" i="8"/>
  <c r="ZS54" i="8"/>
  <c r="ZR54" i="8"/>
  <c r="ZQ54" i="8"/>
  <c r="ZP54" i="8"/>
  <c r="ZO54" i="8"/>
  <c r="ZN54" i="8"/>
  <c r="ZM54" i="8"/>
  <c r="ZL54" i="8"/>
  <c r="ZK54" i="8"/>
  <c r="ZJ54" i="8"/>
  <c r="ZI54" i="8"/>
  <c r="ZH54" i="8"/>
  <c r="ZG54" i="8"/>
  <c r="ZF54" i="8"/>
  <c r="ZE54" i="8"/>
  <c r="ZD54" i="8"/>
  <c r="ZC54" i="8"/>
  <c r="ZB54" i="8"/>
  <c r="ZA54" i="8"/>
  <c r="YZ54" i="8"/>
  <c r="YY54" i="8"/>
  <c r="YX54" i="8"/>
  <c r="YW54" i="8"/>
  <c r="YV54" i="8"/>
  <c r="YU54" i="8"/>
  <c r="YT54" i="8"/>
  <c r="YS54" i="8"/>
  <c r="YR54" i="8"/>
  <c r="YQ54" i="8"/>
  <c r="YP54" i="8"/>
  <c r="YO54" i="8"/>
  <c r="YN54" i="8"/>
  <c r="YM54" i="8"/>
  <c r="YL54" i="8"/>
  <c r="YK54" i="8"/>
  <c r="YJ54" i="8"/>
  <c r="YI54" i="8"/>
  <c r="YH54" i="8"/>
  <c r="YG54" i="8"/>
  <c r="YF54" i="8"/>
  <c r="YE54" i="8"/>
  <c r="YD54" i="8"/>
  <c r="YC54" i="8"/>
  <c r="YB54" i="8"/>
  <c r="YA54" i="8"/>
  <c r="XZ54" i="8"/>
  <c r="XY54" i="8"/>
  <c r="XX54" i="8"/>
  <c r="XW54" i="8"/>
  <c r="XV54" i="8"/>
  <c r="XU54" i="8"/>
  <c r="XT54" i="8"/>
  <c r="XS54" i="8"/>
  <c r="XR54" i="8"/>
  <c r="XQ54" i="8"/>
  <c r="XP54" i="8"/>
  <c r="XO54" i="8"/>
  <c r="XN54" i="8"/>
  <c r="XM54" i="8"/>
  <c r="XL54" i="8"/>
  <c r="XK54" i="8"/>
  <c r="XJ54" i="8"/>
  <c r="XI54" i="8"/>
  <c r="XH54" i="8"/>
  <c r="XG54" i="8"/>
  <c r="XF54" i="8"/>
  <c r="XE54" i="8"/>
  <c r="XD54" i="8"/>
  <c r="XC54" i="8"/>
  <c r="XB54" i="8"/>
  <c r="XA54" i="8"/>
  <c r="WZ54" i="8"/>
  <c r="WY54" i="8"/>
  <c r="WX54" i="8"/>
  <c r="WW54" i="8"/>
  <c r="WV54" i="8"/>
  <c r="WU54" i="8"/>
  <c r="WT54" i="8"/>
  <c r="WS54" i="8"/>
  <c r="WR54" i="8"/>
  <c r="WQ54" i="8"/>
  <c r="WP54" i="8"/>
  <c r="WO54" i="8"/>
  <c r="WN54" i="8"/>
  <c r="WM54" i="8"/>
  <c r="WL54" i="8"/>
  <c r="WK54" i="8"/>
  <c r="WJ54" i="8"/>
  <c r="WI54" i="8"/>
  <c r="WH54" i="8"/>
  <c r="WG54" i="8"/>
  <c r="WF54" i="8"/>
  <c r="WE54" i="8"/>
  <c r="WD54" i="8"/>
  <c r="WC54" i="8"/>
  <c r="WB54" i="8"/>
  <c r="WA54" i="8"/>
  <c r="VZ54" i="8"/>
  <c r="VY54" i="8"/>
  <c r="VX54" i="8"/>
  <c r="VW54" i="8"/>
  <c r="VV54" i="8"/>
  <c r="VU54" i="8"/>
  <c r="VT54" i="8"/>
  <c r="VS54" i="8"/>
  <c r="VR54" i="8"/>
  <c r="VQ54" i="8"/>
  <c r="VP54" i="8"/>
  <c r="VO54" i="8"/>
  <c r="VN54" i="8"/>
  <c r="VM54" i="8"/>
  <c r="VL54" i="8"/>
  <c r="VK54" i="8"/>
  <c r="VJ54" i="8"/>
  <c r="VI54" i="8"/>
  <c r="VH54" i="8"/>
  <c r="VG54" i="8"/>
  <c r="VF54" i="8"/>
  <c r="VE54" i="8"/>
  <c r="VD54" i="8"/>
  <c r="VC54" i="8"/>
  <c r="VB54" i="8"/>
  <c r="VA54" i="8"/>
  <c r="UZ54" i="8"/>
  <c r="UY54" i="8"/>
  <c r="UX54" i="8"/>
  <c r="UW54" i="8"/>
  <c r="UV54" i="8"/>
  <c r="UU54" i="8"/>
  <c r="UT54" i="8"/>
  <c r="US54" i="8"/>
  <c r="UR54" i="8"/>
  <c r="UQ54" i="8"/>
  <c r="UP54" i="8"/>
  <c r="UO54" i="8"/>
  <c r="UN54" i="8"/>
  <c r="UM54" i="8"/>
  <c r="UL54" i="8"/>
  <c r="UK54" i="8"/>
  <c r="UJ54" i="8"/>
  <c r="UI54" i="8"/>
  <c r="UH54" i="8"/>
  <c r="UG54" i="8"/>
  <c r="UF54" i="8"/>
  <c r="UE54" i="8"/>
  <c r="UD54" i="8"/>
  <c r="UC54" i="8"/>
  <c r="UB54" i="8"/>
  <c r="UA54" i="8"/>
  <c r="TZ54" i="8"/>
  <c r="TY54" i="8"/>
  <c r="TX54" i="8"/>
  <c r="TW54" i="8"/>
  <c r="TV54" i="8"/>
  <c r="TU54" i="8"/>
  <c r="TT54" i="8"/>
  <c r="TS54" i="8"/>
  <c r="TR54" i="8"/>
  <c r="TQ54" i="8"/>
  <c r="TP54" i="8"/>
  <c r="TO54" i="8"/>
  <c r="TN54" i="8"/>
  <c r="TM54" i="8"/>
  <c r="TL54" i="8"/>
  <c r="TK54" i="8"/>
  <c r="TJ54" i="8"/>
  <c r="TI54" i="8"/>
  <c r="TH54" i="8"/>
  <c r="TG54" i="8"/>
  <c r="TF54" i="8"/>
  <c r="TE54" i="8"/>
  <c r="TD54" i="8"/>
  <c r="TC54" i="8"/>
  <c r="TB54" i="8"/>
  <c r="TA54" i="8"/>
  <c r="SZ54" i="8"/>
  <c r="SY54" i="8"/>
  <c r="SX54" i="8"/>
  <c r="SW54" i="8"/>
  <c r="SV54" i="8"/>
  <c r="SU54" i="8"/>
  <c r="ST54" i="8"/>
  <c r="SS54" i="8"/>
  <c r="SR54" i="8"/>
  <c r="SQ54" i="8"/>
  <c r="SP54" i="8"/>
  <c r="SO54" i="8"/>
  <c r="SN54" i="8"/>
  <c r="SM54" i="8"/>
  <c r="SL54" i="8"/>
  <c r="SK54" i="8"/>
  <c r="SJ54" i="8"/>
  <c r="SI54" i="8"/>
  <c r="SH54" i="8"/>
  <c r="SG54" i="8"/>
  <c r="SF54" i="8"/>
  <c r="SE54" i="8"/>
  <c r="SD54" i="8"/>
  <c r="SC54" i="8"/>
  <c r="SB54" i="8"/>
  <c r="SA54" i="8"/>
  <c r="RZ54" i="8"/>
  <c r="RY54" i="8"/>
  <c r="RX54" i="8"/>
  <c r="RW54" i="8"/>
  <c r="RV54" i="8"/>
  <c r="RU54" i="8"/>
  <c r="RT54" i="8"/>
  <c r="RS54" i="8"/>
  <c r="RR54" i="8"/>
  <c r="RQ54" i="8"/>
  <c r="RP54" i="8"/>
  <c r="RO54" i="8"/>
  <c r="RN54" i="8"/>
  <c r="RM54" i="8"/>
  <c r="RL54" i="8"/>
  <c r="RK54" i="8"/>
  <c r="RJ54" i="8"/>
  <c r="RI54" i="8"/>
  <c r="RH54" i="8"/>
  <c r="RG54" i="8"/>
  <c r="RF54" i="8"/>
  <c r="RE54" i="8"/>
  <c r="RD54" i="8"/>
  <c r="RC54" i="8"/>
  <c r="RB54" i="8"/>
  <c r="RA54" i="8"/>
  <c r="QZ54" i="8"/>
  <c r="QY54" i="8"/>
  <c r="QX54" i="8"/>
  <c r="QW54" i="8"/>
  <c r="QV54" i="8"/>
  <c r="QU54" i="8"/>
  <c r="QT54" i="8"/>
  <c r="QS54" i="8"/>
  <c r="QR54" i="8"/>
  <c r="QQ54" i="8"/>
  <c r="QP54" i="8"/>
  <c r="QO54" i="8"/>
  <c r="QN54" i="8"/>
  <c r="QM54" i="8"/>
  <c r="QL54" i="8"/>
  <c r="QK54" i="8"/>
  <c r="QJ54" i="8"/>
  <c r="QI54" i="8"/>
  <c r="QH54" i="8"/>
  <c r="QG54" i="8"/>
  <c r="QF54" i="8"/>
  <c r="QE54" i="8"/>
  <c r="QD54" i="8"/>
  <c r="QC54" i="8"/>
  <c r="QB54" i="8"/>
  <c r="QA54" i="8"/>
  <c r="PZ54" i="8"/>
  <c r="PY54" i="8"/>
  <c r="PX54" i="8"/>
  <c r="PW54" i="8"/>
  <c r="PV54" i="8"/>
  <c r="PU54" i="8"/>
  <c r="PT54" i="8"/>
  <c r="PS54" i="8"/>
  <c r="PR54" i="8"/>
  <c r="PQ54" i="8"/>
  <c r="PP54" i="8"/>
  <c r="PO54" i="8"/>
  <c r="PN54" i="8"/>
  <c r="PM54" i="8"/>
  <c r="PL54" i="8"/>
  <c r="PK54" i="8"/>
  <c r="PJ54" i="8"/>
  <c r="PI54" i="8"/>
  <c r="PH54" i="8"/>
  <c r="PG54" i="8"/>
  <c r="PF54" i="8"/>
  <c r="PE54" i="8"/>
  <c r="PD54" i="8"/>
  <c r="PC54" i="8"/>
  <c r="PB54" i="8"/>
  <c r="PA54" i="8"/>
  <c r="OZ54" i="8"/>
  <c r="OY54" i="8"/>
  <c r="OX54" i="8"/>
  <c r="OW54" i="8"/>
  <c r="OV54" i="8"/>
  <c r="OU54" i="8"/>
  <c r="OT54" i="8"/>
  <c r="OS54" i="8"/>
  <c r="OR54" i="8"/>
  <c r="OQ54" i="8"/>
  <c r="OP54" i="8"/>
  <c r="OO54" i="8"/>
  <c r="ON54" i="8"/>
  <c r="OM54" i="8"/>
  <c r="OL54" i="8"/>
  <c r="OK54" i="8"/>
  <c r="OJ54" i="8"/>
  <c r="OI54" i="8"/>
  <c r="OH54" i="8"/>
  <c r="OG54" i="8"/>
  <c r="OF54" i="8"/>
  <c r="OE54" i="8"/>
  <c r="OD54" i="8"/>
  <c r="OC54" i="8"/>
  <c r="OB54" i="8"/>
  <c r="OA54" i="8"/>
  <c r="NZ54" i="8"/>
  <c r="NY54" i="8"/>
  <c r="NX54" i="8"/>
  <c r="NW54" i="8"/>
  <c r="NV54" i="8"/>
  <c r="NU54" i="8"/>
  <c r="NT54" i="8"/>
  <c r="NS54" i="8"/>
  <c r="NR54" i="8"/>
  <c r="NQ54" i="8"/>
  <c r="NP54" i="8"/>
  <c r="NO54" i="8"/>
  <c r="NN54" i="8"/>
  <c r="NM54" i="8"/>
  <c r="NL54" i="8"/>
  <c r="NK54" i="8"/>
  <c r="NJ54" i="8"/>
  <c r="NI54" i="8"/>
  <c r="NH54" i="8"/>
  <c r="NG54" i="8"/>
  <c r="NF54" i="8"/>
  <c r="NE54" i="8"/>
  <c r="ND54" i="8"/>
  <c r="NC54" i="8"/>
  <c r="NB54" i="8"/>
  <c r="NA54" i="8"/>
  <c r="MZ54" i="8"/>
  <c r="MY54" i="8"/>
  <c r="MX54" i="8"/>
  <c r="MW54" i="8"/>
  <c r="MV54" i="8"/>
  <c r="MU54" i="8"/>
  <c r="MT54" i="8"/>
  <c r="MS54" i="8"/>
  <c r="MR54" i="8"/>
  <c r="MQ54" i="8"/>
  <c r="MP54" i="8"/>
  <c r="MO54" i="8"/>
  <c r="MN54" i="8"/>
  <c r="MM54" i="8"/>
  <c r="ML54" i="8"/>
  <c r="MK54" i="8"/>
  <c r="MJ54" i="8"/>
  <c r="MI54" i="8"/>
  <c r="MH54" i="8"/>
  <c r="MG54" i="8"/>
  <c r="MF54" i="8"/>
  <c r="ME54" i="8"/>
  <c r="MD54" i="8"/>
  <c r="MC54" i="8"/>
  <c r="MB54" i="8"/>
  <c r="MA54" i="8"/>
  <c r="LZ54" i="8"/>
  <c r="LY54" i="8"/>
  <c r="LX54" i="8"/>
  <c r="LW54" i="8"/>
  <c r="LV54" i="8"/>
  <c r="LU54" i="8"/>
  <c r="LT54" i="8"/>
  <c r="LS54" i="8"/>
  <c r="LR54" i="8"/>
  <c r="LQ54" i="8"/>
  <c r="LP54" i="8"/>
  <c r="LO54" i="8"/>
  <c r="LN54" i="8"/>
  <c r="LM54" i="8"/>
  <c r="LL54" i="8"/>
  <c r="LK54" i="8"/>
  <c r="LJ54" i="8"/>
  <c r="LI54" i="8"/>
  <c r="LH54" i="8"/>
  <c r="LG54" i="8"/>
  <c r="LF54" i="8"/>
  <c r="LE54" i="8"/>
  <c r="LD54" i="8"/>
  <c r="LC54" i="8"/>
  <c r="LB54" i="8"/>
  <c r="LA54" i="8"/>
  <c r="KZ54" i="8"/>
  <c r="KY54" i="8"/>
  <c r="KX54" i="8"/>
  <c r="KW54" i="8"/>
  <c r="KV54" i="8"/>
  <c r="KU54" i="8"/>
  <c r="KT54" i="8"/>
  <c r="KS54" i="8"/>
  <c r="KR54" i="8"/>
  <c r="KQ54" i="8"/>
  <c r="KP54" i="8"/>
  <c r="KO54" i="8"/>
  <c r="KN54" i="8"/>
  <c r="KM54" i="8"/>
  <c r="KL54" i="8"/>
  <c r="KK54" i="8"/>
  <c r="KJ54" i="8"/>
  <c r="KI54" i="8"/>
  <c r="KH54" i="8"/>
  <c r="KG54" i="8"/>
  <c r="KF54" i="8"/>
  <c r="KE54" i="8"/>
  <c r="KD54" i="8"/>
  <c r="KC54" i="8"/>
  <c r="KB54" i="8"/>
  <c r="KA54" i="8"/>
  <c r="JZ54" i="8"/>
  <c r="JY54" i="8"/>
  <c r="JX54" i="8"/>
  <c r="JW54" i="8"/>
  <c r="JV54" i="8"/>
  <c r="JU54" i="8"/>
  <c r="JT54" i="8"/>
  <c r="JS54" i="8"/>
  <c r="JR54" i="8"/>
  <c r="JQ54" i="8"/>
  <c r="JP54" i="8"/>
  <c r="JO54" i="8"/>
  <c r="JN54" i="8"/>
  <c r="JM54" i="8"/>
  <c r="JL54" i="8"/>
  <c r="JK54" i="8"/>
  <c r="JJ54" i="8"/>
  <c r="JI54" i="8"/>
  <c r="JH54" i="8"/>
  <c r="JG54" i="8"/>
  <c r="JF54" i="8"/>
  <c r="JE54" i="8"/>
  <c r="JD54" i="8"/>
  <c r="JC54" i="8"/>
  <c r="JB54" i="8"/>
  <c r="JA54" i="8"/>
  <c r="IZ54" i="8"/>
  <c r="IY54" i="8"/>
  <c r="IX54" i="8"/>
  <c r="IW54" i="8"/>
  <c r="IV54" i="8"/>
  <c r="IU54" i="8"/>
  <c r="IT54" i="8"/>
  <c r="IS54" i="8"/>
  <c r="IR54" i="8"/>
  <c r="IQ54" i="8"/>
  <c r="IP54" i="8"/>
  <c r="IO54" i="8"/>
  <c r="IN54" i="8"/>
  <c r="IM54" i="8"/>
  <c r="IL54" i="8"/>
  <c r="IK54" i="8"/>
  <c r="IJ54" i="8"/>
  <c r="II54" i="8"/>
  <c r="IH54" i="8"/>
  <c r="IG54" i="8"/>
  <c r="IF54" i="8"/>
  <c r="IE54" i="8"/>
  <c r="ID54" i="8"/>
  <c r="IC54" i="8"/>
  <c r="IB54" i="8"/>
  <c r="IA54" i="8"/>
  <c r="HZ54" i="8"/>
  <c r="HY54" i="8"/>
  <c r="HX54" i="8"/>
  <c r="HW54" i="8"/>
  <c r="HV54" i="8"/>
  <c r="HU54" i="8"/>
  <c r="HT54" i="8"/>
  <c r="HS54" i="8"/>
  <c r="HR54" i="8"/>
  <c r="HQ54" i="8"/>
  <c r="HP54" i="8"/>
  <c r="HO54" i="8"/>
  <c r="HN54" i="8"/>
  <c r="HM54" i="8"/>
  <c r="HL54" i="8"/>
  <c r="HK54" i="8"/>
  <c r="HJ54" i="8"/>
  <c r="HI54" i="8"/>
  <c r="HH54" i="8"/>
  <c r="HG54" i="8"/>
  <c r="HF54" i="8"/>
  <c r="HE54" i="8"/>
  <c r="HD54" i="8"/>
  <c r="HC54" i="8"/>
  <c r="HB54" i="8"/>
  <c r="HA54" i="8"/>
  <c r="GZ54" i="8"/>
  <c r="GY54" i="8"/>
  <c r="GX54" i="8"/>
  <c r="GW54" i="8"/>
  <c r="GV54" i="8"/>
  <c r="GU54" i="8"/>
  <c r="GT54" i="8"/>
  <c r="GS54" i="8"/>
  <c r="GR54" i="8"/>
  <c r="GQ54" i="8"/>
  <c r="GP54" i="8"/>
  <c r="GO54" i="8"/>
  <c r="GN54" i="8"/>
  <c r="GM54" i="8"/>
  <c r="GL54" i="8"/>
  <c r="GK54" i="8"/>
  <c r="GJ54" i="8"/>
  <c r="GI54" i="8"/>
  <c r="GH54" i="8"/>
  <c r="GG54" i="8"/>
  <c r="GF54" i="8"/>
  <c r="GE54" i="8"/>
  <c r="GD54" i="8"/>
  <c r="GC54" i="8"/>
  <c r="GB54" i="8"/>
  <c r="GA54" i="8"/>
  <c r="FZ54" i="8"/>
  <c r="FY54" i="8"/>
  <c r="FX54" i="8"/>
  <c r="FW54" i="8"/>
  <c r="FV54" i="8"/>
  <c r="FU54" i="8"/>
  <c r="FT54" i="8"/>
  <c r="FS54" i="8"/>
  <c r="FR54" i="8"/>
  <c r="FQ54" i="8"/>
  <c r="FP54" i="8"/>
  <c r="FO54" i="8"/>
  <c r="FN54" i="8"/>
  <c r="FM54" i="8"/>
  <c r="FL54" i="8"/>
  <c r="FK54" i="8"/>
  <c r="FJ54" i="8"/>
  <c r="FI54" i="8"/>
  <c r="FH54" i="8"/>
  <c r="FG54" i="8"/>
  <c r="FF54" i="8"/>
  <c r="FE54" i="8"/>
  <c r="FD54" i="8"/>
  <c r="FC54" i="8"/>
  <c r="FB54" i="8"/>
  <c r="FA54" i="8"/>
  <c r="EZ54" i="8"/>
  <c r="EY54" i="8"/>
  <c r="EX54" i="8"/>
  <c r="EW54" i="8"/>
  <c r="EV54" i="8"/>
  <c r="EU54" i="8"/>
  <c r="ET54" i="8"/>
  <c r="ES54" i="8"/>
  <c r="ER54" i="8"/>
  <c r="EQ54" i="8"/>
  <c r="EP54" i="8"/>
  <c r="EO54" i="8"/>
  <c r="EN54" i="8"/>
  <c r="EM54" i="8"/>
  <c r="EL54" i="8"/>
  <c r="EK54" i="8"/>
  <c r="EJ54" i="8"/>
  <c r="EI54" i="8"/>
  <c r="EH54" i="8"/>
  <c r="EG54" i="8"/>
  <c r="EF54" i="8"/>
  <c r="EE54" i="8"/>
  <c r="ED54" i="8"/>
  <c r="EC54" i="8"/>
  <c r="EB54" i="8"/>
  <c r="EA54" i="8"/>
  <c r="DZ54" i="8"/>
  <c r="DY54" i="8"/>
  <c r="DX54" i="8"/>
  <c r="DW54" i="8"/>
  <c r="DV54" i="8"/>
  <c r="DU54" i="8"/>
  <c r="DT54" i="8"/>
  <c r="DS54" i="8"/>
  <c r="DR54" i="8"/>
  <c r="DQ54" i="8"/>
  <c r="DP54" i="8"/>
  <c r="DO54" i="8"/>
  <c r="DN54" i="8"/>
  <c r="DM54" i="8"/>
  <c r="DL54" i="8"/>
  <c r="DK54" i="8"/>
  <c r="DJ54" i="8"/>
  <c r="DI54" i="8"/>
  <c r="DH54" i="8"/>
  <c r="DG54" i="8"/>
  <c r="DF54" i="8"/>
  <c r="DE54" i="8"/>
  <c r="DD54" i="8"/>
  <c r="DC54" i="8"/>
  <c r="DB54" i="8"/>
  <c r="DA54" i="8"/>
  <c r="CZ54" i="8"/>
  <c r="CY54" i="8"/>
  <c r="CX54" i="8"/>
  <c r="CW54" i="8"/>
  <c r="CV54" i="8"/>
  <c r="CU54" i="8"/>
  <c r="CT54" i="8"/>
  <c r="CS54" i="8"/>
  <c r="CR54" i="8"/>
  <c r="CQ54" i="8"/>
  <c r="CP54" i="8"/>
  <c r="CO54" i="8"/>
  <c r="CN54" i="8"/>
  <c r="CM54" i="8"/>
  <c r="CL54" i="8"/>
  <c r="CK54" i="8"/>
  <c r="CJ54" i="8"/>
  <c r="CI54" i="8"/>
  <c r="CH54" i="8"/>
  <c r="CG54" i="8"/>
  <c r="CF54" i="8"/>
  <c r="CE54" i="8"/>
  <c r="CD54" i="8"/>
  <c r="CC54" i="8"/>
  <c r="CB54" i="8"/>
  <c r="CA54" i="8"/>
  <c r="BZ54" i="8"/>
  <c r="BY54" i="8"/>
  <c r="BX54" i="8"/>
  <c r="BW54" i="8"/>
  <c r="BV54" i="8"/>
  <c r="BU54" i="8"/>
  <c r="BT54" i="8"/>
  <c r="BS54" i="8"/>
  <c r="BR54" i="8"/>
  <c r="BQ54" i="8"/>
  <c r="BP54" i="8"/>
  <c r="BO54" i="8"/>
  <c r="BN54" i="8"/>
  <c r="BM54" i="8"/>
  <c r="BL54" i="8"/>
  <c r="BK54" i="8"/>
  <c r="BJ54" i="8"/>
  <c r="BI54" i="8"/>
  <c r="BH54" i="8"/>
  <c r="BG54" i="8"/>
  <c r="BF54" i="8"/>
  <c r="BE54" i="8"/>
  <c r="BD54" i="8"/>
  <c r="BC54" i="8"/>
  <c r="BB54" i="8"/>
  <c r="BA54" i="8"/>
  <c r="XFD53"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4"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D45" i="8"/>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V25" i="2" l="1"/>
  <c r="I70" i="2"/>
  <c r="L25" i="2"/>
  <c r="S25" i="2"/>
  <c r="T25" i="2" s="1"/>
  <c r="V24" i="2"/>
  <c r="H70" i="2"/>
  <c r="L24" i="2"/>
  <c r="S24" i="2"/>
  <c r="T24" i="2" s="1"/>
  <c r="W24" i="2" s="1"/>
  <c r="F17" i="10" s="1"/>
  <c r="AA25" i="2"/>
  <c r="W25" i="2"/>
  <c r="AA27" i="2"/>
  <c r="Y35" i="2"/>
  <c r="X36" i="2"/>
  <c r="X35" i="2"/>
  <c r="X37" i="2"/>
  <c r="Y36" i="2"/>
  <c r="Y37" i="2"/>
  <c r="D9" i="5" l="1"/>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L23" i="2"/>
  <c r="AD20" i="2"/>
  <c r="G70" i="2"/>
  <c r="S23" i="2"/>
  <c r="T23" i="2" s="1"/>
  <c r="G13" i="2" s="1"/>
  <c r="V23" i="2"/>
  <c r="W23" i="2"/>
  <c r="P15" i="2"/>
  <c r="P16" i="2" s="1"/>
  <c r="P18"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F17" i="2" l="1"/>
  <c r="D17" i="2"/>
  <c r="G107" i="10" s="1"/>
  <c r="G17" i="2"/>
  <c r="H55" i="4"/>
  <c r="F67" i="10" s="1"/>
  <c r="H57" i="4"/>
  <c r="F69" i="10" s="1"/>
  <c r="H56" i="4"/>
  <c r="F68" i="10" s="1"/>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F22" i="10" l="1"/>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69" i="3" l="1"/>
  <c r="AM68" i="3"/>
  <c r="AM67" i="3"/>
  <c r="AM66" i="3"/>
  <c r="AM70" i="3" s="1"/>
  <c r="AM65" i="3"/>
  <c r="I14" i="2"/>
  <c r="I13" i="2"/>
  <c r="AL3" i="9"/>
  <c r="AM12" i="3"/>
  <c r="AM13" i="3"/>
  <c r="AM14" i="3"/>
  <c r="AM15" i="3"/>
  <c r="AM16" i="3"/>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X23" i="2" s="1"/>
  <c r="T36" i="2"/>
  <c r="W36" i="2" s="1"/>
  <c r="Q5" i="2"/>
  <c r="T35" i="2"/>
  <c r="W35" i="2" s="1"/>
  <c r="T37" i="2"/>
  <c r="W37" i="2" s="1"/>
  <c r="T38" i="2"/>
  <c r="W38" i="2" s="1"/>
  <c r="AM25" i="3"/>
  <c r="R69" i="3" l="1"/>
  <c r="Y68" i="3"/>
  <c r="Y67" i="3"/>
  <c r="Y69" i="3"/>
  <c r="Y66" i="3"/>
  <c r="Y70" i="3" s="1"/>
  <c r="Y65" i="3"/>
  <c r="U69" i="3"/>
  <c r="AE69" i="3"/>
  <c r="AE68" i="3"/>
  <c r="AE67" i="3"/>
  <c r="AE66" i="3"/>
  <c r="AE65" i="3"/>
  <c r="AO68" i="3"/>
  <c r="AO67" i="3"/>
  <c r="AO69" i="3"/>
  <c r="AO66" i="3"/>
  <c r="AO65" i="3"/>
  <c r="AK26" i="4"/>
  <c r="AK23" i="4"/>
  <c r="E69" i="3"/>
  <c r="AB69" i="3"/>
  <c r="AB66" i="3"/>
  <c r="AB68" i="3"/>
  <c r="AB67" i="3"/>
  <c r="AB65" i="3"/>
  <c r="AR69" i="3"/>
  <c r="AR68" i="3"/>
  <c r="AR67" i="3"/>
  <c r="AR65" i="3"/>
  <c r="AR66" i="3"/>
  <c r="Z26" i="4"/>
  <c r="Z23" i="4"/>
  <c r="H69" i="3"/>
  <c r="Z69" i="3"/>
  <c r="Z68" i="3"/>
  <c r="Z67" i="3"/>
  <c r="Z66" i="3"/>
  <c r="Z65" i="3"/>
  <c r="AP23" i="4"/>
  <c r="AP26" i="4"/>
  <c r="AM23" i="4"/>
  <c r="AM26" i="4"/>
  <c r="AQ69" i="3"/>
  <c r="AQ68" i="3"/>
  <c r="AQ67" i="3"/>
  <c r="AQ66" i="3"/>
  <c r="AQ70" i="3" s="1"/>
  <c r="AQ65" i="3"/>
  <c r="AA26" i="4"/>
  <c r="AA23" i="4"/>
  <c r="AX69" i="3"/>
  <c r="AX68" i="3"/>
  <c r="AX67" i="3"/>
  <c r="AX66" i="3"/>
  <c r="AX65" i="3"/>
  <c r="AG26" i="4"/>
  <c r="AG23" i="4"/>
  <c r="N69" i="3"/>
  <c r="AG68" i="3"/>
  <c r="AG67" i="3"/>
  <c r="AG69" i="3"/>
  <c r="AG66" i="3"/>
  <c r="AG65" i="3"/>
  <c r="AR23" i="4"/>
  <c r="AR26" i="4"/>
  <c r="AK69" i="3"/>
  <c r="AK68" i="3"/>
  <c r="AK67" i="3"/>
  <c r="AK66" i="3"/>
  <c r="AK70" i="3" s="1"/>
  <c r="AK65" i="3"/>
  <c r="AJ26" i="4"/>
  <c r="AJ23" i="4"/>
  <c r="Q69" i="3"/>
  <c r="AJ69" i="3"/>
  <c r="AJ66" i="3"/>
  <c r="AJ68" i="3"/>
  <c r="AJ67" i="3"/>
  <c r="AJ65" i="3"/>
  <c r="AY23" i="4"/>
  <c r="AY26" i="4"/>
  <c r="AD23" i="4"/>
  <c r="AD26" i="4"/>
  <c r="AO26" i="4"/>
  <c r="AO23" i="4"/>
  <c r="AD69" i="3"/>
  <c r="AD68" i="3"/>
  <c r="AD67" i="3"/>
  <c r="AD66" i="3"/>
  <c r="AD70" i="3" s="1"/>
  <c r="AD65" i="3"/>
  <c r="BA23" i="4"/>
  <c r="BA26" i="4"/>
  <c r="AL69" i="3"/>
  <c r="AL68" i="3"/>
  <c r="AL67" i="3"/>
  <c r="AL66" i="3"/>
  <c r="AL65" i="3"/>
  <c r="AE26" i="4"/>
  <c r="AE23" i="4"/>
  <c r="AV23" i="4"/>
  <c r="AV26" i="4"/>
  <c r="AL23" i="4"/>
  <c r="AL26" i="4"/>
  <c r="X23" i="4"/>
  <c r="X26" i="4"/>
  <c r="AN26" i="4"/>
  <c r="AN23" i="4"/>
  <c r="AS68" i="3"/>
  <c r="AS67" i="3"/>
  <c r="AS69" i="3"/>
  <c r="AS66" i="3"/>
  <c r="AS65" i="3"/>
  <c r="AA69" i="3"/>
  <c r="AA68" i="3"/>
  <c r="AA67" i="3"/>
  <c r="AA66" i="3"/>
  <c r="AA65" i="3"/>
  <c r="X69" i="3"/>
  <c r="AI23" i="4"/>
  <c r="AI26" i="4"/>
  <c r="G69" i="3"/>
  <c r="G65" i="3"/>
  <c r="G68" i="3" s="1"/>
  <c r="F69" i="3"/>
  <c r="F65" i="3"/>
  <c r="F68" i="3" s="1"/>
  <c r="M69" i="3"/>
  <c r="M65" i="3"/>
  <c r="M68" i="3" s="1"/>
  <c r="AT69" i="3"/>
  <c r="AT68" i="3"/>
  <c r="AT67" i="3"/>
  <c r="AT66" i="3"/>
  <c r="AT65" i="3"/>
  <c r="I69" i="3"/>
  <c r="AF69" i="3"/>
  <c r="AF66" i="3"/>
  <c r="AF68" i="3"/>
  <c r="AF67" i="3"/>
  <c r="AF65" i="3"/>
  <c r="T69" i="3"/>
  <c r="AI69" i="3"/>
  <c r="AI68" i="3"/>
  <c r="AI67" i="3"/>
  <c r="AI66" i="3"/>
  <c r="AI65" i="3"/>
  <c r="W69" i="3"/>
  <c r="S69" i="3"/>
  <c r="AU69" i="3"/>
  <c r="AU68" i="3"/>
  <c r="AU67" i="3"/>
  <c r="AU66" i="3"/>
  <c r="AU65" i="3"/>
  <c r="AW26" i="4"/>
  <c r="AW23" i="4"/>
  <c r="AZ23" i="4"/>
  <c r="AZ26" i="4"/>
  <c r="AN66" i="3"/>
  <c r="AN69" i="3"/>
  <c r="AN68" i="3"/>
  <c r="AN67" i="3"/>
  <c r="AN65" i="3"/>
  <c r="AH23" i="4"/>
  <c r="AH26" i="4"/>
  <c r="AQ23" i="4"/>
  <c r="AQ26" i="4"/>
  <c r="AU23" i="4"/>
  <c r="AU26" i="4"/>
  <c r="AV66" i="3"/>
  <c r="AV69" i="3"/>
  <c r="AV68" i="3"/>
  <c r="AV67" i="3"/>
  <c r="AV65" i="3"/>
  <c r="P69" i="3"/>
  <c r="L69" i="3"/>
  <c r="AH69" i="3"/>
  <c r="AH68" i="3"/>
  <c r="AH67" i="3"/>
  <c r="AH66" i="3"/>
  <c r="AH65" i="3"/>
  <c r="AB26" i="4"/>
  <c r="AB23" i="4"/>
  <c r="AP69" i="3"/>
  <c r="AP68" i="3"/>
  <c r="AP67" i="3"/>
  <c r="AP66" i="3"/>
  <c r="AP65" i="3"/>
  <c r="AM38" i="3"/>
  <c r="AM72" i="3"/>
  <c r="AM74" i="3" s="1"/>
  <c r="AC26" i="4"/>
  <c r="AC23" i="4"/>
  <c r="AT23" i="4"/>
  <c r="AT26" i="4"/>
  <c r="AX23" i="4"/>
  <c r="AX26" i="4"/>
  <c r="O69" i="3"/>
  <c r="AC69" i="3"/>
  <c r="AC68" i="3"/>
  <c r="AC67" i="3"/>
  <c r="AC66" i="3"/>
  <c r="AC65" i="3"/>
  <c r="K69" i="3"/>
  <c r="D69" i="3"/>
  <c r="AZ69" i="3"/>
  <c r="AZ68" i="3"/>
  <c r="AZ67" i="3"/>
  <c r="AZ66" i="3"/>
  <c r="AZ65" i="3"/>
  <c r="J69" i="3"/>
  <c r="V69" i="3"/>
  <c r="BA68" i="3"/>
  <c r="BA69" i="3"/>
  <c r="BA67" i="3"/>
  <c r="BA66" i="3"/>
  <c r="BA65" i="3"/>
  <c r="AF26" i="4"/>
  <c r="AF23" i="4"/>
  <c r="AW67" i="3"/>
  <c r="AW69" i="3"/>
  <c r="AW68" i="3"/>
  <c r="AW66" i="3"/>
  <c r="AW70" i="3" s="1"/>
  <c r="AW65" i="3"/>
  <c r="AY69" i="3"/>
  <c r="AY68" i="3"/>
  <c r="AY67" i="3"/>
  <c r="AY66" i="3"/>
  <c r="AY65" i="3"/>
  <c r="Y26" i="4"/>
  <c r="Y23" i="4"/>
  <c r="AS26" i="4"/>
  <c r="AS23" i="4"/>
  <c r="AP12" i="3"/>
  <c r="AP13" i="3"/>
  <c r="AP14" i="3"/>
  <c r="AP15" i="3"/>
  <c r="AP16" i="3"/>
  <c r="AV12" i="3"/>
  <c r="AV13" i="3"/>
  <c r="AV14" i="3"/>
  <c r="AV15" i="3"/>
  <c r="AV16" i="3"/>
  <c r="BA15" i="3"/>
  <c r="BA16" i="3"/>
  <c r="BA12" i="3"/>
  <c r="BA13" i="3"/>
  <c r="BA14" i="3"/>
  <c r="AW15" i="3"/>
  <c r="AW16" i="3"/>
  <c r="AW12" i="3"/>
  <c r="AW13" i="3"/>
  <c r="AW14" i="3"/>
  <c r="AL12" i="3"/>
  <c r="AL13" i="3"/>
  <c r="AL14" i="3"/>
  <c r="AL15" i="3"/>
  <c r="AL16" i="3"/>
  <c r="AR14" i="3"/>
  <c r="AR12" i="3"/>
  <c r="AR13" i="3"/>
  <c r="AR15" i="3"/>
  <c r="AR16" i="3"/>
  <c r="AX12" i="3"/>
  <c r="AX13" i="3"/>
  <c r="AX14" i="3"/>
  <c r="AX15" i="3"/>
  <c r="AX16" i="3"/>
  <c r="AT12" i="3"/>
  <c r="AT13" i="3"/>
  <c r="AT14" i="3"/>
  <c r="AT15" i="3"/>
  <c r="AT16" i="3"/>
  <c r="W3" i="9"/>
  <c r="X12" i="3"/>
  <c r="X13" i="3"/>
  <c r="X14" i="3"/>
  <c r="X15" i="3"/>
  <c r="X16" i="3"/>
  <c r="V12" i="3"/>
  <c r="V13" i="3"/>
  <c r="V14" i="3"/>
  <c r="V15" i="3"/>
  <c r="V16" i="3"/>
  <c r="I12" i="3"/>
  <c r="I13" i="3"/>
  <c r="I14" i="3"/>
  <c r="I15" i="3"/>
  <c r="I16" i="3"/>
  <c r="O12" i="3"/>
  <c r="O13" i="3"/>
  <c r="O14" i="3"/>
  <c r="O15" i="3"/>
  <c r="O16" i="3"/>
  <c r="U15" i="3"/>
  <c r="U16" i="3"/>
  <c r="U12" i="3"/>
  <c r="U13" i="3"/>
  <c r="U14" i="3"/>
  <c r="H13" i="3"/>
  <c r="H12" i="3"/>
  <c r="H14" i="3"/>
  <c r="H15" i="3"/>
  <c r="H16" i="3"/>
  <c r="N12" i="3"/>
  <c r="N13" i="3"/>
  <c r="N14" i="3"/>
  <c r="N15" i="3"/>
  <c r="N16" i="3"/>
  <c r="T13" i="3"/>
  <c r="T14" i="3"/>
  <c r="T12" i="3"/>
  <c r="T15" i="3"/>
  <c r="T16" i="3"/>
  <c r="G12" i="3"/>
  <c r="G13" i="3"/>
  <c r="G14" i="3"/>
  <c r="G15" i="3"/>
  <c r="G16" i="3"/>
  <c r="M12" i="3"/>
  <c r="M13" i="3"/>
  <c r="M14" i="3"/>
  <c r="M15" i="3"/>
  <c r="M16" i="3"/>
  <c r="AF12" i="3"/>
  <c r="AF13" i="3"/>
  <c r="AF14" i="3"/>
  <c r="AF15" i="3"/>
  <c r="AF16" i="3"/>
  <c r="AC12" i="3"/>
  <c r="AC13" i="3"/>
  <c r="AC14" i="3"/>
  <c r="AC15" i="3"/>
  <c r="AC16" i="3"/>
  <c r="AE12" i="3"/>
  <c r="AE13" i="3"/>
  <c r="AE14" i="3"/>
  <c r="AE15" i="3"/>
  <c r="AE16" i="3"/>
  <c r="Z12" i="3"/>
  <c r="Z13" i="3"/>
  <c r="Z14" i="3"/>
  <c r="Z15" i="3"/>
  <c r="Z16" i="3"/>
  <c r="AG15" i="3"/>
  <c r="AG12" i="3"/>
  <c r="AG13" i="3"/>
  <c r="AG14" i="3"/>
  <c r="AG16" i="3"/>
  <c r="AI12" i="3"/>
  <c r="AI13" i="3"/>
  <c r="AI14" i="3"/>
  <c r="AI15" i="3"/>
  <c r="AI16" i="3"/>
  <c r="AS12" i="3"/>
  <c r="AS13" i="3"/>
  <c r="AS14" i="3"/>
  <c r="AS15" i="3"/>
  <c r="AS16" i="3"/>
  <c r="AU12" i="3"/>
  <c r="AU13" i="3"/>
  <c r="AU14" i="3"/>
  <c r="AU15" i="3"/>
  <c r="AU16" i="3"/>
  <c r="AN12" i="3"/>
  <c r="AN13" i="3"/>
  <c r="AN14" i="3"/>
  <c r="AN15" i="3"/>
  <c r="AN16" i="3"/>
  <c r="AY12" i="3"/>
  <c r="AY13" i="3"/>
  <c r="AY14" i="3"/>
  <c r="AY15" i="3"/>
  <c r="AY16" i="3"/>
  <c r="AO12" i="3"/>
  <c r="AO13" i="3"/>
  <c r="AO14" i="3"/>
  <c r="AO16" i="3"/>
  <c r="AO15" i="3"/>
  <c r="AQ12" i="3"/>
  <c r="AQ13" i="3"/>
  <c r="AQ14" i="3"/>
  <c r="AQ15" i="3"/>
  <c r="AQ16" i="3"/>
  <c r="AJ3" i="9"/>
  <c r="AK15" i="3"/>
  <c r="AK16" i="3"/>
  <c r="AK12" i="3"/>
  <c r="AK13" i="3"/>
  <c r="AK14" i="3"/>
  <c r="AZ13" i="3"/>
  <c r="AZ14" i="3"/>
  <c r="AZ12" i="3"/>
  <c r="AZ15" i="3"/>
  <c r="AZ16" i="3"/>
  <c r="S12" i="3"/>
  <c r="S13" i="3"/>
  <c r="S14" i="3"/>
  <c r="S15" i="3"/>
  <c r="S16" i="3"/>
  <c r="F12" i="3"/>
  <c r="F13" i="3"/>
  <c r="F14" i="3"/>
  <c r="F15" i="3"/>
  <c r="F16" i="3"/>
  <c r="L12" i="3"/>
  <c r="L13" i="3"/>
  <c r="L14" i="3"/>
  <c r="L15" i="3"/>
  <c r="L16" i="3"/>
  <c r="R12" i="3"/>
  <c r="R13" i="3"/>
  <c r="R14" i="3"/>
  <c r="R15" i="3"/>
  <c r="R16" i="3"/>
  <c r="E16" i="3"/>
  <c r="E12" i="3"/>
  <c r="E15" i="3"/>
  <c r="E14" i="3"/>
  <c r="E13" i="3"/>
  <c r="K12" i="3"/>
  <c r="K13" i="3"/>
  <c r="K14" i="3"/>
  <c r="K15" i="3"/>
  <c r="K16" i="3"/>
  <c r="Q12" i="3"/>
  <c r="Q13" i="3"/>
  <c r="Q14" i="3"/>
  <c r="Q15" i="3"/>
  <c r="Q16" i="3"/>
  <c r="W12" i="3"/>
  <c r="W13" i="3"/>
  <c r="W14" i="3"/>
  <c r="W15" i="3"/>
  <c r="W16" i="3"/>
  <c r="J12" i="3"/>
  <c r="J13" i="3"/>
  <c r="J14" i="3"/>
  <c r="J15" i="3"/>
  <c r="J16" i="3"/>
  <c r="P12" i="3"/>
  <c r="P13" i="3"/>
  <c r="P14" i="3"/>
  <c r="P15" i="3"/>
  <c r="P16" i="3"/>
  <c r="AH12" i="3"/>
  <c r="AH13" i="3"/>
  <c r="AH14" i="3"/>
  <c r="AH15" i="3"/>
  <c r="AH16" i="3"/>
  <c r="Y12" i="3"/>
  <c r="Y13" i="3"/>
  <c r="Y14" i="3"/>
  <c r="Y15" i="3"/>
  <c r="Y16" i="3"/>
  <c r="AB12" i="3"/>
  <c r="AB13" i="3"/>
  <c r="AB14" i="3"/>
  <c r="AB15" i="3"/>
  <c r="AB16" i="3"/>
  <c r="AA12" i="3"/>
  <c r="AA13" i="3"/>
  <c r="AA14" i="3"/>
  <c r="AA15" i="3"/>
  <c r="AA16" i="3"/>
  <c r="AJ14" i="3"/>
  <c r="AJ12" i="3"/>
  <c r="AJ13" i="3"/>
  <c r="AJ15" i="3"/>
  <c r="AJ16" i="3"/>
  <c r="AD12" i="3"/>
  <c r="AD13" i="3"/>
  <c r="AD14" i="3"/>
  <c r="AD15" i="3"/>
  <c r="AD16" i="3"/>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X26" i="2"/>
  <c r="Y26" i="2" s="1"/>
  <c r="X24" i="2"/>
  <c r="X27" i="2"/>
  <c r="Y27" i="2" s="1"/>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D28" i="3"/>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U65" i="3" s="1"/>
  <c r="U68" i="3" s="1"/>
  <c r="W3" i="3"/>
  <c r="W65" i="3" s="1"/>
  <c r="W68" i="3" s="1"/>
  <c r="AH3" i="3"/>
  <c r="AF3" i="3"/>
  <c r="X3" i="3"/>
  <c r="X65" i="3" s="1"/>
  <c r="X68" i="3" s="1"/>
  <c r="O3" i="3"/>
  <c r="O65" i="3" s="1"/>
  <c r="O68" i="3" s="1"/>
  <c r="Q3" i="3"/>
  <c r="Q65" i="3" s="1"/>
  <c r="Q68" i="3" s="1"/>
  <c r="AD3" i="3"/>
  <c r="S3" i="3"/>
  <c r="S65" i="3" s="1"/>
  <c r="S68" i="3" s="1"/>
  <c r="AJ3" i="3"/>
  <c r="AG3" i="3"/>
  <c r="J3" i="3"/>
  <c r="J65" i="3" s="1"/>
  <c r="J68" i="3" s="1"/>
  <c r="I3" i="3"/>
  <c r="I65" i="3" s="1"/>
  <c r="I68" i="3" s="1"/>
  <c r="AB3" i="3"/>
  <c r="T3" i="3"/>
  <c r="T65" i="3" s="1"/>
  <c r="T68" i="3" s="1"/>
  <c r="K3" i="3"/>
  <c r="K65" i="3" s="1"/>
  <c r="K68" i="3" s="1"/>
  <c r="R3" i="3"/>
  <c r="R65" i="3" s="1"/>
  <c r="R68" i="3" s="1"/>
  <c r="M3" i="3"/>
  <c r="N3" i="3"/>
  <c r="N65" i="3" s="1"/>
  <c r="N68" i="3" s="1"/>
  <c r="AC3" i="3"/>
  <c r="V3" i="3"/>
  <c r="V65" i="3" s="1"/>
  <c r="V68" i="3" s="1"/>
  <c r="F3" i="3"/>
  <c r="E3" i="3"/>
  <c r="E65" i="3" s="1"/>
  <c r="E68" i="3" s="1"/>
  <c r="H3" i="3"/>
  <c r="H65" i="3" s="1"/>
  <c r="H68" i="3" s="1"/>
  <c r="G3" i="3"/>
  <c r="D3" i="3"/>
  <c r="D65" i="3" s="1"/>
  <c r="D68" i="3" s="1"/>
  <c r="AC5" i="4"/>
  <c r="AK25" i="3"/>
  <c r="S5" i="4"/>
  <c r="V5" i="4"/>
  <c r="AN70" i="3" l="1"/>
  <c r="AB70" i="3"/>
  <c r="AF70" i="3"/>
  <c r="Q38" i="3"/>
  <c r="Q72" i="3"/>
  <c r="Q74" i="3" s="1"/>
  <c r="P38" i="3"/>
  <c r="P72" i="3"/>
  <c r="P74" i="3" s="1"/>
  <c r="AX70" i="3"/>
  <c r="X38" i="3"/>
  <c r="X72" i="3"/>
  <c r="X74" i="3" s="1"/>
  <c r="V38" i="3"/>
  <c r="V72" i="3"/>
  <c r="V74" i="3" s="1"/>
  <c r="U38" i="3"/>
  <c r="U72" i="3"/>
  <c r="U74" i="3" s="1"/>
  <c r="AZ70" i="3"/>
  <c r="AT70" i="3"/>
  <c r="AZ38" i="3"/>
  <c r="AZ72" i="3"/>
  <c r="AZ74" i="3" s="1"/>
  <c r="AQ38" i="3"/>
  <c r="AQ72" i="3"/>
  <c r="AQ74" i="3" s="1"/>
  <c r="AJ70" i="3"/>
  <c r="AH70" i="3"/>
  <c r="AU70" i="3"/>
  <c r="K38" i="3"/>
  <c r="K72" i="3"/>
  <c r="K74" i="3" s="1"/>
  <c r="AO38" i="3"/>
  <c r="AO72" i="3"/>
  <c r="AO74" i="3" s="1"/>
  <c r="F38" i="3"/>
  <c r="F72" i="3"/>
  <c r="F74" i="3" s="1"/>
  <c r="AY38" i="3"/>
  <c r="AY72" i="3"/>
  <c r="AY74" i="3" s="1"/>
  <c r="AY70" i="3"/>
  <c r="AG38" i="3"/>
  <c r="AG72" i="3"/>
  <c r="AG74" i="3" s="1"/>
  <c r="AN38" i="3"/>
  <c r="AN72" i="3"/>
  <c r="AN74" i="3" s="1"/>
  <c r="AO70" i="3"/>
  <c r="AC70" i="3"/>
  <c r="I38" i="3"/>
  <c r="I72" i="3"/>
  <c r="I74" i="3" s="1"/>
  <c r="AU38" i="3"/>
  <c r="AU72" i="3"/>
  <c r="AU74" i="3" s="1"/>
  <c r="AI38" i="3"/>
  <c r="AI72" i="3"/>
  <c r="AI74" i="3" s="1"/>
  <c r="AE70" i="3"/>
  <c r="AT38" i="3"/>
  <c r="AT72" i="3"/>
  <c r="AT74" i="3" s="1"/>
  <c r="AI70" i="3"/>
  <c r="AL70" i="3"/>
  <c r="Z70" i="3"/>
  <c r="AX38" i="3"/>
  <c r="AX72" i="3"/>
  <c r="AX74" i="3" s="1"/>
  <c r="AE38" i="3"/>
  <c r="AE72" i="3"/>
  <c r="AE74" i="3" s="1"/>
  <c r="AD38" i="3"/>
  <c r="AD72" i="3"/>
  <c r="AD74" i="3" s="1"/>
  <c r="AR38" i="3"/>
  <c r="AR72" i="3"/>
  <c r="AR74" i="3" s="1"/>
  <c r="AV70" i="3"/>
  <c r="AG70" i="3"/>
  <c r="AC38" i="3"/>
  <c r="AC72" i="3"/>
  <c r="AC74" i="3" s="1"/>
  <c r="BA70" i="3"/>
  <c r="AS38" i="3"/>
  <c r="AS72" i="3"/>
  <c r="AS74" i="3" s="1"/>
  <c r="AF38" i="3"/>
  <c r="AF72" i="3"/>
  <c r="AF74" i="3" s="1"/>
  <c r="D38" i="3"/>
  <c r="D72" i="3"/>
  <c r="D74" i="3" s="1"/>
  <c r="AA38" i="3"/>
  <c r="AA72" i="3"/>
  <c r="AA74" i="3" s="1"/>
  <c r="AW38" i="3"/>
  <c r="AW72" i="3"/>
  <c r="AW74" i="3" s="1"/>
  <c r="AA70" i="3"/>
  <c r="AR70" i="3"/>
  <c r="J38" i="3"/>
  <c r="J72" i="3"/>
  <c r="J74" i="3" s="1"/>
  <c r="AK38" i="3"/>
  <c r="AK72" i="3"/>
  <c r="AK74" i="3" s="1"/>
  <c r="AJ38" i="3"/>
  <c r="AJ72" i="3"/>
  <c r="AJ74" i="3" s="1"/>
  <c r="AL38" i="3"/>
  <c r="AL72" i="3"/>
  <c r="AL74" i="3" s="1"/>
  <c r="T38" i="3"/>
  <c r="T72" i="3"/>
  <c r="T74" i="3" s="1"/>
  <c r="N38" i="3"/>
  <c r="N72" i="3"/>
  <c r="N74" i="3" s="1"/>
  <c r="AV38" i="3"/>
  <c r="AV72" i="3"/>
  <c r="AV74" i="3" s="1"/>
  <c r="AH38" i="3"/>
  <c r="AH72" i="3"/>
  <c r="AH74" i="3" s="1"/>
  <c r="AB38" i="3"/>
  <c r="AB72" i="3"/>
  <c r="AB74" i="3" s="1"/>
  <c r="BA38" i="3"/>
  <c r="BA72" i="3"/>
  <c r="BA74" i="3" s="1"/>
  <c r="H38" i="3"/>
  <c r="H72" i="3"/>
  <c r="H74" i="3" s="1"/>
  <c r="AP38" i="3"/>
  <c r="AP72" i="3"/>
  <c r="AP74" i="3" s="1"/>
  <c r="AP70" i="3"/>
  <c r="AS70" i="3"/>
  <c r="U67" i="3"/>
  <c r="U66" i="3"/>
  <c r="I67" i="3"/>
  <c r="I66" i="3"/>
  <c r="M67" i="3"/>
  <c r="M66" i="3"/>
  <c r="P67" i="3"/>
  <c r="P66" i="3"/>
  <c r="O66" i="3"/>
  <c r="O67" i="3"/>
  <c r="V66" i="3"/>
  <c r="V67" i="3"/>
  <c r="R66" i="3"/>
  <c r="R67" i="3"/>
  <c r="X67" i="3"/>
  <c r="X66" i="3"/>
  <c r="E66" i="3"/>
  <c r="E67" i="3"/>
  <c r="N66" i="3"/>
  <c r="N67" i="3"/>
  <c r="K67" i="3"/>
  <c r="K66" i="3"/>
  <c r="G67" i="3"/>
  <c r="G66" i="3"/>
  <c r="W67" i="3"/>
  <c r="W66" i="3"/>
  <c r="T67" i="3"/>
  <c r="T66" i="3"/>
  <c r="F67" i="3"/>
  <c r="F66" i="3"/>
  <c r="H66" i="3"/>
  <c r="H67" i="3"/>
  <c r="J66" i="3"/>
  <c r="J67" i="3"/>
  <c r="S66" i="3"/>
  <c r="S67" i="3"/>
  <c r="L66" i="3"/>
  <c r="L67" i="3"/>
  <c r="Q67" i="3"/>
  <c r="Q66" i="3"/>
  <c r="W25" i="3"/>
  <c r="AS26" i="2"/>
  <c r="AS27" i="2"/>
  <c r="AS25" i="2"/>
  <c r="AS23" i="2"/>
  <c r="AS24" i="2"/>
  <c r="G25" i="3"/>
  <c r="L25" i="3"/>
  <c r="D9" i="9"/>
  <c r="R25" i="3"/>
  <c r="M25" i="3"/>
  <c r="AT22" i="2"/>
  <c r="AZ37" i="5"/>
  <c r="AU37" i="5"/>
  <c r="AO37" i="5"/>
  <c r="AN37" i="5"/>
  <c r="AY37" i="5"/>
  <c r="AR37" i="5"/>
  <c r="AS37" i="5"/>
  <c r="AT37" i="5"/>
  <c r="AP37" i="5"/>
  <c r="AX37" i="5"/>
  <c r="AL37" i="5"/>
  <c r="AV37" i="5"/>
  <c r="X25" i="2"/>
  <c r="Y25" i="2" s="1"/>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E28" i="3"/>
  <c r="F28" i="3" s="1"/>
  <c r="G28" i="3" s="1"/>
  <c r="H28" i="3" s="1"/>
  <c r="I28" i="3" s="1"/>
  <c r="J28" i="3" s="1"/>
  <c r="K28" i="3" s="1"/>
  <c r="L28" i="3" s="1"/>
  <c r="M28" i="3" s="1"/>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O38" i="3"/>
  <c r="O72" i="3"/>
  <c r="O74" i="3" s="1"/>
  <c r="W38" i="3"/>
  <c r="W72" i="3"/>
  <c r="W74" i="3" s="1"/>
  <c r="Y38" i="3"/>
  <c r="Y72" i="3"/>
  <c r="Y74" i="3" s="1"/>
  <c r="E78" i="3" s="1"/>
  <c r="Z38" i="3"/>
  <c r="Z72" i="3"/>
  <c r="Z74" i="3" s="1"/>
  <c r="E38" i="3"/>
  <c r="E72" i="3"/>
  <c r="E74" i="3" s="1"/>
  <c r="U70" i="3"/>
  <c r="M70" i="3"/>
  <c r="K70" i="3"/>
  <c r="G70" i="3"/>
  <c r="P70" i="3"/>
  <c r="I70" i="3"/>
  <c r="X70" i="3"/>
  <c r="V70" i="3"/>
  <c r="T70" i="3"/>
  <c r="O70" i="3"/>
  <c r="L70" i="3"/>
  <c r="W70" i="3"/>
  <c r="E70" i="3"/>
  <c r="F70" i="3"/>
  <c r="S70" i="3"/>
  <c r="Q70" i="3"/>
  <c r="N70" i="3"/>
  <c r="R70" i="3"/>
  <c r="J70" i="3"/>
  <c r="H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C78" i="3" l="1"/>
  <c r="C49" i="3"/>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E49" i="3"/>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N28" i="3"/>
  <c r="O28" i="3" s="1"/>
  <c r="P28" i="3" s="1"/>
  <c r="Q28" i="3" s="1"/>
  <c r="AJ43" i="8"/>
  <c r="AV24" i="2" l="1"/>
  <c r="AV25" i="2"/>
  <c r="AV27" i="2"/>
  <c r="AV23" i="2"/>
  <c r="AV26" i="2"/>
  <c r="AW22" i="2"/>
  <c r="R28" i="3"/>
  <c r="S28" i="3" s="1"/>
  <c r="T28" i="3" s="1"/>
  <c r="U28" i="3" s="1"/>
  <c r="V28" i="3" s="1"/>
  <c r="W28" i="3" s="1"/>
  <c r="X28" i="3" s="1"/>
  <c r="Y28" i="3" s="1"/>
  <c r="Z28" i="3" s="1"/>
  <c r="AA28" i="3" s="1"/>
  <c r="AB28" i="3" s="1"/>
  <c r="AC28" i="3" s="1"/>
  <c r="AD28" i="3" s="1"/>
  <c r="AE28" i="3" s="1"/>
  <c r="AF28" i="3" s="1"/>
  <c r="AG28" i="3" s="1"/>
  <c r="AH28" i="3" s="1"/>
  <c r="AI28" i="3" s="1"/>
  <c r="AJ28" i="3" s="1"/>
  <c r="AK28" i="3" s="1"/>
  <c r="AL28" i="3" s="1"/>
  <c r="AM28" i="3" s="1"/>
  <c r="AN28" i="3" s="1"/>
  <c r="AO28" i="3" s="1"/>
  <c r="AP28" i="3" s="1"/>
  <c r="AQ28" i="3" s="1"/>
  <c r="AR28" i="3" s="1"/>
  <c r="AS28" i="3" s="1"/>
  <c r="AT28" i="3" s="1"/>
  <c r="AU28" i="3" s="1"/>
  <c r="AV28" i="3" s="1"/>
  <c r="AW28" i="3" s="1"/>
  <c r="AX28" i="3" s="1"/>
  <c r="AY28" i="3" s="1"/>
  <c r="AZ28" i="3" s="1"/>
  <c r="BA28" i="3" s="1"/>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U32" i="3" l="1"/>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E54" i="8"/>
  <c r="G55" i="8"/>
  <c r="F54" i="8"/>
  <c r="G54" i="8"/>
  <c r="H54" i="8"/>
  <c r="I55" i="8"/>
  <c r="J55" i="8"/>
  <c r="D54" i="8"/>
  <c r="E55" i="8"/>
  <c r="D55" i="8"/>
  <c r="C55" i="8"/>
  <c r="C54" i="8"/>
  <c r="I54" i="8"/>
  <c r="K55" i="8"/>
  <c r="F55" i="8"/>
  <c r="J54"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AB37" i="5" l="1"/>
  <c r="AB40" i="5"/>
  <c r="Z37" i="5"/>
  <c r="Z40" i="5"/>
  <c r="Y37" i="5"/>
  <c r="Y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L37" i="5" l="1"/>
  <c r="L40" i="5"/>
  <c r="S37" i="5"/>
  <c r="S40" i="5"/>
  <c r="E37" i="5"/>
  <c r="E40" i="5"/>
  <c r="AC37" i="5"/>
  <c r="AC40" i="5"/>
  <c r="R37" i="5"/>
  <c r="R40" i="5"/>
  <c r="Q37" i="5"/>
  <c r="Q40" i="5"/>
  <c r="N37" i="5"/>
  <c r="N40" i="5"/>
  <c r="AJ37" i="5"/>
  <c r="AJ40" i="5"/>
  <c r="D37" i="5"/>
  <c r="D40" i="5"/>
  <c r="V37" i="5"/>
  <c r="V40" i="5"/>
  <c r="F37" i="5"/>
  <c r="F40" i="5"/>
  <c r="AI37" i="5"/>
  <c r="AI40" i="5"/>
  <c r="AH37" i="5"/>
  <c r="AH40" i="5"/>
  <c r="AD37" i="5"/>
  <c r="AD40" i="5"/>
  <c r="G37" i="5"/>
  <c r="G40" i="5"/>
  <c r="J37" i="5"/>
  <c r="J40" i="5"/>
  <c r="X37" i="5"/>
  <c r="X40" i="5"/>
  <c r="AA37" i="5"/>
  <c r="AA40" i="5"/>
  <c r="H37" i="5"/>
  <c r="H40" i="5"/>
  <c r="I37" i="5"/>
  <c r="I40" i="5"/>
  <c r="O37" i="5"/>
  <c r="O40" i="5"/>
  <c r="U37" i="5"/>
  <c r="U40" i="5"/>
  <c r="K37" i="5"/>
  <c r="K40" i="5"/>
  <c r="T37" i="5"/>
  <c r="T40" i="5"/>
  <c r="W37" i="5"/>
  <c r="W40" i="5"/>
  <c r="M37" i="5"/>
  <c r="M40" i="5"/>
  <c r="AE37" i="5"/>
  <c r="AE40" i="5"/>
  <c r="AG37" i="5"/>
  <c r="AG40" i="5"/>
  <c r="AF37" i="5"/>
  <c r="AF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AW54" i="8"/>
  <c r="AY54" i="8"/>
  <c r="AX54" i="8"/>
  <c r="AZ54" i="8"/>
  <c r="AV54" i="8"/>
  <c r="AT54"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L54" i="8"/>
  <c r="M42" i="3"/>
  <c r="K54" i="8"/>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AE54" i="8"/>
  <c r="Q54" i="8"/>
  <c r="S54" i="8"/>
  <c r="U54" i="8"/>
  <c r="T54" i="8"/>
  <c r="R54" i="8"/>
  <c r="V54" i="8"/>
  <c r="O54" i="8"/>
  <c r="M54" i="8"/>
  <c r="N54" i="8"/>
  <c r="P54" i="8"/>
  <c r="AD54" i="8"/>
  <c r="AI54" i="8"/>
  <c r="AF54" i="8"/>
  <c r="AL54" i="8"/>
  <c r="AM54" i="8"/>
  <c r="AN54" i="8"/>
  <c r="Y54" i="8"/>
  <c r="AC54" i="8"/>
  <c r="AK54" i="8"/>
  <c r="AQ54" i="8"/>
  <c r="AS54" i="8"/>
  <c r="AO54" i="8"/>
  <c r="AH54" i="8"/>
  <c r="AB54" i="8"/>
  <c r="AA54" i="8"/>
  <c r="X54" i="8"/>
  <c r="AJ54" i="8"/>
  <c r="Z54" i="8"/>
  <c r="AU54" i="8"/>
  <c r="AG54" i="8"/>
  <c r="AR54" i="8"/>
  <c r="AP54" i="8"/>
  <c r="W54" i="8"/>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Y73" i="3" l="1"/>
  <c r="AX40" i="8"/>
  <c r="AX44" i="8" s="1"/>
  <c r="AZ40" i="8"/>
  <c r="AZ44" i="8" s="1"/>
  <c r="BA73" i="3"/>
  <c r="AV40" i="8"/>
  <c r="AV44" i="8" s="1"/>
  <c r="AW73" i="3"/>
  <c r="Y40" i="8"/>
  <c r="Z73" i="3"/>
  <c r="AB73" i="3"/>
  <c r="AA40" i="8"/>
  <c r="AH73" i="3"/>
  <c r="AG40" i="8"/>
  <c r="AS40" i="8"/>
  <c r="AS44" i="8" s="1"/>
  <c r="AT73" i="3"/>
  <c r="AF40" i="8"/>
  <c r="AG73" i="3"/>
  <c r="AL73" i="3"/>
  <c r="AK40" i="8"/>
  <c r="AK44" i="8" s="1"/>
  <c r="AJ73" i="3"/>
  <c r="AI40" i="8"/>
  <c r="AP40" i="8"/>
  <c r="AP44" i="8" s="1"/>
  <c r="AQ73" i="3"/>
  <c r="AK73" i="3"/>
  <c r="AJ40" i="8"/>
  <c r="AJ44" i="8" s="1"/>
  <c r="AE40" i="8"/>
  <c r="AF73" i="3"/>
  <c r="AV73" i="3"/>
  <c r="AU40" i="8"/>
  <c r="AU44" i="8" s="1"/>
  <c r="Y73" i="3"/>
  <c r="X40" i="8"/>
  <c r="AS73" i="3"/>
  <c r="AR40" i="8"/>
  <c r="AR44" i="8" s="1"/>
  <c r="AP73" i="3"/>
  <c r="AO40" i="8"/>
  <c r="AO44" i="8" s="1"/>
  <c r="AM73" i="3"/>
  <c r="AL40" i="8"/>
  <c r="AL44" i="8" s="1"/>
  <c r="AR73" i="3"/>
  <c r="AQ40" i="8"/>
  <c r="AQ44" i="8" s="1"/>
  <c r="AU73" i="3"/>
  <c r="AT40" i="8"/>
  <c r="AT44" i="8" s="1"/>
  <c r="AE73" i="3"/>
  <c r="AD40" i="8"/>
  <c r="AN73" i="3"/>
  <c r="AM40" i="8"/>
  <c r="AM44" i="8" s="1"/>
  <c r="AX73" i="3"/>
  <c r="AW40" i="8"/>
  <c r="AW44" i="8" s="1"/>
  <c r="AC40" i="8"/>
  <c r="AD73" i="3"/>
  <c r="AH40" i="8"/>
  <c r="AI73" i="3"/>
  <c r="AB40" i="8"/>
  <c r="AC73" i="3"/>
  <c r="AA73" i="3"/>
  <c r="Z40" i="8"/>
  <c r="AY40" i="8"/>
  <c r="AY44" i="8" s="1"/>
  <c r="AZ73" i="3"/>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C8" i="4"/>
  <c r="Q118" i="10" s="1"/>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7" i="3"/>
  <c r="D66"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C9" i="4"/>
  <c r="Q119" i="10" s="1"/>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N71"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23" i="4" l="1"/>
  <c r="M40" i="8"/>
  <c r="M44" i="8" s="1"/>
  <c r="S73" i="3"/>
  <c r="S23" i="4"/>
  <c r="J73" i="3"/>
  <c r="J23" i="4"/>
  <c r="T73" i="3"/>
  <c r="T23" i="4"/>
  <c r="L73" i="3"/>
  <c r="L23" i="4"/>
  <c r="K73" i="3"/>
  <c r="K23" i="4"/>
  <c r="N73" i="3"/>
  <c r="C79" i="3"/>
  <c r="C80" i="3" s="1"/>
  <c r="E33" i="3"/>
  <c r="E71" i="3"/>
  <c r="D40" i="8" s="1"/>
  <c r="N33" i="3"/>
  <c r="C50" i="3"/>
  <c r="J33" i="3"/>
  <c r="L33" i="3"/>
  <c r="S44" i="4"/>
  <c r="S33" i="3"/>
  <c r="K33" i="3"/>
  <c r="T44" i="4"/>
  <c r="T33" i="3"/>
  <c r="N44" i="4"/>
  <c r="K88" i="10"/>
  <c r="G88" i="10"/>
  <c r="G81" i="10"/>
  <c r="K84" i="10"/>
  <c r="K85" i="10" s="1"/>
  <c r="N31" i="3"/>
  <c r="R31" i="3"/>
  <c r="R29" i="3"/>
  <c r="R71" i="3" s="1"/>
  <c r="Q40" i="8" s="1"/>
  <c r="N35" i="3"/>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W41" i="8"/>
  <c r="W51" i="8" s="1"/>
  <c r="V19" i="3"/>
  <c r="S36" i="3"/>
  <c r="S35" i="3"/>
  <c r="S37" i="3"/>
  <c r="R41" i="3" s="1"/>
  <c r="R6" i="9"/>
  <c r="R10" i="9" s="1"/>
  <c r="S30" i="3"/>
  <c r="M19" i="3"/>
  <c r="L30" i="3"/>
  <c r="L36" i="3"/>
  <c r="L35" i="3"/>
  <c r="K6" i="9"/>
  <c r="K10" i="9" s="1"/>
  <c r="L37" i="3"/>
  <c r="H19" i="3"/>
  <c r="Q73" i="3" l="1"/>
  <c r="Q23" i="4"/>
  <c r="Q44" i="4" s="1"/>
  <c r="P73" i="3"/>
  <c r="P23" i="4"/>
  <c r="P44" i="4" s="1"/>
  <c r="E73" i="3"/>
  <c r="E23" i="4"/>
  <c r="R73" i="3"/>
  <c r="R23" i="4"/>
  <c r="W73" i="3"/>
  <c r="W23" i="4"/>
  <c r="D73" i="3"/>
  <c r="D23" i="4"/>
  <c r="U73" i="3"/>
  <c r="U23" i="4"/>
  <c r="U44" i="4" s="1"/>
  <c r="I73" i="3"/>
  <c r="I23" i="4"/>
  <c r="E50" i="3"/>
  <c r="E51" i="3" s="1"/>
  <c r="X71" i="3"/>
  <c r="W40" i="8" s="1"/>
  <c r="R44" i="8"/>
  <c r="S7" i="4" s="1"/>
  <c r="J44" i="8"/>
  <c r="K7" i="4" s="1"/>
  <c r="D44" i="8"/>
  <c r="E7" i="4" s="1"/>
  <c r="K44" i="8"/>
  <c r="L7" i="4" s="1"/>
  <c r="D33" i="3"/>
  <c r="U33" i="3"/>
  <c r="R44" i="4"/>
  <c r="R33" i="3"/>
  <c r="I33" i="3"/>
  <c r="W44" i="4"/>
  <c r="W33" i="3"/>
  <c r="X33" i="3"/>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L34" i="3" l="1"/>
  <c r="K34" i="3"/>
  <c r="E34" i="3"/>
  <c r="M73" i="3"/>
  <c r="M23" i="4"/>
  <c r="G73" i="3"/>
  <c r="G23" i="4"/>
  <c r="V73" i="3"/>
  <c r="V23" i="4"/>
  <c r="V44" i="4" s="1"/>
  <c r="H73" i="3"/>
  <c r="H23" i="4"/>
  <c r="F73" i="3"/>
  <c r="F23" i="4"/>
  <c r="X73" i="3"/>
  <c r="E79" i="3"/>
  <c r="E80" i="3" s="1"/>
  <c r="O33" i="3"/>
  <c r="O71" i="3"/>
  <c r="N40" i="8" s="1"/>
  <c r="S34" i="3"/>
  <c r="H44" i="8"/>
  <c r="I7" i="4" s="1"/>
  <c r="Q50" i="8"/>
  <c r="Q44" i="8"/>
  <c r="R34" i="3" s="1"/>
  <c r="X7" i="4"/>
  <c r="W44" i="8"/>
  <c r="X34" i="3" s="1"/>
  <c r="AO47" i="8"/>
  <c r="AZ47" i="8"/>
  <c r="AV47" i="8"/>
  <c r="AR47" i="8"/>
  <c r="AN47" i="8"/>
  <c r="AY47" i="8"/>
  <c r="AU47" i="8"/>
  <c r="AP47" i="8"/>
  <c r="AM47" i="8"/>
  <c r="AX47" i="8"/>
  <c r="AS47" i="8"/>
  <c r="AQ47" i="8"/>
  <c r="AL47" i="8"/>
  <c r="AW47" i="8"/>
  <c r="AT47" i="8"/>
  <c r="G33" i="3"/>
  <c r="V33" i="3"/>
  <c r="H33" i="3"/>
  <c r="M44" i="4"/>
  <c r="M33" i="3"/>
  <c r="F33" i="3"/>
  <c r="T34" i="3"/>
  <c r="T7" i="4"/>
  <c r="N34" i="3"/>
  <c r="N7" i="4"/>
  <c r="J34" i="3"/>
  <c r="J7" i="4"/>
  <c r="O50" i="8"/>
  <c r="P7" i="4"/>
  <c r="T50" i="8"/>
  <c r="C50" i="8"/>
  <c r="D7" i="4"/>
  <c r="C51" i="3"/>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C77" i="3" l="1"/>
  <c r="C81" i="3" s="1"/>
  <c r="C82" i="3" s="1"/>
  <c r="I34" i="3"/>
  <c r="O73" i="3"/>
  <c r="E77" i="3" s="1"/>
  <c r="O23" i="4"/>
  <c r="O44" i="4" s="1"/>
  <c r="L44" i="8"/>
  <c r="M7" i="4" s="1"/>
  <c r="G44" i="8"/>
  <c r="H7" i="4" s="1"/>
  <c r="N44" i="8"/>
  <c r="O34" i="3" s="1"/>
  <c r="U44" i="8"/>
  <c r="V7" i="4" s="1"/>
  <c r="F44" i="8"/>
  <c r="G7" i="4" s="1"/>
  <c r="G114" i="10"/>
  <c r="C62" i="3"/>
  <c r="D16" i="2" s="1"/>
  <c r="R7" i="4"/>
  <c r="P34" i="3"/>
  <c r="U34" i="3"/>
  <c r="U7" i="4"/>
  <c r="W34" i="3"/>
  <c r="W7" i="4"/>
  <c r="Q34" i="3"/>
  <c r="Q7" i="4"/>
  <c r="D34" i="3"/>
  <c r="E48" i="3"/>
  <c r="E52" i="3" s="1"/>
  <c r="D15" i="2" s="1"/>
  <c r="C48" i="3"/>
  <c r="C52" i="3" s="1"/>
  <c r="D6" i="4"/>
  <c r="D10" i="4" s="1"/>
  <c r="D11" i="9"/>
  <c r="D12" i="9" s="1"/>
  <c r="E50" i="8"/>
  <c r="G50" i="8"/>
  <c r="V34" i="3"/>
  <c r="U50" i="8"/>
  <c r="F50" i="8"/>
  <c r="N50" i="8"/>
  <c r="L50" i="8"/>
  <c r="F56" i="4" l="1"/>
  <c r="G68" i="10" s="1"/>
  <c r="F57" i="4"/>
  <c r="E81" i="3"/>
  <c r="K109" i="10" s="1"/>
  <c r="F55" i="4"/>
  <c r="G34" i="3"/>
  <c r="H34" i="3"/>
  <c r="M34" i="3"/>
  <c r="O7" i="4"/>
  <c r="F2" i="2"/>
  <c r="V2" i="2"/>
  <c r="G112" i="10"/>
  <c r="G111" i="10" s="1"/>
  <c r="C7" i="4"/>
  <c r="D57" i="4" s="1"/>
  <c r="E69" i="10" s="1"/>
  <c r="K112" i="10"/>
  <c r="K111" i="10" s="1"/>
  <c r="F34" i="3"/>
  <c r="F7" i="4"/>
  <c r="D13" i="9"/>
  <c r="E11" i="9" s="1"/>
  <c r="E12" i="9" s="1"/>
  <c r="E59" i="3"/>
  <c r="C53" i="3"/>
  <c r="C59" i="3"/>
  <c r="C60" i="3" s="1"/>
  <c r="E53" i="3"/>
  <c r="G69" i="10" l="1"/>
  <c r="AG14" i="2"/>
  <c r="G67" i="10"/>
  <c r="AF14" i="2"/>
  <c r="E82" i="3"/>
  <c r="G108" i="10" s="1"/>
  <c r="D55" i="4"/>
  <c r="E67" i="10" s="1"/>
  <c r="D56" i="4"/>
  <c r="E68" i="10" s="1"/>
  <c r="G109" i="10"/>
  <c r="E13" i="9"/>
  <c r="F11" i="9" s="1"/>
  <c r="F12" i="9" s="1"/>
  <c r="E60" i="3"/>
  <c r="E6" i="4"/>
  <c r="E10" i="4" s="1"/>
  <c r="D13" i="2" l="1"/>
  <c r="K108" i="10"/>
  <c r="AD14" i="2"/>
  <c r="F13" i="9"/>
  <c r="G11" i="9" s="1"/>
  <c r="G12" i="9" s="1"/>
  <c r="F6" i="4"/>
  <c r="F10" i="4" s="1"/>
  <c r="G13" i="9" l="1"/>
  <c r="G6" i="4"/>
  <c r="G10" i="4" s="1"/>
  <c r="H11" i="9" l="1"/>
  <c r="H12" i="9" s="1"/>
  <c r="H6" i="4"/>
  <c r="H10" i="4" s="1"/>
  <c r="H13" i="9" l="1"/>
  <c r="I6" i="4" s="1"/>
  <c r="I10" i="4" s="1"/>
  <c r="I11" i="9" l="1"/>
  <c r="I12" i="9" s="1"/>
  <c r="I13" i="9" l="1"/>
  <c r="J6" i="4" l="1"/>
  <c r="J10" i="4" s="1"/>
  <c r="J11" i="9"/>
  <c r="J12" i="9" s="1"/>
  <c r="J13" i="9" l="1"/>
  <c r="K6" i="4" s="1"/>
  <c r="K11" i="9" l="1"/>
  <c r="K12" i="9" s="1"/>
  <c r="K10" i="4"/>
  <c r="K13" i="9" l="1"/>
  <c r="L6" i="4" s="1"/>
  <c r="L10" i="4" s="1"/>
  <c r="L11" i="9" l="1"/>
  <c r="L12" i="9" s="1"/>
  <c r="L13" i="9" l="1"/>
  <c r="M6" i="4" s="1"/>
  <c r="M10" i="4" s="1"/>
  <c r="M11" i="9" l="1"/>
  <c r="M12" i="9" s="1"/>
  <c r="M13" i="9" l="1"/>
  <c r="N6" i="4" s="1"/>
  <c r="N10" i="4" s="1"/>
  <c r="N11" i="9" l="1"/>
  <c r="N12" i="9" s="1"/>
  <c r="N13" i="9" l="1"/>
  <c r="O11" i="9" s="1"/>
  <c r="O12" i="9" s="1"/>
  <c r="O6" i="4" l="1"/>
  <c r="O10" i="4" s="1"/>
  <c r="O13" i="9"/>
  <c r="P11" i="9" l="1"/>
  <c r="P12" i="9" s="1"/>
  <c r="P6" i="4"/>
  <c r="P10" i="4" s="1"/>
  <c r="P13" i="9" l="1"/>
  <c r="Q11" i="9" l="1"/>
  <c r="Q12" i="9" s="1"/>
  <c r="Q6" i="4"/>
  <c r="Q10" i="4" s="1"/>
  <c r="Q13" i="9" l="1"/>
  <c r="R11" i="9" l="1"/>
  <c r="R12" i="9" s="1"/>
  <c r="R6" i="4"/>
  <c r="R10" i="4" s="1"/>
  <c r="R13" i="9" l="1"/>
  <c r="S11" i="9" l="1"/>
  <c r="S12" i="9" s="1"/>
  <c r="S6" i="4"/>
  <c r="S10" i="4" s="1"/>
  <c r="S13" i="9" l="1"/>
  <c r="T6" i="4" l="1"/>
  <c r="T10" i="4" s="1"/>
  <c r="T11" i="9"/>
  <c r="T12" i="9" s="1"/>
  <c r="T13" i="9" l="1"/>
  <c r="U11" i="9" s="1"/>
  <c r="U6" i="4" l="1"/>
  <c r="U10" i="4" s="1"/>
  <c r="U12" i="9"/>
  <c r="U13" i="9"/>
  <c r="V6" i="4" l="1"/>
  <c r="V10" i="4" s="1"/>
  <c r="V11" i="9"/>
  <c r="V13" i="9" s="1"/>
  <c r="V12" i="9" l="1"/>
  <c r="W6" i="4"/>
  <c r="W11" i="9" l="1"/>
  <c r="W12" i="9" s="1"/>
  <c r="W10" i="4" l="1"/>
  <c r="W13" i="9"/>
  <c r="X6" i="4" l="1"/>
  <c r="X10" i="4" s="1"/>
  <c r="X11" i="9"/>
  <c r="X12" i="9" s="1"/>
  <c r="X13" i="9" l="1"/>
  <c r="Y6" i="4" s="1"/>
  <c r="Y10" i="4" l="1"/>
  <c r="Y11" i="9"/>
  <c r="Y13" i="9" s="1"/>
  <c r="Y12" i="9" l="1"/>
  <c r="Z11" i="9"/>
  <c r="Z12" i="9" s="1"/>
  <c r="Z6" i="4"/>
  <c r="Z10" i="4" s="1"/>
  <c r="Z13" i="9" l="1"/>
  <c r="AA6" i="4" l="1"/>
  <c r="AA10" i="4" s="1"/>
  <c r="AA11" i="9"/>
  <c r="AA12" i="9" s="1"/>
  <c r="AA13" i="9" l="1"/>
  <c r="AB11" i="9" s="1"/>
  <c r="AB12" i="9" s="1"/>
  <c r="AB6" i="4" l="1"/>
  <c r="AB10" i="4" s="1"/>
  <c r="AB13" i="9"/>
  <c r="AC11" i="9" l="1"/>
  <c r="AC12" i="9" s="1"/>
  <c r="AC6" i="4"/>
  <c r="AC10" i="4" s="1"/>
  <c r="AC13" i="9" l="1"/>
  <c r="AD11" i="9" s="1"/>
  <c r="AD12" i="9" s="1"/>
  <c r="AD6" i="4" l="1"/>
  <c r="AD10" i="4" s="1"/>
  <c r="AD13" i="9"/>
  <c r="AE6" i="4" s="1"/>
  <c r="AE10" i="4" s="1"/>
  <c r="AE11" i="9" l="1"/>
  <c r="AE12" i="9" l="1"/>
  <c r="AE13" i="9"/>
  <c r="AF11" i="9" l="1"/>
  <c r="AF12" i="9" s="1"/>
  <c r="AF6" i="4"/>
  <c r="AF10" i="4" s="1"/>
  <c r="AF13" i="9" l="1"/>
  <c r="AG11" i="9" s="1"/>
  <c r="AG12" i="9" s="1"/>
  <c r="AG6" i="4" l="1"/>
  <c r="AG10" i="4" s="1"/>
  <c r="AG13" i="9"/>
  <c r="AH6" i="4" l="1"/>
  <c r="AH10" i="4" s="1"/>
  <c r="AH11" i="9"/>
  <c r="AH12" i="9" s="1"/>
  <c r="AH13" i="9" l="1"/>
  <c r="AI6" i="4" l="1"/>
  <c r="AI10" i="4" s="1"/>
  <c r="AI11" i="9"/>
  <c r="AI12" i="9" s="1"/>
  <c r="AI13" i="9" l="1"/>
  <c r="AJ6" i="4" l="1"/>
  <c r="AJ11" i="9"/>
  <c r="AJ12" i="9" s="1"/>
  <c r="AJ13" i="9" l="1"/>
  <c r="AJ10" i="4"/>
  <c r="AK6" i="4" l="1"/>
  <c r="AK10" i="4" s="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1" i="4" l="1"/>
  <c r="X60" i="4"/>
  <c r="X59" i="4"/>
  <c r="Y59" i="4"/>
  <c r="Y60" i="4"/>
  <c r="Y61" i="4"/>
  <c r="Z59" i="4"/>
  <c r="Z60" i="4"/>
  <c r="Z61" i="4"/>
  <c r="AF59" i="4"/>
  <c r="AF60" i="4"/>
  <c r="AF61" i="4"/>
  <c r="AI60" i="4"/>
  <c r="AI61" i="4"/>
  <c r="AI59" i="4"/>
  <c r="AH60" i="4"/>
  <c r="AH61" i="4"/>
  <c r="AH59" i="4"/>
  <c r="AE59" i="4"/>
  <c r="AE60" i="4"/>
  <c r="AE61" i="4"/>
  <c r="AG59" i="4"/>
  <c r="AG60" i="4"/>
  <c r="AG61" i="4"/>
  <c r="AB59" i="4"/>
  <c r="AB60" i="4"/>
  <c r="AB61" i="4"/>
  <c r="AC59" i="4"/>
  <c r="AC60" i="4"/>
  <c r="AC61" i="4"/>
  <c r="AJ61" i="4"/>
  <c r="AJ59" i="4"/>
  <c r="AJ60" i="4"/>
  <c r="AD59" i="4"/>
  <c r="AD60" i="4"/>
  <c r="AD61"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0" i="4" s="1"/>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R59" i="4" l="1"/>
  <c r="AR60" i="4"/>
  <c r="AR61" i="4"/>
  <c r="AZ59" i="4"/>
  <c r="AZ60" i="4"/>
  <c r="AZ61" i="4"/>
  <c r="AW60" i="4"/>
  <c r="AW59" i="4"/>
  <c r="AW61" i="4"/>
  <c r="AT59" i="4"/>
  <c r="AT60" i="4"/>
  <c r="AT61" i="4"/>
  <c r="AY59" i="4"/>
  <c r="AY60" i="4"/>
  <c r="AY61" i="4"/>
  <c r="AP59" i="4"/>
  <c r="AP60" i="4"/>
  <c r="AP61" i="4"/>
  <c r="BA59" i="4"/>
  <c r="BA60" i="4"/>
  <c r="BA61" i="4"/>
  <c r="AN59" i="4"/>
  <c r="AN60" i="4"/>
  <c r="AN61" i="4"/>
  <c r="AL59" i="4"/>
  <c r="AL60" i="4"/>
  <c r="AL61" i="4"/>
  <c r="AU60" i="4"/>
  <c r="AU59" i="4"/>
  <c r="AU61" i="4"/>
  <c r="AX59" i="4"/>
  <c r="AX60" i="4"/>
  <c r="AX61" i="4"/>
  <c r="AO59" i="4"/>
  <c r="AO60" i="4"/>
  <c r="AO61" i="4"/>
  <c r="AK61" i="4"/>
  <c r="AK59" i="4"/>
  <c r="AK60" i="4"/>
  <c r="AS59" i="4"/>
  <c r="AS60" i="4"/>
  <c r="AS61" i="4"/>
  <c r="AQ59" i="4"/>
  <c r="AQ60" i="4"/>
  <c r="AQ61" i="4"/>
  <c r="AV60" i="4"/>
  <c r="AV59" i="4"/>
  <c r="AV61" i="4"/>
  <c r="AM59" i="4"/>
  <c r="AM60" i="4"/>
  <c r="AM61" i="4"/>
  <c r="AM6" i="4"/>
  <c r="AM10" i="4" s="1"/>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0" i="4" s="1"/>
  <c r="AN11" i="9"/>
  <c r="AN12" i="9" s="1"/>
  <c r="R28" i="4"/>
  <c r="R31" i="4" s="1"/>
  <c r="R37" i="4" s="1"/>
  <c r="R61" i="4" l="1"/>
  <c r="R59" i="4"/>
  <c r="R60" i="4"/>
  <c r="AN13" i="9"/>
  <c r="R32" i="4"/>
  <c r="AO6" i="4" l="1"/>
  <c r="AO10" i="4" s="1"/>
  <c r="AO11" i="9"/>
  <c r="AO12" i="9" s="1"/>
  <c r="R33" i="4"/>
  <c r="R38" i="4" s="1"/>
  <c r="R46" i="4"/>
  <c r="AO13" i="9" l="1"/>
  <c r="R49" i="4"/>
  <c r="R48" i="4" s="1"/>
  <c r="AP6" i="4" l="1"/>
  <c r="AP10" i="4" s="1"/>
  <c r="AP11" i="9"/>
  <c r="AP12" i="9" s="1"/>
  <c r="M39" i="2"/>
  <c r="AP13" i="9" l="1"/>
  <c r="L39" i="2"/>
  <c r="N39" i="2"/>
  <c r="D108" i="10"/>
  <c r="AQ11" i="9" l="1"/>
  <c r="AQ12" i="9" s="1"/>
  <c r="AQ6" i="4"/>
  <c r="AQ10" i="4" s="1"/>
  <c r="AQ13" i="9" l="1"/>
  <c r="AR6" i="4" l="1"/>
  <c r="AR10" i="4" s="1"/>
  <c r="AR11" i="9"/>
  <c r="AR12" i="9" s="1"/>
  <c r="AR13" i="9" l="1"/>
  <c r="AS6" i="4" l="1"/>
  <c r="AS10" i="4" s="1"/>
  <c r="AS11" i="9"/>
  <c r="AS12" i="9" s="1"/>
  <c r="AS13" i="9" l="1"/>
  <c r="AT6" i="4" l="1"/>
  <c r="AT10" i="4" s="1"/>
  <c r="AT11" i="9"/>
  <c r="AT12" i="9" s="1"/>
  <c r="AT13" i="9" l="1"/>
  <c r="AU6" i="4" l="1"/>
  <c r="AU10" i="4" s="1"/>
  <c r="AU11" i="9"/>
  <c r="AU12" i="9" s="1"/>
  <c r="AU13" i="9" l="1"/>
  <c r="AV6" i="4" l="1"/>
  <c r="AV10" i="4" s="1"/>
  <c r="AV11" i="9"/>
  <c r="AV12" i="9" s="1"/>
  <c r="AV13" i="9" l="1"/>
  <c r="AW6" i="4" l="1"/>
  <c r="AW10" i="4" s="1"/>
  <c r="AW11" i="9"/>
  <c r="AW12" i="9" s="1"/>
  <c r="AW13" i="9" l="1"/>
  <c r="AX6" i="4" l="1"/>
  <c r="AX10" i="4" s="1"/>
  <c r="AX11" i="9"/>
  <c r="AX12" i="9" s="1"/>
  <c r="AX13" i="9" l="1"/>
  <c r="AY6" i="4" l="1"/>
  <c r="AY10" i="4" s="1"/>
  <c r="AY11" i="9"/>
  <c r="AY12" i="9" s="1"/>
  <c r="AY13" i="9" l="1"/>
  <c r="AZ6" i="4" l="1"/>
  <c r="AZ11" i="9"/>
  <c r="AZ12" i="9" s="1"/>
  <c r="AZ13" i="9" l="1"/>
  <c r="BA6" i="4" s="1"/>
  <c r="C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AA59" i="4"/>
  <c r="AA60" i="4"/>
  <c r="AA61" i="4"/>
  <c r="E56" i="4"/>
  <c r="G56" i="4" s="1"/>
  <c r="AE14" i="2"/>
  <c r="E57" i="4"/>
  <c r="D69" i="10" s="1"/>
  <c r="AI14" i="2"/>
  <c r="E55" i="4"/>
  <c r="G55" i="4" s="1"/>
  <c r="AH14" i="2"/>
  <c r="AA33" i="4"/>
  <c r="AA38" i="4" s="1"/>
  <c r="D41" i="4" s="1"/>
  <c r="D14" i="2"/>
  <c r="G105" i="10"/>
  <c r="K105" i="10"/>
  <c r="D68" i="10" l="1"/>
  <c r="G57" i="4"/>
  <c r="D67"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<sst xmlns="http://schemas.openxmlformats.org/spreadsheetml/2006/main" count="549" uniqueCount="424">
  <si>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</si>
  <si>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</si>
  <si>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</si>
  <si>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</si>
  <si>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</si>
  <si>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</si>
  <si>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</si>
  <si>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</si>
  <si>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</si>
  <si>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</si>
  <si>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</si>
  <si>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</si>
  <si>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</si>
  <si>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</si>
  <si>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</si>
  <si>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</si>
  <si>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</si>
  <si>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</si>
  <si>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</si>
  <si>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</si>
  <si>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</si>
  <si>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</si>
  <si>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</si>
  <si>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</si>
  <si>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</si>
  <si>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</si>
  <si>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</si>
  <si>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</si>
  <si>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</si>
  <si>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</si>
  <si>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</si>
  <si>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</si>
  <si>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</si>
  <si>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</si>
  <si>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</si>
  <si>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</si>
  <si>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</si>
  <si>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</si>
  <si>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</si>
  <si>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</si>
  <si>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</si>
  <si>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</si>
  <si>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</si>
  <si>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</si>
  <si>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</si>
  <si>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</si>
  <si>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</si>
  <si>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</si>
  <si>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</si>
  <si>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</si>
  <si>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</si>
  <si>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</si>
  <si>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</si>
  <si>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</si>
  <si>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</si>
  <si>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</si>
  <si>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</si>
  <si>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</si>
  <si>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</si>
  <si>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</si>
  <si>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</si>
  <si>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</si>
  <si>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</si>
  <si>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</si>
  <si>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</si>
  <si>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</si>
  <si>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</si>
  <si>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</si>
  <si>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</si>
  <si>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</si>
  <si>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</si>
  <si>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</si>
  <si>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</si>
  <si>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</si>
  <si>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</si>
  <si>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</si>
  <si>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</si>
  <si>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</si>
  <si>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</si>
  <si>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</si>
  <si>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</si>
  <si>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</si>
  <si>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</si>
  <si>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</si>
  <si>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</si>
  <si>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</si>
  <si>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</si>
  <si>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</si>
  <si>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</si>
  <si>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</si>
  <si>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</si>
  <si>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</si>
  <si>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</si>
  <si>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</si>
  <si>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</si>
  <si>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</si>
  <si>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</si>
  <si>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</si>
  <si>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</si>
  <si>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</si>
  <si>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</si>
  <si>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</si>
  <si>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</si>
  <si>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</si>
  <si>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</si>
  <si>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</si>
  <si>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</si>
  <si>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</si>
  <si>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</si>
  <si>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</si>
  <si>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</si>
  <si>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</si>
  <si>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</si>
  <si>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</si>
  <si>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</si>
  <si>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</si>
  <si>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</si>
  <si>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</si>
  <si>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</si>
  <si>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</si>
  <si>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</si>
  <si>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</si>
  <si>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</si>
  <si>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</si>
  <si>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</si>
  <si>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</si>
  <si>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</si>
  <si>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</si>
  <si>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</si>
  <si>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</si>
  <si>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</si>
  <si>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</si>
  <si>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</si>
  <si>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</si>
  <si>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</si>
  <si>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</si>
  <si>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</si>
  <si>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</si>
  <si>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</si>
  <si>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</si>
  <si>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</si>
  <si>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</si>
  <si>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</si>
  <si>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</si>
  <si>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</si>
  <si>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</si>
  <si>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</si>
  <si>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</si>
  <si>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</si>
  <si>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</si>
  <si>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</si>
  <si>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</si>
  <si>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</si>
  <si>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</si>
  <si>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</si>
  <si>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</si>
  <si>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</si>
  <si>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</si>
  <si>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</si>
  <si>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</si>
  <si>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</si>
  <si>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</si>
  <si>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</si>
  <si>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</si>
  <si>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</si>
  <si>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</si>
  <si>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</si>
  <si>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</si>
  <si>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</si>
  <si>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</si>
  <si>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</si>
  <si>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</si>
  <si>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</si>
  <si>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</si>
  <si>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</si>
  <si>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</si>
  <si>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</si>
  <si>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</si>
  <si>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</si>
  <si>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</si>
  <si>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</si>
  <si>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</si>
  <si>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</si>
  <si>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</si>
  <si>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</si>
  <si>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</si>
  <si>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</si>
  <si>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</si>
  <si>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</si>
  <si>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</si>
  <si>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</si>
  <si>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</si>
  <si>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</si>
  <si>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</si>
  <si>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</si>
  <si>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</si>
  <si>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</si>
  <si>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</si>
  <si>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</si>
  <si>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</si>
  <si>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</si>
  <si>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</si>
  <si>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</si>
  <si>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</si>
  <si>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</si>
  <si>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</si>
  <si>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</si>
  <si>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</si>
  <si>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</si>
  <si>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</si>
  <si>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</si>
  <si>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</si>
  <si>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</si>
  <si>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</si>
  <si>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</si>
  <si>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</si>
  <si>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</si>
  <si>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</si>
  <si>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</si>
  <si>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</si>
  <si>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</si>
  <si>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</si>
  <si>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</si>
  <si>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</si>
  <si>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</si>
  <si>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</si>
  <si>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</si>
  <si>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</si>
  <si>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</si>
  <si>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</si>
  <si>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</si>
  <si>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</si>
  <si>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</si>
  <si>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</si>
  <si>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</si>
  <si>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</si>
  <si>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</si>
  <si>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</si>
  <si>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</si>
  <si>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</si>
  <si>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</si>
  <si>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</si>
  <si>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</si>
  <si>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</si>
  <si>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</si>
  <si>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</si>
  <si>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</si>
  <si>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</si>
  <si>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</si>
  <si>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</si>
  <si>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</si>
  <si>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</si>
  <si>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</si>
  <si>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</si>
  <si>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</si>
  <si>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</si>
  <si>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</si>
  <si>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</si>
  <si>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</si>
  <si>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</si>
  <si>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</si>
  <si>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</si>
  <si>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</si>
  <si>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</si>
  <si>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Bedömt minsta försäljningsvärde exit år</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</si>
  <si>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</si>
  <si>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</si>
  <si>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</si>
  <si>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</si>
  <si>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</si>
  <si>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</si>
  <si>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</si>
  <si>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</si>
  <si>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</si>
  <si>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</si>
  <si>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</si>
  <si>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</si>
  <si>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</si>
  <si>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(avskrivningar återförda)</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</si>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</sst>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66">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3" fontId="25" fillId="8" borderId="0" xfId="1" applyNumberFormat="1" applyFont="1" applyFill="1" applyBorder="1" applyAlignment="1" applyProtection="1">
      <alignment horizontal="right" indent="3"/>
      <protection locked="0"/>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xf numFmtId="0" fontId="20" fillId="8" borderId="1" xfId="0" applyFont="1" applyFill="1" applyBorder="1" applyAlignment="1" applyProtection="1">
      <alignment wrapText="1"/>
      <protection locked="0"/>
    </xf>
    <xf numFmtId="0" fontId="20" fillId="8" borderId="12" xfId="0" applyFont="1" applyFill="1" applyBorder="1" applyAlignment="1" applyProtection="1">
      <alignment wrapText="1"/>
      <protection locked="0"/>
    </xf>
    <xf numFmtId="0" fontId="50" fillId="8" borderId="11" xfId="0" applyFont="1" applyFill="1" applyBorder="1" applyAlignment="1" applyProtection="1">
      <alignment wrapText="1"/>
      <protection locked="0"/>
    </xf>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24" fillId="3" borderId="0" xfId="0" applyNumberFormat="1" applyFont="1" applyFill="1" applyAlignment="1">
      <alignment horizontal="right" vertical="top"/>
    </xf>
    <xf numFmtId="10" fontId="24" fillId="3" borderId="15" xfId="0" applyNumberFormat="1" applyFont="1" applyFill="1" applyBorder="1" applyAlignment="1">
      <alignment horizontal="right" vertical="top"/>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24" fillId="3" borderId="0" xfId="0" applyNumberFormat="1" applyFont="1" applyFill="1" applyAlignment="1">
      <alignment horizontal="right" vertical="top"/>
    </xf>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06"/>
      <c r="C1" s="506"/>
      <c r="D1" s="506"/>
      <c r="E1" s="506"/>
      <c r="F1" s="506"/>
      <c r="G1" s="506"/>
      <c r="H1" s="506"/>
      <c r="I1" s="506"/>
      <c r="J1" s="650" t="s">
        <v>0</v>
      </c>
      <c r="K1" s="650"/>
      <c r="L1" s="650"/>
      <c r="M1" s="650"/>
      <c r="N1" s="650"/>
      <c r="O1" s="650"/>
      <c r="P1" s="650"/>
      <c r="Q1" s="650"/>
      <c r="R1" s="506"/>
      <c r="S1" s="506"/>
      <c r="T1" s="506"/>
      <c r="U1" s="506"/>
      <c r="V1" s="506"/>
      <c r="W1" s="506"/>
      <c r="X1" s="506"/>
      <c r="Y1" s="506"/>
    </row>
    <row r="2" spans="2:25" ht="30">
      <c r="B2" s="479" t="s">
        <v>1</v>
      </c>
      <c r="C2" s="480"/>
      <c r="D2" s="381"/>
      <c r="E2" s="381"/>
      <c r="F2" s="381"/>
      <c r="G2" s="481"/>
      <c r="H2" s="506"/>
      <c r="I2" s="506"/>
      <c r="J2" s="650"/>
      <c r="K2" s="650"/>
      <c r="L2" s="650"/>
      <c r="M2" s="650"/>
      <c r="N2" s="650"/>
      <c r="O2" s="650"/>
      <c r="P2" s="650"/>
      <c r="Q2" s="650"/>
      <c r="R2" s="650" t="s">
        <v>2</v>
      </c>
      <c r="S2" s="650"/>
      <c r="T2" s="650"/>
      <c r="U2" s="13"/>
      <c r="V2" s="13"/>
      <c r="W2" s="13"/>
      <c r="X2" s="13"/>
      <c r="Y2" s="13"/>
    </row>
    <row r="3" spans="2:25" ht="22.5" customHeight="1">
      <c r="B3" s="647" t="s">
        <v>3</v>
      </c>
      <c r="C3" s="648"/>
      <c r="D3" s="648"/>
      <c r="E3" s="648"/>
      <c r="F3" s="648"/>
      <c r="G3" s="649"/>
      <c r="H3" s="506"/>
      <c r="I3" s="506"/>
      <c r="J3" s="650"/>
      <c r="K3" s="650"/>
      <c r="L3" s="650"/>
      <c r="M3" s="650"/>
      <c r="N3" s="650"/>
      <c r="O3" s="650"/>
      <c r="P3" s="650"/>
      <c r="Q3" s="650"/>
      <c r="R3" s="650"/>
      <c r="S3" s="650"/>
      <c r="T3" s="650"/>
      <c r="U3" s="13"/>
      <c r="V3" s="13"/>
      <c r="W3" s="13"/>
      <c r="X3" s="13"/>
      <c r="Y3" s="13"/>
    </row>
    <row r="4" spans="2:25" ht="15" customHeight="1">
      <c r="B4" s="507" t="s">
        <v>4</v>
      </c>
      <c r="C4" s="508"/>
      <c r="D4" s="508"/>
      <c r="E4" s="508"/>
      <c r="F4" s="508"/>
      <c r="G4" s="509" t="s">
        <v>5</v>
      </c>
      <c r="H4" s="506"/>
      <c r="I4" s="506"/>
      <c r="J4" s="650"/>
      <c r="K4" s="650"/>
      <c r="L4" s="650"/>
      <c r="M4" s="650"/>
      <c r="N4" s="650"/>
      <c r="O4" s="650"/>
      <c r="P4" s="650"/>
      <c r="Q4" s="650"/>
      <c r="R4" s="13"/>
      <c r="S4" s="13"/>
      <c r="T4" s="13"/>
      <c r="U4" s="13"/>
      <c r="V4" s="13"/>
      <c r="W4" s="13"/>
      <c r="X4" s="13"/>
      <c r="Y4" s="13"/>
    </row>
    <row r="5" spans="2:25" ht="15" customHeight="1">
      <c r="B5" s="14" t="s">
        <v>6</v>
      </c>
      <c r="C5" s="15"/>
      <c r="D5" s="510"/>
      <c r="E5" s="511"/>
      <c r="F5" s="511"/>
      <c r="G5" s="499" t="s">
        <v>5</v>
      </c>
      <c r="H5" s="506"/>
      <c r="I5" s="506"/>
      <c r="J5" s="506"/>
      <c r="K5" s="16"/>
      <c r="L5" s="17"/>
      <c r="M5" s="506"/>
      <c r="N5" s="506"/>
      <c r="O5" s="506"/>
      <c r="P5" s="506"/>
      <c r="Q5" s="506"/>
      <c r="R5" s="13"/>
      <c r="S5" s="13" t="s">
        <v>7</v>
      </c>
      <c r="T5" s="13"/>
      <c r="U5" s="13"/>
      <c r="V5" s="13"/>
      <c r="W5" s="13"/>
      <c r="X5" s="13"/>
      <c r="Y5" s="13"/>
    </row>
    <row r="6" spans="2:25" ht="15">
      <c r="B6" s="18" t="s">
        <v>8</v>
      </c>
      <c r="C6" s="19"/>
      <c r="D6" s="506"/>
      <c r="E6" s="512"/>
      <c r="F6" s="513"/>
      <c r="G6" s="499" t="s">
        <v>5</v>
      </c>
      <c r="H6" s="506"/>
      <c r="I6" s="506"/>
      <c r="J6" s="506"/>
      <c r="K6" s="20" t="str">
        <f>'2. Kalkyldata'!$G$6</f>
        <v>Fyll i</v>
      </c>
      <c r="L6" s="21"/>
      <c r="M6" s="506"/>
      <c r="N6" s="506"/>
      <c r="O6" s="506"/>
      <c r="P6" s="506"/>
      <c r="Q6" s="506"/>
      <c r="R6" s="514" t="s">
        <v>9</v>
      </c>
      <c r="S6" s="515"/>
      <c r="T6" s="506"/>
      <c r="U6" s="506"/>
      <c r="V6" s="506"/>
      <c r="W6" s="506"/>
      <c r="X6" s="506"/>
      <c r="Y6" s="506"/>
    </row>
    <row r="7" spans="2:25" ht="15">
      <c r="B7" s="18" t="s">
        <v>10</v>
      </c>
      <c r="C7" s="19"/>
      <c r="D7" s="506"/>
      <c r="E7" s="512"/>
      <c r="F7" s="513"/>
      <c r="G7" s="499" t="s">
        <v>5</v>
      </c>
      <c r="H7" s="506"/>
      <c r="I7" s="506"/>
      <c r="J7" s="506"/>
      <c r="K7" s="22"/>
      <c r="L7" s="21"/>
      <c r="M7" s="506"/>
      <c r="N7" s="506"/>
      <c r="O7" s="506"/>
      <c r="P7" s="506"/>
      <c r="Q7" s="506"/>
      <c r="R7" s="500" t="s">
        <v>11</v>
      </c>
      <c r="S7" s="516" t="s">
        <v>12</v>
      </c>
      <c r="T7" s="506"/>
      <c r="U7" s="506"/>
      <c r="V7" s="506"/>
      <c r="W7" s="506"/>
      <c r="X7" s="506"/>
      <c r="Y7" s="506"/>
    </row>
    <row r="8" spans="2:25" ht="15">
      <c r="B8" s="18" t="s">
        <v>13</v>
      </c>
      <c r="C8" s="19"/>
      <c r="D8" s="506"/>
      <c r="E8" s="512"/>
      <c r="F8" s="512"/>
      <c r="G8" s="499" t="s">
        <v>5</v>
      </c>
      <c r="H8" s="506"/>
      <c r="I8" s="506"/>
      <c r="J8" s="506"/>
      <c r="K8" s="22" t="str">
        <f>'2. Kalkyldata'!$J$6</f>
        <v>Fyll i</v>
      </c>
      <c r="L8" s="21"/>
      <c r="M8" s="517"/>
      <c r="N8" s="506"/>
      <c r="O8" s="506"/>
      <c r="P8" s="506"/>
      <c r="Q8" s="506"/>
      <c r="R8" s="500" t="s">
        <v>14</v>
      </c>
      <c r="S8" s="516" t="s">
        <v>12</v>
      </c>
      <c r="T8" s="506"/>
      <c r="U8" s="506"/>
      <c r="V8" s="506"/>
      <c r="W8" s="506"/>
      <c r="X8" s="506"/>
      <c r="Y8" s="506"/>
    </row>
    <row r="9" spans="2:25" ht="15">
      <c r="B9" s="18" t="s">
        <v>15</v>
      </c>
      <c r="C9" s="19"/>
      <c r="D9" s="506"/>
      <c r="E9" s="512"/>
      <c r="F9" s="512"/>
      <c r="G9" s="499" t="s">
        <v>5</v>
      </c>
      <c r="H9" s="506"/>
      <c r="I9" s="506"/>
      <c r="J9" s="506"/>
      <c r="K9" s="22" t="str">
        <f>'2. Kalkyldata'!$I$6</f>
        <v>Fyll i</v>
      </c>
      <c r="L9" s="21"/>
      <c r="M9" s="517"/>
      <c r="N9" s="506"/>
      <c r="O9" s="506"/>
      <c r="P9" s="506"/>
      <c r="Q9" s="506"/>
      <c r="R9" s="500" t="s">
        <v>16</v>
      </c>
      <c r="S9" s="516" t="s">
        <v>12</v>
      </c>
      <c r="T9" s="506"/>
      <c r="U9" s="506"/>
      <c r="V9" s="506"/>
      <c r="W9" s="506"/>
      <c r="X9" s="506"/>
      <c r="Y9" s="506"/>
    </row>
    <row r="10" spans="2:25" ht="15" customHeight="1">
      <c r="B10" s="18" t="s">
        <v>17</v>
      </c>
      <c r="C10" s="19"/>
      <c r="D10" s="506"/>
      <c r="E10" s="512"/>
      <c r="F10" s="512"/>
      <c r="G10" s="499" t="s">
        <v>5</v>
      </c>
      <c r="H10" s="506"/>
      <c r="I10" s="506"/>
      <c r="J10" s="506"/>
      <c r="K10" s="22"/>
      <c r="L10" s="21"/>
      <c r="M10" s="517"/>
      <c r="N10" s="506"/>
      <c r="O10" s="506"/>
      <c r="P10" s="506"/>
      <c r="Q10" s="506"/>
      <c r="R10" s="669" t="s">
        <v>18</v>
      </c>
      <c r="S10" s="683" t="s">
        <v>12</v>
      </c>
      <c r="T10" s="506"/>
      <c r="U10" s="506"/>
      <c r="V10" s="506"/>
      <c r="W10" s="506"/>
      <c r="X10" s="506"/>
      <c r="Y10" s="506"/>
    </row>
    <row r="11" spans="2:25" ht="15">
      <c r="B11" s="18" t="s">
        <v>19</v>
      </c>
      <c r="C11" s="19"/>
      <c r="D11" s="506"/>
      <c r="E11" s="513"/>
      <c r="F11" s="513"/>
      <c r="G11" s="499" t="s">
        <v>5</v>
      </c>
      <c r="H11" s="506"/>
      <c r="I11" s="506"/>
      <c r="J11" s="506"/>
      <c r="K11" s="23"/>
      <c r="L11" s="24"/>
      <c r="M11" s="506"/>
      <c r="N11" s="506"/>
      <c r="O11" s="506"/>
      <c r="P11" s="506"/>
      <c r="Q11" s="506"/>
      <c r="R11" s="669"/>
      <c r="S11" s="685"/>
      <c r="T11" s="506"/>
      <c r="U11" s="506"/>
      <c r="V11" s="506"/>
      <c r="W11" s="506"/>
      <c r="X11" s="506"/>
      <c r="Y11" s="506"/>
    </row>
    <row r="12" spans="2:25" ht="15">
      <c r="B12" s="18" t="s">
        <v>20</v>
      </c>
      <c r="C12" s="518"/>
      <c r="D12" s="506"/>
      <c r="E12" s="506"/>
      <c r="F12" s="519"/>
      <c r="G12" s="520" t="s">
        <v>5</v>
      </c>
      <c r="H12" s="506"/>
      <c r="I12" s="506"/>
      <c r="J12" s="506"/>
      <c r="K12" s="25"/>
      <c r="L12" s="26"/>
      <c r="M12" s="506"/>
      <c r="N12" s="506"/>
      <c r="O12" s="506"/>
      <c r="P12" s="506"/>
      <c r="Q12" s="506"/>
      <c r="R12" s="669"/>
      <c r="S12" s="684"/>
      <c r="T12" s="506"/>
      <c r="U12" s="506"/>
      <c r="V12" s="506"/>
      <c r="W12" s="506"/>
      <c r="X12" s="506"/>
      <c r="Y12" s="506"/>
    </row>
    <row r="13" spans="2:25" ht="15">
      <c r="B13" s="27" t="s">
        <v>21</v>
      </c>
      <c r="C13" s="521"/>
      <c r="D13" s="508"/>
      <c r="E13" s="508"/>
      <c r="F13" s="522"/>
      <c r="G13" s="523" t="s">
        <v>5</v>
      </c>
      <c r="H13" s="506"/>
      <c r="I13" s="506"/>
      <c r="J13" s="506"/>
      <c r="K13" s="25"/>
      <c r="L13" s="26"/>
      <c r="M13" s="506"/>
      <c r="N13" s="506"/>
      <c r="O13" s="506"/>
      <c r="P13" s="506"/>
      <c r="Q13" s="506"/>
      <c r="R13" s="500" t="s">
        <v>22</v>
      </c>
      <c r="S13" s="516" t="s">
        <v>12</v>
      </c>
      <c r="T13" s="506"/>
      <c r="U13" s="506"/>
      <c r="V13" s="506"/>
      <c r="W13" s="506"/>
      <c r="X13" s="506"/>
      <c r="Y13" s="506"/>
    </row>
    <row r="14" spans="2:25" ht="8.1" customHeight="1">
      <c r="B14" s="19"/>
      <c r="C14" s="19"/>
      <c r="D14" s="506"/>
      <c r="E14" s="524"/>
      <c r="F14" s="524"/>
      <c r="G14" s="525"/>
      <c r="H14" s="506"/>
      <c r="I14" s="506"/>
      <c r="J14" s="506"/>
      <c r="K14" s="25"/>
      <c r="L14" s="26"/>
      <c r="M14" s="506"/>
      <c r="N14" s="506"/>
      <c r="O14" s="506"/>
      <c r="P14" s="506"/>
      <c r="Q14" s="506"/>
      <c r="R14" s="500"/>
      <c r="S14" s="516"/>
      <c r="T14" s="506"/>
      <c r="U14" s="506"/>
      <c r="V14" s="506"/>
      <c r="W14" s="506"/>
      <c r="X14" s="506"/>
      <c r="Y14" s="506"/>
    </row>
    <row r="15" spans="2:25" ht="23.25" customHeight="1">
      <c r="B15" s="28" t="s">
        <v>23</v>
      </c>
      <c r="C15" s="29"/>
      <c r="D15" s="30"/>
      <c r="E15" s="31"/>
      <c r="F15" s="32"/>
      <c r="G15" s="33"/>
      <c r="H15" s="506"/>
      <c r="I15" s="506"/>
      <c r="J15" s="506"/>
      <c r="K15" s="34" t="s">
        <v>24</v>
      </c>
      <c r="L15" s="34" t="s">
        <v>25</v>
      </c>
      <c r="M15" s="34" t="s">
        <v>26</v>
      </c>
      <c r="N15" s="35" t="s">
        <v>27</v>
      </c>
      <c r="O15" s="34" t="s">
        <v>28</v>
      </c>
      <c r="P15" s="36" t="s">
        <v>29</v>
      </c>
      <c r="Q15" s="506"/>
      <c r="R15" s="500" t="s">
        <v>30</v>
      </c>
      <c r="S15" s="516" t="s">
        <v>12</v>
      </c>
      <c r="T15" s="506"/>
      <c r="U15" s="506"/>
      <c r="V15" s="506"/>
      <c r="W15" s="506"/>
      <c r="X15" s="506"/>
      <c r="Y15" s="506"/>
    </row>
    <row r="16" spans="2:25" ht="15" customHeight="1">
      <c r="B16" s="37" t="s">
        <v>31</v>
      </c>
      <c r="C16" s="38"/>
      <c r="D16" s="38"/>
      <c r="E16" s="38" t="s">
        <v>32</v>
      </c>
      <c r="F16" s="38" t="s">
        <v>26</v>
      </c>
      <c r="G16" s="38" t="s">
        <v>27</v>
      </c>
      <c r="H16" s="506"/>
      <c r="I16" s="506"/>
      <c r="J16" s="506"/>
      <c r="K16" s="17"/>
      <c r="L16" s="17"/>
      <c r="M16" s="17"/>
      <c r="N16" s="39"/>
      <c r="O16" s="40"/>
      <c r="P16" s="41"/>
      <c r="Q16" s="506"/>
      <c r="R16" s="670" t="s">
        <v>33</v>
      </c>
      <c r="S16" s="683" t="s">
        <v>12</v>
      </c>
      <c r="T16" s="506"/>
      <c r="U16" s="506"/>
      <c r="V16" s="506"/>
      <c r="W16" s="506"/>
      <c r="X16" s="506"/>
      <c r="Y16" s="506"/>
    </row>
    <row r="17" spans="2:25">
      <c r="B17" s="526" t="str">
        <f>'Kontoplan RR'!E6</f>
        <v>Befintligt</v>
      </c>
      <c r="C17" s="527"/>
      <c r="D17" s="527"/>
      <c r="E17" s="527">
        <f>SUMIF('2. Kalkyldata'!$E$23:$E$27,LEFT('1. Framskrivningsunderlag'!$B17,3),'2. Kalkyldata'!$H$23:$H$28)</f>
        <v>0</v>
      </c>
      <c r="F17" s="528">
        <f>SUMIF('2. Kalkyldata'!$E$23:$E$27,LEFT('1. Framskrivningsunderlag'!$B17,3),'2. Kalkyldata'!$W$23:$W$28)</f>
        <v>0</v>
      </c>
      <c r="G17" s="529">
        <f>IFERROR($M17/E17,0)</f>
        <v>0</v>
      </c>
      <c r="H17" s="506"/>
      <c r="I17" s="506"/>
      <c r="J17" s="506"/>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06"/>
      <c r="R17" s="670"/>
      <c r="S17" s="684"/>
      <c r="T17" s="506"/>
      <c r="U17" s="506"/>
      <c r="V17" s="506"/>
      <c r="W17" s="506"/>
      <c r="X17" s="506"/>
      <c r="Y17" s="506"/>
    </row>
    <row r="18" spans="2:25">
      <c r="B18" s="526" t="str">
        <f>'Kontoplan RR'!E7</f>
        <v>Ombyggnad</v>
      </c>
      <c r="C18" s="527"/>
      <c r="D18" s="527"/>
      <c r="E18" s="527">
        <f>SUMIF('2. Kalkyldata'!$E$23:$E$27,LEFT('1. Framskrivningsunderlag'!$B18,3),'2. Kalkyldata'!$H$23:$H$28)</f>
        <v>0</v>
      </c>
      <c r="F18" s="528">
        <f>SUMIF('2. Kalkyldata'!$E$23:$E$27,LEFT('1. Framskrivningsunderlag'!$B18,3),'2. Kalkyldata'!$W$23:$W$28)</f>
        <v>0</v>
      </c>
      <c r="G18" s="529">
        <f t="shared" ref="G18:G21" si="1">IFERROR($M18/E18,0)</f>
        <v>0</v>
      </c>
      <c r="H18" s="506"/>
      <c r="I18" s="506"/>
      <c r="J18" s="506"/>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06"/>
      <c r="R18" s="500" t="s">
        <v>34</v>
      </c>
      <c r="S18" s="516" t="s">
        <v>12</v>
      </c>
      <c r="T18" s="506"/>
      <c r="U18" s="506"/>
      <c r="V18" s="506"/>
      <c r="W18" s="506"/>
      <c r="X18" s="506"/>
      <c r="Y18" s="506"/>
    </row>
    <row r="19" spans="2:25">
      <c r="B19" s="526" t="str">
        <f>'Kontoplan RR'!E8</f>
        <v>Nybyggnad</v>
      </c>
      <c r="C19" s="527"/>
      <c r="D19" s="527"/>
      <c r="E19" s="527">
        <f>SUMIF('2. Kalkyldata'!$E$23:$E$27,LEFT('1. Framskrivningsunderlag'!$B19,3),'2. Kalkyldata'!$H$23:$H$28)</f>
        <v>6100</v>
      </c>
      <c r="F19" s="528">
        <f>SUMIF('2. Kalkyldata'!$E$23:$E$27,LEFT('1. Framskrivningsunderlag'!$B19,3),'2. Kalkyldata'!$W$23:$W$28)</f>
        <v>239999999.99999997</v>
      </c>
      <c r="G19" s="529">
        <f t="shared" si="1"/>
        <v>39344.262295081964</v>
      </c>
      <c r="H19" s="506"/>
      <c r="I19" s="506"/>
      <c r="J19" s="506"/>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06"/>
      <c r="R19" s="500" t="s">
        <v>35</v>
      </c>
      <c r="S19" s="516" t="s">
        <v>12</v>
      </c>
      <c r="T19" s="506"/>
      <c r="U19" s="506"/>
      <c r="V19" s="506"/>
      <c r="W19" s="506"/>
      <c r="X19" s="506"/>
      <c r="Y19" s="506"/>
    </row>
    <row r="20" spans="2:25">
      <c r="B20" s="526" t="str">
        <f>'Kontoplan RR'!E9</f>
        <v>Installationer</v>
      </c>
      <c r="C20" s="527"/>
      <c r="D20" s="527"/>
      <c r="E20" s="527">
        <f>SUMIF('2. Kalkyldata'!$E$23:$E$27,LEFT('1. Framskrivningsunderlag'!$B20,3),'2. Kalkyldata'!$H$23:$H$28)</f>
        <v>0</v>
      </c>
      <c r="F20" s="528">
        <f>SUMIF('2. Kalkyldata'!$E$23:$E$27,LEFT('1. Framskrivningsunderlag'!$B20,3),'2. Kalkyldata'!$W$23:$W$28)</f>
        <v>0</v>
      </c>
      <c r="G20" s="529">
        <f t="shared" si="1"/>
        <v>0</v>
      </c>
      <c r="H20" s="506"/>
      <c r="I20" s="506"/>
      <c r="J20" s="506"/>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06"/>
      <c r="R20" s="500" t="s">
        <v>36</v>
      </c>
      <c r="S20" s="516" t="s">
        <v>12</v>
      </c>
      <c r="T20" s="506"/>
      <c r="U20" s="506"/>
      <c r="V20" s="506"/>
      <c r="W20" s="506"/>
      <c r="X20" s="506"/>
      <c r="Y20" s="506"/>
    </row>
    <row r="21" spans="2:25">
      <c r="B21" s="526" t="str">
        <f>'Kontoplan RR'!E10</f>
        <v>Mark</v>
      </c>
      <c r="C21" s="527"/>
      <c r="D21" s="530"/>
      <c r="E21" s="527">
        <f>SUMIF('2. Kalkyldata'!$E$23:$E$27,LEFT('1. Framskrivningsunderlag'!$B21,3),'2. Kalkyldata'!$H$23:$H$28)</f>
        <v>0</v>
      </c>
      <c r="F21" s="528">
        <f>SUMIF('2. Kalkyldata'!$E$23:$E$27,LEFT('1. Framskrivningsunderlag'!$B21,3),'2. Kalkyldata'!$W$23:$W$28)</f>
        <v>0</v>
      </c>
      <c r="G21" s="529">
        <f t="shared" si="1"/>
        <v>0</v>
      </c>
      <c r="H21" s="506"/>
      <c r="I21" s="506"/>
      <c r="J21" s="506"/>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06"/>
      <c r="R21" s="500" t="s">
        <v>37</v>
      </c>
      <c r="S21" s="516" t="s">
        <v>12</v>
      </c>
      <c r="T21" s="506"/>
      <c r="U21" s="506"/>
      <c r="V21" s="506"/>
      <c r="W21" s="506"/>
      <c r="X21" s="506"/>
      <c r="Y21" s="506"/>
    </row>
    <row r="22" spans="2:25" ht="15" customHeight="1">
      <c r="B22" s="47" t="s">
        <v>38</v>
      </c>
      <c r="C22" s="48"/>
      <c r="D22" s="49"/>
      <c r="E22" s="48">
        <f>SUM(E17:E21)</f>
        <v>6100</v>
      </c>
      <c r="F22" s="50">
        <f>SUM(F17:F21)</f>
        <v>239999999.99999997</v>
      </c>
      <c r="G22" s="51">
        <f t="shared" ref="G22" si="4">IFERROR($M22/D22,0)</f>
        <v>0</v>
      </c>
      <c r="H22" s="506"/>
      <c r="I22" s="506"/>
      <c r="J22" s="506"/>
      <c r="K22" s="52">
        <f>SUM(K17:K21)</f>
        <v>6100</v>
      </c>
      <c r="L22" s="53">
        <f t="shared" si="0"/>
        <v>0</v>
      </c>
      <c r="M22" s="54">
        <f>SUM(M17:M21)</f>
        <v>239999999.99999997</v>
      </c>
      <c r="N22" s="44">
        <f t="shared" si="2"/>
        <v>39344.262295081964</v>
      </c>
      <c r="O22" s="45">
        <f t="shared" si="3"/>
        <v>0</v>
      </c>
      <c r="P22" s="55">
        <f>SUM(P17:P21)</f>
        <v>0</v>
      </c>
      <c r="Q22" s="506"/>
      <c r="R22" s="500" t="s">
        <v>39</v>
      </c>
      <c r="S22" s="503" t="s">
        <v>12</v>
      </c>
      <c r="T22" s="506"/>
      <c r="U22" s="506"/>
      <c r="V22" s="506"/>
      <c r="W22" s="506"/>
      <c r="X22" s="506"/>
      <c r="Y22" s="506"/>
    </row>
    <row r="23" spans="2:25" ht="15" customHeight="1">
      <c r="B23" s="56" t="s">
        <v>40</v>
      </c>
      <c r="C23" s="57"/>
      <c r="D23" s="58"/>
      <c r="E23" s="59"/>
      <c r="F23" s="59">
        <f>IFERROR('2. Kalkyldata'!$X$39/'2. Kalkyldata'!$H$28,0)</f>
        <v>0</v>
      </c>
      <c r="G23" s="60"/>
      <c r="H23" s="506"/>
      <c r="I23" s="506"/>
      <c r="J23" s="506"/>
      <c r="K23" s="52"/>
      <c r="L23" s="53"/>
      <c r="M23" s="54">
        <f>'2. Kalkyldata'!$X$39</f>
        <v>0</v>
      </c>
      <c r="N23" s="61">
        <f>IFERROR(#REF!/K23,0)</f>
        <v>0</v>
      </c>
      <c r="O23" s="62"/>
      <c r="P23" s="55"/>
      <c r="Q23" s="506"/>
      <c r="R23" s="500" t="s">
        <v>41</v>
      </c>
      <c r="S23" s="503" t="s">
        <v>12</v>
      </c>
      <c r="T23" s="506"/>
      <c r="U23" s="506"/>
      <c r="V23" s="506"/>
      <c r="W23" s="506"/>
      <c r="X23" s="506"/>
      <c r="Y23" s="506"/>
    </row>
    <row r="24" spans="2:25" ht="15" customHeight="1">
      <c r="B24" s="56" t="s">
        <v>42</v>
      </c>
      <c r="C24" s="57"/>
      <c r="D24" s="58"/>
      <c r="E24" s="59"/>
      <c r="F24" s="59">
        <v>0</v>
      </c>
      <c r="G24" s="60"/>
      <c r="H24" s="506"/>
      <c r="I24" s="506"/>
      <c r="J24" s="506"/>
      <c r="K24" s="52"/>
      <c r="L24" s="53"/>
      <c r="M24" s="54"/>
      <c r="N24" s="61"/>
      <c r="O24" s="62"/>
      <c r="P24" s="55"/>
      <c r="Q24" s="506"/>
      <c r="R24" s="500"/>
      <c r="S24" s="503"/>
      <c r="T24" s="506"/>
      <c r="U24" s="506"/>
      <c r="V24" s="506"/>
      <c r="W24" s="506"/>
      <c r="X24" s="506"/>
      <c r="Y24" s="506"/>
    </row>
    <row r="25" spans="2:25" ht="15">
      <c r="B25" s="47" t="s">
        <v>43</v>
      </c>
      <c r="C25" s="48"/>
      <c r="D25" s="63"/>
      <c r="E25" s="50"/>
      <c r="F25" s="50">
        <f>F22+F23+F24</f>
        <v>239999999.99999997</v>
      </c>
      <c r="G25" s="64"/>
      <c r="H25" s="506"/>
      <c r="I25" s="506"/>
      <c r="J25" s="506"/>
      <c r="K25" s="531"/>
      <c r="L25" s="65"/>
      <c r="M25" s="531"/>
      <c r="N25" s="66">
        <f>'2. Kalkyldata'!$X$39/'2. Kalkyldata'!$H$28</f>
        <v>0</v>
      </c>
      <c r="O25" s="67"/>
      <c r="P25" s="68"/>
      <c r="Q25" s="506"/>
      <c r="R25" s="500"/>
      <c r="S25" s="503"/>
      <c r="T25" s="506"/>
      <c r="U25" s="506"/>
      <c r="V25" s="506"/>
      <c r="W25" s="506"/>
      <c r="X25" s="506"/>
      <c r="Y25" s="506"/>
    </row>
    <row r="26" spans="2:25" ht="8.1" customHeight="1">
      <c r="B26" s="69"/>
      <c r="C26" s="69"/>
      <c r="D26" s="69"/>
      <c r="E26" s="70"/>
      <c r="F26" s="71"/>
      <c r="G26" s="72"/>
      <c r="H26" s="506"/>
      <c r="I26" s="506"/>
      <c r="J26" s="506"/>
      <c r="K26" s="532"/>
      <c r="L26" s="74"/>
      <c r="M26" s="506"/>
      <c r="N26" s="75"/>
      <c r="O26" s="518"/>
      <c r="P26" s="506"/>
      <c r="Q26" s="506"/>
      <c r="R26" s="500"/>
      <c r="S26" s="503"/>
      <c r="T26" s="506"/>
      <c r="U26" s="506"/>
      <c r="V26" s="506"/>
      <c r="W26" s="506"/>
      <c r="X26" s="506"/>
      <c r="Y26" s="506"/>
    </row>
    <row r="27" spans="2:25" ht="15">
      <c r="B27" s="666" t="s">
        <v>44</v>
      </c>
      <c r="C27" s="667"/>
      <c r="D27" s="667"/>
      <c r="E27" s="667"/>
      <c r="F27" s="667"/>
      <c r="G27" s="668"/>
      <c r="H27" s="506"/>
      <c r="I27" s="506"/>
      <c r="J27" s="506"/>
      <c r="K27" s="532"/>
      <c r="L27" s="74"/>
      <c r="M27" s="506"/>
      <c r="N27" s="75"/>
      <c r="O27" s="518"/>
      <c r="P27" s="506"/>
      <c r="Q27" s="506"/>
      <c r="R27" s="500"/>
      <c r="S27" s="503"/>
      <c r="T27" s="506"/>
      <c r="U27" s="506"/>
      <c r="V27" s="506"/>
      <c r="W27" s="506"/>
      <c r="X27" s="506"/>
      <c r="Y27" s="506"/>
    </row>
    <row r="28" spans="2:25">
      <c r="B28" s="657" t="s">
        <v>5</v>
      </c>
      <c r="C28" s="658"/>
      <c r="D28" s="658"/>
      <c r="E28" s="658"/>
      <c r="F28" s="658"/>
      <c r="G28" s="659"/>
      <c r="H28" s="506"/>
      <c r="I28" s="506"/>
      <c r="J28" s="506"/>
      <c r="K28" s="532"/>
      <c r="L28" s="74"/>
      <c r="M28" s="506"/>
      <c r="N28" s="75"/>
      <c r="O28" s="518"/>
      <c r="P28" s="506"/>
      <c r="Q28" s="506"/>
      <c r="R28" s="500"/>
      <c r="S28" s="503"/>
      <c r="T28" s="506"/>
      <c r="U28" s="506"/>
      <c r="V28" s="506"/>
      <c r="W28" s="506"/>
      <c r="X28" s="506"/>
      <c r="Y28" s="506"/>
    </row>
    <row r="29" spans="2:25">
      <c r="B29" s="657"/>
      <c r="C29" s="658"/>
      <c r="D29" s="658"/>
      <c r="E29" s="658"/>
      <c r="F29" s="658"/>
      <c r="G29" s="659"/>
      <c r="H29" s="506"/>
      <c r="I29" s="506"/>
      <c r="J29" s="506"/>
      <c r="K29" s="532"/>
      <c r="L29" s="74"/>
      <c r="M29" s="75"/>
      <c r="N29" s="518"/>
      <c r="O29" s="506"/>
      <c r="P29" s="506"/>
      <c r="Q29" s="506"/>
      <c r="R29" s="533"/>
      <c r="S29" s="534"/>
      <c r="T29" s="506"/>
      <c r="U29" s="506"/>
      <c r="V29" s="506"/>
      <c r="W29" s="506"/>
      <c r="X29" s="506"/>
      <c r="Y29" s="506"/>
    </row>
    <row r="30" spans="2:25">
      <c r="B30" s="657"/>
      <c r="C30" s="658"/>
      <c r="D30" s="658"/>
      <c r="E30" s="658"/>
      <c r="F30" s="658"/>
      <c r="G30" s="659"/>
      <c r="H30" s="506"/>
      <c r="I30" s="506"/>
      <c r="J30" s="506"/>
      <c r="K30" s="532"/>
      <c r="L30" s="74"/>
      <c r="M30" s="75"/>
      <c r="N30" s="518"/>
      <c r="O30" s="506"/>
      <c r="P30" s="506"/>
      <c r="Q30" s="506"/>
      <c r="R30" s="506"/>
      <c r="S30" s="506"/>
      <c r="T30" s="506"/>
      <c r="U30" s="506"/>
      <c r="V30" s="506"/>
      <c r="W30" s="506"/>
      <c r="X30" s="506"/>
      <c r="Y30" s="506"/>
    </row>
    <row r="31" spans="2:25">
      <c r="B31" s="657"/>
      <c r="C31" s="658"/>
      <c r="D31" s="658"/>
      <c r="E31" s="658"/>
      <c r="F31" s="658"/>
      <c r="G31" s="659"/>
      <c r="H31" s="506"/>
      <c r="I31" s="506"/>
      <c r="J31" s="506"/>
      <c r="K31" s="532"/>
      <c r="L31" s="74"/>
      <c r="M31" s="75"/>
      <c r="N31" s="518"/>
      <c r="O31" s="506"/>
      <c r="P31" s="506"/>
      <c r="Q31" s="506"/>
      <c r="R31" s="506"/>
      <c r="S31" s="506"/>
      <c r="T31" s="506"/>
      <c r="U31" s="506"/>
      <c r="V31" s="506"/>
      <c r="W31" s="506"/>
      <c r="X31" s="506"/>
      <c r="Y31" s="506"/>
    </row>
    <row r="32" spans="2:25">
      <c r="B32" s="657"/>
      <c r="C32" s="658"/>
      <c r="D32" s="658"/>
      <c r="E32" s="658"/>
      <c r="F32" s="658"/>
      <c r="G32" s="659"/>
      <c r="H32" s="506"/>
      <c r="I32" s="506"/>
      <c r="J32" s="506"/>
      <c r="K32" s="532"/>
      <c r="L32" s="74"/>
      <c r="M32" s="75"/>
      <c r="N32" s="518"/>
      <c r="O32" s="506"/>
      <c r="P32" s="506"/>
      <c r="Q32" s="506"/>
      <c r="R32" s="506"/>
      <c r="S32" s="506"/>
      <c r="T32" s="506"/>
      <c r="U32" s="506"/>
      <c r="V32" s="506"/>
      <c r="W32" s="506"/>
      <c r="X32" s="506"/>
      <c r="Y32" s="506"/>
    </row>
    <row r="33" spans="2:25">
      <c r="B33" s="657"/>
      <c r="C33" s="658"/>
      <c r="D33" s="658"/>
      <c r="E33" s="658"/>
      <c r="F33" s="658"/>
      <c r="G33" s="659"/>
      <c r="H33" s="506"/>
      <c r="I33" s="506"/>
      <c r="J33" s="506"/>
      <c r="K33" s="532"/>
      <c r="L33" s="74"/>
      <c r="M33" s="75"/>
      <c r="N33" s="518"/>
      <c r="O33" s="506"/>
      <c r="P33" s="506"/>
      <c r="Q33" s="506"/>
      <c r="R33" s="506"/>
      <c r="S33" s="506"/>
      <c r="T33" s="506"/>
      <c r="U33" s="506"/>
      <c r="V33" s="506"/>
      <c r="W33" s="506"/>
      <c r="X33" s="506"/>
      <c r="Y33" s="506"/>
    </row>
    <row r="34" spans="2:25">
      <c r="B34" s="657"/>
      <c r="C34" s="658"/>
      <c r="D34" s="658"/>
      <c r="E34" s="658"/>
      <c r="F34" s="658"/>
      <c r="G34" s="659"/>
      <c r="H34" s="506"/>
      <c r="I34" s="506"/>
      <c r="J34" s="506"/>
      <c r="K34" s="532"/>
      <c r="L34" s="74"/>
      <c r="M34" s="75"/>
      <c r="N34" s="518"/>
      <c r="O34" s="506"/>
      <c r="P34" s="506"/>
      <c r="Q34" s="506"/>
      <c r="R34" s="506"/>
      <c r="S34" s="506"/>
      <c r="T34" s="506"/>
      <c r="U34" s="506"/>
      <c r="V34" s="506"/>
      <c r="W34" s="506"/>
      <c r="X34" s="506"/>
      <c r="Y34" s="506"/>
    </row>
    <row r="35" spans="2:25" ht="15" customHeight="1">
      <c r="B35" s="671" t="s">
        <v>45</v>
      </c>
      <c r="C35" s="672"/>
      <c r="D35" s="672"/>
      <c r="E35" s="672" t="s">
        <v>46</v>
      </c>
      <c r="F35" s="672"/>
      <c r="G35" s="675"/>
      <c r="H35" s="506"/>
      <c r="I35" s="506"/>
      <c r="J35" s="506"/>
      <c r="K35" s="532"/>
      <c r="L35" s="74"/>
      <c r="M35" s="75"/>
      <c r="N35" s="518"/>
      <c r="O35" s="506"/>
      <c r="P35" s="506"/>
      <c r="Q35" s="506"/>
      <c r="R35" s="506"/>
      <c r="S35" s="506"/>
      <c r="T35" s="506"/>
      <c r="U35" s="506"/>
      <c r="V35" s="506"/>
      <c r="W35" s="506"/>
      <c r="X35" s="506"/>
      <c r="Y35" s="506"/>
    </row>
    <row r="36" spans="2:25" ht="15" customHeight="1">
      <c r="B36" s="671"/>
      <c r="C36" s="672"/>
      <c r="D36" s="672"/>
      <c r="E36" s="672"/>
      <c r="F36" s="672"/>
      <c r="G36" s="675"/>
      <c r="H36" s="506"/>
      <c r="I36" s="506"/>
      <c r="J36" s="506"/>
      <c r="K36" s="532"/>
      <c r="L36" s="74"/>
      <c r="M36" s="75"/>
      <c r="N36" s="518"/>
      <c r="O36" s="506"/>
      <c r="P36" s="506"/>
      <c r="Q36" s="506"/>
      <c r="R36" s="506"/>
      <c r="S36" s="506"/>
      <c r="T36" s="506"/>
      <c r="U36" s="506"/>
      <c r="V36" s="506"/>
      <c r="W36" s="506"/>
      <c r="X36" s="506"/>
      <c r="Y36" s="506"/>
    </row>
    <row r="37" spans="2:25" ht="15" customHeight="1">
      <c r="B37" s="671"/>
      <c r="C37" s="672"/>
      <c r="D37" s="672"/>
      <c r="E37" s="672"/>
      <c r="F37" s="672"/>
      <c r="G37" s="675"/>
      <c r="H37" s="506"/>
      <c r="I37" s="506"/>
      <c r="J37" s="506"/>
      <c r="K37" s="532"/>
      <c r="L37" s="74"/>
      <c r="M37" s="75"/>
      <c r="N37" s="518"/>
      <c r="O37" s="506"/>
      <c r="P37" s="506"/>
      <c r="Q37" s="506"/>
      <c r="R37" s="506"/>
      <c r="S37" s="506"/>
      <c r="T37" s="506"/>
      <c r="U37" s="506"/>
      <c r="V37" s="506"/>
      <c r="W37" s="506"/>
      <c r="X37" s="506"/>
      <c r="Y37" s="506"/>
    </row>
    <row r="38" spans="2:25" ht="15" customHeight="1">
      <c r="B38" s="671"/>
      <c r="C38" s="672"/>
      <c r="D38" s="672"/>
      <c r="E38" s="672"/>
      <c r="F38" s="672"/>
      <c r="G38" s="675"/>
      <c r="H38" s="506"/>
      <c r="I38" s="506"/>
      <c r="J38" s="506"/>
      <c r="K38" s="532"/>
      <c r="L38" s="74"/>
      <c r="M38" s="75"/>
      <c r="N38" s="518"/>
      <c r="O38" s="506"/>
      <c r="P38" s="506"/>
      <c r="Q38" s="506"/>
      <c r="R38" s="506"/>
      <c r="S38" s="506"/>
      <c r="T38" s="506"/>
      <c r="U38" s="506"/>
      <c r="V38" s="506"/>
      <c r="W38" s="506"/>
      <c r="X38" s="506"/>
      <c r="Y38" s="506"/>
    </row>
    <row r="39" spans="2:25" ht="15" customHeight="1">
      <c r="B39" s="671"/>
      <c r="C39" s="672"/>
      <c r="D39" s="672"/>
      <c r="E39" s="672"/>
      <c r="F39" s="672"/>
      <c r="G39" s="675"/>
      <c r="H39" s="506"/>
      <c r="I39" s="506"/>
      <c r="J39" s="506"/>
      <c r="K39" s="532"/>
      <c r="L39" s="74"/>
      <c r="M39" s="75"/>
      <c r="N39" s="518"/>
      <c r="O39" s="506"/>
      <c r="P39" s="506"/>
      <c r="Q39" s="506"/>
      <c r="R39" s="506"/>
      <c r="S39" s="506"/>
      <c r="T39" s="506"/>
      <c r="U39" s="506"/>
      <c r="V39" s="506"/>
      <c r="W39" s="506"/>
      <c r="X39" s="506"/>
      <c r="Y39" s="506"/>
    </row>
    <row r="40" spans="2:25" ht="15" customHeight="1">
      <c r="B40" s="671"/>
      <c r="C40" s="672"/>
      <c r="D40" s="672"/>
      <c r="E40" s="672"/>
      <c r="F40" s="672"/>
      <c r="G40" s="675"/>
      <c r="H40" s="506"/>
      <c r="I40" s="506"/>
      <c r="J40" s="506"/>
      <c r="K40" s="532"/>
      <c r="L40" s="74"/>
      <c r="M40" s="75"/>
      <c r="N40" s="518"/>
      <c r="O40" s="506"/>
      <c r="P40" s="506"/>
      <c r="Q40" s="506"/>
      <c r="R40" s="506"/>
      <c r="S40" s="506"/>
      <c r="T40" s="506"/>
      <c r="U40" s="506"/>
      <c r="V40" s="506"/>
      <c r="W40" s="506"/>
      <c r="X40" s="506"/>
      <c r="Y40" s="506"/>
    </row>
    <row r="41" spans="2:25" ht="15" customHeight="1">
      <c r="B41" s="671"/>
      <c r="C41" s="672"/>
      <c r="D41" s="672"/>
      <c r="E41" s="672"/>
      <c r="F41" s="672"/>
      <c r="G41" s="675"/>
      <c r="H41" s="506"/>
      <c r="I41" s="506"/>
      <c r="J41" s="506"/>
      <c r="K41" s="532"/>
      <c r="L41" s="74"/>
      <c r="M41" s="75"/>
      <c r="N41" s="518"/>
      <c r="O41" s="506"/>
      <c r="P41" s="506"/>
      <c r="Q41" s="506"/>
      <c r="R41" s="506"/>
      <c r="S41" s="506"/>
      <c r="T41" s="506"/>
      <c r="U41" s="506"/>
      <c r="V41" s="506"/>
      <c r="W41" s="506"/>
      <c r="X41" s="506"/>
      <c r="Y41" s="506"/>
    </row>
    <row r="42" spans="2:25" ht="15" customHeight="1">
      <c r="B42" s="671"/>
      <c r="C42" s="672"/>
      <c r="D42" s="672"/>
      <c r="E42" s="672"/>
      <c r="F42" s="672"/>
      <c r="G42" s="675"/>
      <c r="H42" s="506"/>
      <c r="I42" s="506"/>
      <c r="J42" s="506"/>
      <c r="K42" s="532"/>
      <c r="L42" s="74"/>
      <c r="M42" s="75"/>
      <c r="N42" s="518"/>
      <c r="O42" s="506"/>
      <c r="P42" s="506"/>
      <c r="Q42" s="506"/>
      <c r="R42" s="506"/>
      <c r="S42" s="506"/>
      <c r="T42" s="506"/>
      <c r="U42" s="506"/>
      <c r="V42" s="506"/>
      <c r="W42" s="506"/>
      <c r="X42" s="506"/>
      <c r="Y42" s="506"/>
    </row>
    <row r="43" spans="2:25" ht="15" customHeight="1">
      <c r="B43" s="671"/>
      <c r="C43" s="672"/>
      <c r="D43" s="672"/>
      <c r="E43" s="672"/>
      <c r="F43" s="672"/>
      <c r="G43" s="675"/>
      <c r="H43" s="506"/>
      <c r="I43" s="506"/>
      <c r="J43" s="506"/>
      <c r="K43" s="532"/>
      <c r="L43" s="74"/>
      <c r="M43" s="75"/>
      <c r="N43" s="518"/>
      <c r="O43" s="506"/>
      <c r="P43" s="506"/>
      <c r="Q43" s="506"/>
      <c r="R43" s="506"/>
      <c r="S43" s="506"/>
      <c r="T43" s="506"/>
      <c r="U43" s="506"/>
      <c r="V43" s="506"/>
      <c r="W43" s="506"/>
      <c r="X43" s="506"/>
      <c r="Y43" s="506"/>
    </row>
    <row r="44" spans="2:25" ht="15" customHeight="1">
      <c r="B44" s="671"/>
      <c r="C44" s="672"/>
      <c r="D44" s="672"/>
      <c r="E44" s="672"/>
      <c r="F44" s="672"/>
      <c r="G44" s="675"/>
      <c r="H44" s="506"/>
      <c r="I44" s="506"/>
      <c r="J44" s="506"/>
      <c r="K44" s="532"/>
      <c r="L44" s="74"/>
      <c r="M44" s="75"/>
      <c r="N44" s="518"/>
      <c r="O44" s="506"/>
      <c r="P44" s="506"/>
      <c r="Q44" s="506"/>
      <c r="R44" s="506"/>
      <c r="S44" s="506"/>
      <c r="T44" s="506"/>
      <c r="U44" s="506"/>
      <c r="V44" s="506"/>
      <c r="W44" s="506"/>
      <c r="X44" s="506"/>
      <c r="Y44" s="506"/>
    </row>
    <row r="45" spans="2:25" ht="15" customHeight="1">
      <c r="B45" s="671"/>
      <c r="C45" s="672"/>
      <c r="D45" s="672"/>
      <c r="E45" s="672"/>
      <c r="F45" s="672"/>
      <c r="G45" s="675"/>
      <c r="H45" s="506"/>
      <c r="I45" s="506"/>
      <c r="J45" s="506"/>
      <c r="K45" s="532"/>
      <c r="L45" s="74"/>
      <c r="M45" s="75"/>
      <c r="N45" s="518"/>
      <c r="O45" s="506"/>
      <c r="P45" s="506"/>
      <c r="Q45" s="506"/>
      <c r="R45" s="506"/>
      <c r="S45" s="506"/>
      <c r="T45" s="506"/>
      <c r="U45" s="506"/>
      <c r="V45" s="506"/>
      <c r="W45" s="506"/>
      <c r="X45" s="506"/>
      <c r="Y45" s="506"/>
    </row>
    <row r="46" spans="2:25" ht="15" customHeight="1">
      <c r="B46" s="671"/>
      <c r="C46" s="672"/>
      <c r="D46" s="672"/>
      <c r="E46" s="672"/>
      <c r="F46" s="672"/>
      <c r="G46" s="675"/>
      <c r="H46" s="506"/>
      <c r="I46" s="506"/>
      <c r="J46" s="506"/>
      <c r="K46" s="532"/>
      <c r="L46" s="74"/>
      <c r="M46" s="75"/>
      <c r="N46" s="518"/>
      <c r="O46" s="506"/>
      <c r="P46" s="506"/>
      <c r="Q46" s="506"/>
      <c r="R46" s="506"/>
      <c r="S46" s="506"/>
      <c r="T46" s="506"/>
      <c r="U46" s="506"/>
      <c r="V46" s="506"/>
      <c r="W46" s="506"/>
      <c r="X46" s="506"/>
      <c r="Y46" s="506"/>
    </row>
    <row r="47" spans="2:25" ht="15" customHeight="1">
      <c r="B47" s="671"/>
      <c r="C47" s="672"/>
      <c r="D47" s="672"/>
      <c r="E47" s="672"/>
      <c r="F47" s="672"/>
      <c r="G47" s="675"/>
      <c r="H47" s="506"/>
      <c r="I47" s="506"/>
      <c r="J47" s="506"/>
      <c r="K47" s="532"/>
      <c r="L47" s="74"/>
      <c r="M47" s="75"/>
      <c r="N47" s="518"/>
      <c r="O47" s="506"/>
      <c r="P47" s="506"/>
      <c r="Q47" s="506"/>
      <c r="R47" s="506"/>
      <c r="S47" s="506"/>
      <c r="T47" s="506"/>
      <c r="U47" s="506"/>
      <c r="V47" s="506"/>
      <c r="W47" s="506"/>
      <c r="X47" s="506"/>
      <c r="Y47" s="506"/>
    </row>
    <row r="48" spans="2:25" ht="15" customHeight="1">
      <c r="B48" s="671"/>
      <c r="C48" s="672"/>
      <c r="D48" s="672"/>
      <c r="E48" s="672"/>
      <c r="F48" s="672"/>
      <c r="G48" s="675"/>
      <c r="H48" s="506"/>
      <c r="I48" s="506"/>
      <c r="J48" s="506"/>
      <c r="K48" s="532"/>
      <c r="L48" s="74"/>
      <c r="M48" s="75"/>
      <c r="N48" s="518"/>
      <c r="O48" s="506"/>
      <c r="P48" s="506"/>
      <c r="Q48" s="506"/>
      <c r="R48" s="506"/>
      <c r="S48" s="506"/>
      <c r="T48" s="506"/>
      <c r="U48" s="506"/>
      <c r="V48" s="506"/>
      <c r="W48" s="506"/>
      <c r="X48" s="506"/>
      <c r="Y48" s="506"/>
    </row>
    <row r="49" spans="2:25" ht="15" customHeight="1">
      <c r="B49" s="671"/>
      <c r="C49" s="672"/>
      <c r="D49" s="672"/>
      <c r="E49" s="672"/>
      <c r="F49" s="672"/>
      <c r="G49" s="675"/>
      <c r="H49" s="506"/>
      <c r="I49" s="506"/>
      <c r="J49" s="506"/>
      <c r="K49" s="532"/>
      <c r="L49" s="506"/>
      <c r="M49" s="75"/>
      <c r="N49" s="506"/>
      <c r="O49" s="506"/>
      <c r="P49" s="506"/>
      <c r="Q49" s="506"/>
      <c r="R49" s="506"/>
      <c r="S49" s="506"/>
      <c r="T49" s="506"/>
      <c r="U49" s="506"/>
      <c r="V49" s="506"/>
      <c r="W49" s="506"/>
      <c r="X49" s="506"/>
      <c r="Y49" s="506"/>
    </row>
    <row r="50" spans="2:25" ht="15" customHeight="1">
      <c r="B50" s="671"/>
      <c r="C50" s="672"/>
      <c r="D50" s="672"/>
      <c r="E50" s="672"/>
      <c r="F50" s="672"/>
      <c r="G50" s="675"/>
      <c r="H50" s="506"/>
      <c r="I50" s="506"/>
      <c r="J50" s="506"/>
      <c r="K50" s="532"/>
      <c r="L50" s="506"/>
      <c r="M50" s="75"/>
      <c r="N50" s="506"/>
      <c r="O50" s="506"/>
      <c r="P50" s="506"/>
      <c r="Q50" s="506"/>
      <c r="R50" s="506"/>
      <c r="S50" s="506"/>
      <c r="T50" s="506"/>
      <c r="U50" s="506"/>
      <c r="V50" s="506"/>
      <c r="W50" s="506"/>
      <c r="X50" s="506"/>
      <c r="Y50" s="506"/>
    </row>
    <row r="51" spans="2:25" ht="15" customHeight="1">
      <c r="B51" s="671"/>
      <c r="C51" s="672"/>
      <c r="D51" s="672"/>
      <c r="E51" s="672"/>
      <c r="F51" s="672"/>
      <c r="G51" s="675"/>
      <c r="H51" s="506"/>
      <c r="I51" s="506"/>
      <c r="J51" s="506"/>
      <c r="K51" s="532"/>
      <c r="L51" s="506"/>
      <c r="M51" s="75"/>
      <c r="N51" s="506"/>
      <c r="O51" s="506"/>
      <c r="P51" s="506"/>
      <c r="Q51" s="506"/>
      <c r="R51" s="506"/>
      <c r="S51" s="506"/>
      <c r="T51" s="506"/>
      <c r="U51" s="506"/>
      <c r="V51" s="506"/>
      <c r="W51" s="506"/>
      <c r="X51" s="506"/>
      <c r="Y51" s="506"/>
    </row>
    <row r="52" spans="2:25" ht="15" customHeight="1">
      <c r="B52" s="673"/>
      <c r="C52" s="674"/>
      <c r="D52" s="674"/>
      <c r="E52" s="674"/>
      <c r="F52" s="674"/>
      <c r="G52" s="676"/>
      <c r="H52" s="506"/>
      <c r="I52" s="506"/>
      <c r="J52" s="506"/>
      <c r="K52" s="532"/>
      <c r="L52" s="506"/>
      <c r="M52" s="75"/>
      <c r="N52" s="506"/>
      <c r="O52" s="506"/>
      <c r="P52" s="506"/>
      <c r="Q52" s="506"/>
      <c r="R52" s="506"/>
      <c r="S52" s="506"/>
      <c r="T52" s="506"/>
      <c r="U52" s="506"/>
      <c r="V52" s="506"/>
      <c r="W52" s="506"/>
      <c r="X52" s="506"/>
      <c r="Y52" s="506"/>
    </row>
    <row r="53" spans="2:25">
      <c r="B53" s="76"/>
      <c r="C53" s="76"/>
      <c r="D53" s="76"/>
      <c r="E53" s="76"/>
      <c r="F53" s="76"/>
      <c r="G53" s="76"/>
      <c r="H53" s="76"/>
      <c r="I53" s="76"/>
      <c r="J53" s="76"/>
      <c r="K53" s="532"/>
      <c r="L53" s="506"/>
      <c r="M53" s="506"/>
      <c r="N53" s="506"/>
      <c r="O53" s="506"/>
      <c r="P53" s="506"/>
      <c r="Q53" s="506"/>
      <c r="R53" s="506"/>
      <c r="S53" s="506"/>
      <c r="T53" s="506"/>
      <c r="U53" s="506"/>
      <c r="V53" s="506"/>
      <c r="W53" s="506"/>
      <c r="X53" s="506"/>
      <c r="Y53" s="506"/>
    </row>
    <row r="54" spans="2:25" ht="23.25">
      <c r="B54" s="28" t="s">
        <v>47</v>
      </c>
      <c r="C54" s="29"/>
      <c r="D54" s="30"/>
      <c r="E54" s="31"/>
      <c r="F54" s="32"/>
      <c r="G54" s="33"/>
      <c r="H54" s="506"/>
      <c r="I54" s="506"/>
      <c r="J54" s="506"/>
      <c r="K54" s="26"/>
      <c r="L54" s="26"/>
      <c r="M54" s="77"/>
      <c r="N54" s="78"/>
      <c r="O54" s="79"/>
      <c r="P54" s="506"/>
      <c r="Q54" s="506"/>
      <c r="R54" s="506"/>
      <c r="S54" s="506"/>
      <c r="T54" s="506"/>
      <c r="U54" s="506"/>
      <c r="V54" s="506"/>
      <c r="W54" s="506"/>
      <c r="X54" s="506"/>
      <c r="Y54" s="506"/>
    </row>
    <row r="55" spans="2:25" ht="15">
      <c r="B55" s="80" t="s">
        <v>48</v>
      </c>
      <c r="C55" s="81"/>
      <c r="D55" s="82"/>
      <c r="E55" s="82"/>
      <c r="F55" s="82"/>
      <c r="G55" s="83">
        <v>0</v>
      </c>
      <c r="H55" s="506"/>
      <c r="I55" s="506"/>
      <c r="J55" s="506"/>
      <c r="K55" s="532"/>
      <c r="L55" s="506"/>
      <c r="M55" s="506"/>
      <c r="N55" s="506"/>
      <c r="O55" s="506"/>
      <c r="P55" s="506"/>
      <c r="Q55" s="506"/>
      <c r="R55" s="506"/>
      <c r="S55" s="506"/>
      <c r="T55" s="506"/>
      <c r="U55" s="506"/>
      <c r="V55" s="506"/>
      <c r="W55" s="506"/>
      <c r="X55" s="506"/>
      <c r="Y55" s="506"/>
    </row>
    <row r="56" spans="2:25" ht="8.1" customHeight="1">
      <c r="B56" s="84"/>
      <c r="C56" s="84"/>
      <c r="D56" s="535"/>
      <c r="E56" s="536"/>
      <c r="F56" s="536"/>
      <c r="G56" s="537"/>
      <c r="H56" s="506"/>
      <c r="I56" s="506"/>
      <c r="J56" s="506"/>
      <c r="K56" s="532"/>
      <c r="L56" s="506"/>
      <c r="M56" s="506"/>
      <c r="N56" s="506"/>
      <c r="O56" s="506"/>
      <c r="P56" s="506"/>
      <c r="Q56" s="506"/>
      <c r="R56" s="506"/>
      <c r="S56" s="506"/>
      <c r="T56" s="506"/>
      <c r="U56" s="506"/>
      <c r="V56" s="506"/>
      <c r="W56" s="506"/>
      <c r="X56" s="506"/>
      <c r="Y56" s="506"/>
    </row>
    <row r="57" spans="2:25" ht="15">
      <c r="B57" s="37" t="s">
        <v>49</v>
      </c>
      <c r="C57" s="15"/>
      <c r="D57" s="510"/>
      <c r="E57" s="510"/>
      <c r="F57" s="510"/>
      <c r="G57" s="538"/>
      <c r="H57" s="506"/>
      <c r="I57" s="506"/>
      <c r="J57" s="506"/>
      <c r="K57" s="85" t="s">
        <v>50</v>
      </c>
      <c r="L57" s="86"/>
      <c r="M57" s="87"/>
      <c r="N57" s="88"/>
      <c r="O57" s="88" t="s">
        <v>51</v>
      </c>
      <c r="P57" s="89" t="s">
        <v>52</v>
      </c>
      <c r="Q57" s="506"/>
      <c r="R57" s="506"/>
      <c r="S57" s="506"/>
      <c r="T57" s="506"/>
      <c r="U57" s="506"/>
      <c r="V57" s="506"/>
      <c r="W57" s="506"/>
      <c r="X57" s="506"/>
      <c r="Y57" s="506"/>
    </row>
    <row r="58" spans="2:25" ht="15" customHeight="1">
      <c r="B58" s="657" t="s">
        <v>53</v>
      </c>
      <c r="C58" s="658"/>
      <c r="D58" s="658"/>
      <c r="E58" s="658"/>
      <c r="F58" s="658"/>
      <c r="G58" s="659"/>
      <c r="H58" s="506"/>
      <c r="I58" s="506"/>
      <c r="J58" s="506"/>
      <c r="K58" s="90" t="s">
        <v>54</v>
      </c>
      <c r="L58" s="69"/>
      <c r="M58" s="76"/>
      <c r="N58" s="91"/>
      <c r="O58" s="92">
        <v>0</v>
      </c>
      <c r="P58" s="93">
        <v>0</v>
      </c>
      <c r="Q58" s="506"/>
      <c r="R58" s="506"/>
      <c r="S58" s="506"/>
      <c r="T58" s="506"/>
      <c r="U58" s="506"/>
      <c r="V58" s="506"/>
      <c r="W58" s="506"/>
      <c r="X58" s="506"/>
      <c r="Y58" s="506"/>
    </row>
    <row r="59" spans="2:25" ht="15">
      <c r="B59" s="657"/>
      <c r="C59" s="658"/>
      <c r="D59" s="658"/>
      <c r="E59" s="658"/>
      <c r="F59" s="658"/>
      <c r="G59" s="659"/>
      <c r="H59" s="506"/>
      <c r="I59" s="506"/>
      <c r="J59" s="506"/>
      <c r="K59" s="90" t="s">
        <v>55</v>
      </c>
      <c r="L59" s="69"/>
      <c r="M59" s="76"/>
      <c r="N59" s="91"/>
      <c r="O59" s="92">
        <v>0</v>
      </c>
      <c r="P59" s="93">
        <v>0</v>
      </c>
      <c r="Q59" s="506"/>
      <c r="R59" s="506"/>
      <c r="S59" s="506"/>
      <c r="T59" s="506"/>
      <c r="U59" s="506"/>
      <c r="V59" s="506"/>
      <c r="W59" s="506"/>
      <c r="X59" s="506"/>
      <c r="Y59" s="506"/>
    </row>
    <row r="60" spans="2:25" ht="15">
      <c r="B60" s="657"/>
      <c r="C60" s="658"/>
      <c r="D60" s="658"/>
      <c r="E60" s="658"/>
      <c r="F60" s="658"/>
      <c r="G60" s="659"/>
      <c r="H60" s="506"/>
      <c r="I60" s="506"/>
      <c r="J60" s="506"/>
      <c r="K60" s="80" t="s">
        <v>56</v>
      </c>
      <c r="L60" s="81"/>
      <c r="M60" s="82"/>
      <c r="N60" s="94"/>
      <c r="O60" s="94">
        <f>SUM(O58:O59)</f>
        <v>0</v>
      </c>
      <c r="P60" s="95">
        <f>SUM(P58:P59)</f>
        <v>0</v>
      </c>
      <c r="Q60" s="506"/>
      <c r="R60" s="506"/>
      <c r="S60" s="506"/>
      <c r="T60" s="506"/>
      <c r="U60" s="506"/>
      <c r="V60" s="506"/>
      <c r="W60" s="506"/>
      <c r="X60" s="506"/>
      <c r="Y60" s="506"/>
    </row>
    <row r="61" spans="2:25" ht="15" customHeight="1">
      <c r="B61" s="657"/>
      <c r="C61" s="658"/>
      <c r="D61" s="658"/>
      <c r="E61" s="658"/>
      <c r="F61" s="658"/>
      <c r="G61" s="659"/>
      <c r="H61" s="506"/>
      <c r="I61" s="506"/>
      <c r="J61" s="506"/>
      <c r="K61" s="532"/>
      <c r="L61" s="506"/>
      <c r="M61" s="506"/>
      <c r="N61" s="506"/>
      <c r="O61" s="506"/>
      <c r="P61" s="506"/>
      <c r="Q61" s="506"/>
      <c r="R61" s="506"/>
      <c r="S61" s="506"/>
      <c r="T61" s="506"/>
      <c r="U61" s="506"/>
      <c r="V61" s="506"/>
      <c r="W61" s="506"/>
      <c r="X61" s="506"/>
      <c r="Y61" s="506"/>
    </row>
    <row r="62" spans="2:25">
      <c r="B62" s="657"/>
      <c r="C62" s="658"/>
      <c r="D62" s="658"/>
      <c r="E62" s="658"/>
      <c r="F62" s="658"/>
      <c r="G62" s="659"/>
      <c r="H62" s="506"/>
      <c r="I62" s="506"/>
      <c r="J62" s="506"/>
      <c r="K62" s="532"/>
      <c r="L62" s="506"/>
      <c r="M62" s="506"/>
      <c r="N62" s="506"/>
      <c r="O62" s="506"/>
      <c r="P62" s="506"/>
      <c r="Q62" s="506"/>
      <c r="R62" s="506"/>
      <c r="S62" s="506"/>
      <c r="T62" s="506"/>
      <c r="U62" s="506"/>
      <c r="V62" s="506"/>
      <c r="W62" s="506"/>
      <c r="X62" s="506"/>
      <c r="Y62" s="506"/>
    </row>
    <row r="63" spans="2:25">
      <c r="B63" s="660"/>
      <c r="C63" s="661"/>
      <c r="D63" s="661"/>
      <c r="E63" s="661"/>
      <c r="F63" s="661"/>
      <c r="G63" s="662"/>
      <c r="H63" s="506"/>
      <c r="I63" s="506"/>
      <c r="J63" s="506"/>
      <c r="K63" s="532"/>
      <c r="L63" s="506"/>
      <c r="M63" s="506"/>
      <c r="N63" s="506"/>
      <c r="O63" s="506"/>
      <c r="P63" s="506"/>
      <c r="Q63" s="506"/>
      <c r="R63" s="506"/>
      <c r="S63" s="506"/>
      <c r="T63" s="506"/>
      <c r="U63" s="506"/>
      <c r="V63" s="506"/>
      <c r="W63" s="506"/>
      <c r="X63" s="506"/>
      <c r="Y63" s="506"/>
    </row>
    <row r="64" spans="2:25" ht="8.1" customHeight="1">
      <c r="B64" s="84"/>
      <c r="C64" s="84"/>
      <c r="D64" s="535"/>
      <c r="E64" s="536"/>
      <c r="F64" s="536"/>
      <c r="G64" s="537"/>
      <c r="H64" s="506"/>
      <c r="I64" s="506"/>
      <c r="J64" s="506"/>
      <c r="K64" s="532"/>
      <c r="L64" s="506"/>
      <c r="M64" s="506"/>
      <c r="N64" s="506"/>
      <c r="O64" s="506"/>
      <c r="P64" s="506"/>
      <c r="Q64" s="506"/>
      <c r="R64" s="506"/>
      <c r="S64" s="506"/>
      <c r="T64" s="506"/>
      <c r="U64" s="506"/>
      <c r="V64" s="506"/>
      <c r="W64" s="506"/>
      <c r="X64" s="506"/>
      <c r="Y64" s="506"/>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506"/>
      <c r="I65" s="506"/>
      <c r="J65" s="506"/>
      <c r="K65" s="532"/>
      <c r="L65" s="506"/>
      <c r="M65" s="506"/>
      <c r="N65" s="506"/>
      <c r="O65" s="506"/>
      <c r="P65" s="506"/>
      <c r="Q65" s="506"/>
      <c r="R65" s="506"/>
      <c r="S65" s="506"/>
      <c r="T65" s="506"/>
      <c r="U65" s="506"/>
      <c r="V65" s="506"/>
      <c r="W65" s="506"/>
      <c r="X65" s="506"/>
      <c r="Y65" s="506"/>
    </row>
    <row r="66" spans="1:25" ht="15">
      <c r="B66" s="223" t="s">
        <v>399</v>
      </c>
      <c r="C66" s="758" t="s">
        <v>400</v>
      </c>
      <c r="D66" s="759" t="s">
        <v>401</v>
      </c>
      <c r="E66" s="225" t="s">
        <v>410</v>
      </c>
      <c r="F66" s="758" t="s">
        <v>422</v>
      </c>
      <c r="G66" s="226" t="s">
        <v>395</v>
      </c>
      <c r="H66" s="19"/>
      <c r="I66" s="506"/>
      <c r="J66" s="506"/>
      <c r="K66" s="532"/>
      <c r="L66" s="506"/>
      <c r="M66" s="506"/>
      <c r="N66" s="506"/>
      <c r="O66" s="506"/>
      <c r="P66" s="506"/>
      <c r="Q66" s="506"/>
      <c r="R66" s="506"/>
      <c r="S66" s="506"/>
      <c r="T66" s="506"/>
      <c r="U66" s="506"/>
      <c r="V66" s="506"/>
      <c r="W66" s="506"/>
      <c r="X66" s="506"/>
      <c r="Y66" s="506"/>
    </row>
    <row r="67" spans="1:25" ht="15">
      <c r="B67" s="154" t="str">
        <f>'5. IRR'!B55</f>
        <v>Optimistisk (−1,00 pp)</v>
      </c>
      <c r="C67" s="760">
        <f>'5. IRR'!C55</f>
        <v>5.5E-2</v>
      </c>
      <c r="D67" s="761">
        <f ca="1">'5. IRR'!E55</f>
        <v>8.6683830293865061E-2</v>
      </c>
      <c r="E67" s="158">
        <f ca="1">'5. IRR'!D55</f>
        <v>317318181.81818181</v>
      </c>
      <c r="F67" s="765">
        <f>'5. IRR'!H55</f>
        <v>2384</v>
      </c>
      <c r="G67" s="158">
        <f ca="1">'5. IRR'!F55</f>
        <v>32760000.00000003</v>
      </c>
      <c r="H67" s="19"/>
      <c r="I67" s="506"/>
      <c r="J67" s="506"/>
      <c r="K67" s="532"/>
      <c r="L67" s="506"/>
      <c r="M67" s="506"/>
      <c r="N67" s="506"/>
      <c r="O67" s="506"/>
      <c r="P67" s="506"/>
      <c r="Q67" s="506"/>
      <c r="R67" s="506"/>
      <c r="S67" s="506"/>
      <c r="T67" s="506"/>
      <c r="U67" s="506"/>
      <c r="V67" s="506"/>
      <c r="W67" s="506"/>
      <c r="X67" s="506"/>
      <c r="Y67" s="506"/>
    </row>
    <row r="68" spans="1:25" ht="15">
      <c r="B68" s="154" t="str">
        <f>'5. IRR'!B56</f>
        <v>Bedömt (Indata sektion 5)</v>
      </c>
      <c r="C68" s="760">
        <f>'5. IRR'!C56</f>
        <v>6.5000000000000002E-2</v>
      </c>
      <c r="D68" s="761">
        <f ca="1">'5. IRR'!E56</f>
        <v>8.0257395749901095E-2</v>
      </c>
      <c r="E68" s="158">
        <f ca="1">'5. IRR'!D56</f>
        <v>268500000</v>
      </c>
      <c r="F68" s="765">
        <f>'5. IRR'!H56</f>
        <v>2559</v>
      </c>
      <c r="G68" s="158">
        <f ca="1">'5. IRR'!F56</f>
        <v>10300000.00000003</v>
      </c>
      <c r="H68" s="19"/>
      <c r="I68" s="506"/>
      <c r="J68" s="506"/>
      <c r="K68" s="532"/>
      <c r="L68" s="506"/>
      <c r="M68" s="506"/>
      <c r="N68" s="506"/>
      <c r="O68" s="506"/>
      <c r="P68" s="506"/>
      <c r="Q68" s="506"/>
      <c r="R68" s="506"/>
      <c r="S68" s="506"/>
      <c r="T68" s="506"/>
      <c r="U68" s="506"/>
      <c r="V68" s="506"/>
      <c r="W68" s="506"/>
      <c r="X68" s="506"/>
      <c r="Y68" s="506"/>
    </row>
    <row r="69" spans="1:25" ht="15">
      <c r="B69" s="154" t="str">
        <f>'5. IRR'!B57</f>
        <v>Pessimistisk (+1,00 pp)</v>
      </c>
      <c r="C69" s="760">
        <f>'5. IRR'!C57</f>
        <v>7.4999999999999997E-2</v>
      </c>
      <c r="D69" s="761">
        <f ca="1">'5. IRR'!E57</f>
        <v>7.4975068592003424E-2</v>
      </c>
      <c r="E69" s="158">
        <f ca="1">'5. IRR'!D57</f>
        <v>232700000</v>
      </c>
      <c r="F69" s="765">
        <f>'5. IRR'!H57</f>
        <v>2693</v>
      </c>
      <c r="G69" s="158">
        <f ca="1">'5. IRR'!F57</f>
        <v>-4529999.9999999702</v>
      </c>
      <c r="H69" s="19"/>
      <c r="I69" s="506"/>
      <c r="J69" s="506"/>
      <c r="K69" s="532"/>
      <c r="L69" s="506"/>
      <c r="M69" s="506"/>
      <c r="N69" s="506"/>
      <c r="O69" s="506"/>
      <c r="P69" s="506"/>
      <c r="Q69" s="506"/>
      <c r="R69" s="506"/>
      <c r="S69" s="506"/>
      <c r="T69" s="506"/>
      <c r="U69" s="506"/>
      <c r="V69" s="506"/>
      <c r="W69" s="506"/>
      <c r="X69" s="506"/>
      <c r="Y69" s="506"/>
    </row>
    <row r="70" spans="1:25" ht="8.1" customHeight="1">
      <c r="B70" s="84"/>
      <c r="C70" s="84"/>
      <c r="D70" s="535"/>
      <c r="E70" s="536"/>
      <c r="F70" s="536"/>
      <c r="G70" s="537"/>
      <c r="H70" s="506"/>
      <c r="I70" s="506"/>
      <c r="J70" s="506"/>
      <c r="K70" s="532"/>
      <c r="L70" s="506"/>
      <c r="M70" s="506"/>
      <c r="N70" s="506"/>
      <c r="O70" s="506"/>
      <c r="P70" s="506"/>
      <c r="Q70" s="506"/>
      <c r="R70" s="506"/>
      <c r="S70" s="506"/>
      <c r="T70" s="506"/>
      <c r="U70" s="506"/>
      <c r="V70" s="506"/>
      <c r="W70" s="506"/>
      <c r="X70" s="506"/>
      <c r="Y70" s="506"/>
    </row>
    <row r="71" spans="1:25" ht="15">
      <c r="B71" s="96"/>
      <c r="C71" s="96"/>
      <c r="D71" s="96"/>
      <c r="E71" s="96"/>
      <c r="F71" s="97"/>
      <c r="G71" s="98"/>
      <c r="H71" s="506"/>
      <c r="I71" s="506"/>
      <c r="J71" s="506"/>
      <c r="K71" s="532"/>
      <c r="L71" s="506"/>
      <c r="M71" s="506"/>
      <c r="N71" s="506"/>
      <c r="O71" s="506"/>
      <c r="P71" s="506"/>
      <c r="Q71" s="506"/>
      <c r="R71" s="506"/>
      <c r="S71" s="506"/>
      <c r="T71" s="506"/>
      <c r="U71" s="506"/>
      <c r="V71" s="506"/>
      <c r="W71" s="506"/>
      <c r="X71" s="506"/>
      <c r="Y71" s="506"/>
    </row>
    <row r="72" spans="1:25" ht="23.25">
      <c r="A72" s="506"/>
      <c r="B72" s="28" t="s">
        <v>57</v>
      </c>
      <c r="C72" s="29"/>
      <c r="D72" s="30"/>
      <c r="E72" s="31"/>
      <c r="F72" s="99"/>
      <c r="G72" s="33"/>
      <c r="H72" s="506"/>
      <c r="I72" s="506"/>
      <c r="J72" s="506"/>
      <c r="K72" s="17"/>
      <c r="L72" s="100"/>
      <c r="M72" s="26"/>
      <c r="N72" s="506"/>
      <c r="O72" s="506"/>
      <c r="P72" s="506"/>
      <c r="Q72" s="506"/>
      <c r="R72" s="506"/>
      <c r="S72" s="506"/>
      <c r="T72" s="506"/>
      <c r="U72" s="506"/>
      <c r="V72" s="506"/>
      <c r="W72" s="506"/>
      <c r="X72" s="506"/>
      <c r="Y72" s="506"/>
    </row>
    <row r="73" spans="1:25">
      <c r="A73" s="506"/>
      <c r="B73" s="539" t="s">
        <v>58</v>
      </c>
      <c r="C73" s="510"/>
      <c r="D73" s="538"/>
      <c r="E73" s="539"/>
      <c r="F73" s="540"/>
      <c r="G73" s="541">
        <f>'2. Kalkyldata'!$P17</f>
        <v>20</v>
      </c>
      <c r="H73" s="506"/>
      <c r="I73" s="506"/>
      <c r="J73" s="532"/>
      <c r="K73" s="17">
        <f>'2. Kalkyldata'!$P17</f>
        <v>20</v>
      </c>
      <c r="L73" s="506"/>
      <c r="M73" s="506"/>
      <c r="N73" s="506"/>
      <c r="O73" s="506"/>
      <c r="P73" s="506"/>
      <c r="Q73" s="506"/>
      <c r="R73" s="506"/>
      <c r="S73" s="506"/>
      <c r="T73" s="506"/>
      <c r="U73" s="506"/>
      <c r="V73" s="506"/>
      <c r="W73" s="506"/>
      <c r="X73" s="506"/>
      <c r="Y73" s="506"/>
    </row>
    <row r="74" spans="1:25">
      <c r="A74" s="506"/>
      <c r="B74" s="542" t="s">
        <v>59</v>
      </c>
      <c r="C74" s="506"/>
      <c r="D74" s="543"/>
      <c r="E74" s="542"/>
      <c r="F74" s="532"/>
      <c r="G74" s="544">
        <f>'2. Kalkyldata'!$P16</f>
        <v>33</v>
      </c>
      <c r="H74" s="506"/>
      <c r="I74" s="506"/>
      <c r="J74" s="532"/>
      <c r="K74" s="21">
        <f>'2. Kalkyldata'!$P16</f>
        <v>33</v>
      </c>
      <c r="L74" s="506"/>
      <c r="M74" s="506"/>
      <c r="N74" s="506"/>
      <c r="O74" s="506"/>
      <c r="P74" s="506"/>
      <c r="Q74" s="506"/>
      <c r="R74" s="506"/>
      <c r="S74" s="506"/>
      <c r="T74" s="506"/>
      <c r="U74" s="506"/>
      <c r="V74" s="506"/>
      <c r="W74" s="506"/>
      <c r="X74" s="506"/>
      <c r="Y74" s="506"/>
    </row>
    <row r="75" spans="1:25">
      <c r="A75" s="506"/>
      <c r="B75" s="542" t="s">
        <v>372</v>
      </c>
      <c r="C75" s="506"/>
      <c r="D75" s="543"/>
      <c r="E75" s="542"/>
      <c r="F75" s="532"/>
      <c r="G75" s="545">
        <f>'2. Kalkyldata'!$M$11</f>
        <v>6.5000000000000002E-2</v>
      </c>
      <c r="H75" s="506"/>
      <c r="I75" s="506"/>
      <c r="J75" s="532"/>
      <c r="K75" s="101">
        <f>'2. Kalkyldata'!$M$11</f>
        <v>6.5000000000000002E-2</v>
      </c>
      <c r="L75" s="506"/>
      <c r="M75" s="506"/>
      <c r="N75" s="506"/>
      <c r="O75" s="506"/>
      <c r="P75" s="506"/>
      <c r="Q75" s="506"/>
      <c r="R75" s="506"/>
      <c r="S75" s="506"/>
      <c r="T75" s="506"/>
      <c r="U75" s="506"/>
      <c r="V75" s="506"/>
      <c r="W75" s="506"/>
      <c r="X75" s="506"/>
      <c r="Y75" s="506"/>
    </row>
    <row r="76" spans="1:25">
      <c r="A76" s="506"/>
      <c r="B76" s="542" t="s">
        <v>61</v>
      </c>
      <c r="C76" s="506"/>
      <c r="D76" s="543"/>
      <c r="E76" s="542"/>
      <c r="F76" s="532"/>
      <c r="G76" s="546">
        <f>'2. Kalkyldata'!$M7</f>
        <v>4.5499999999999999E-2</v>
      </c>
      <c r="H76" s="506"/>
      <c r="I76" s="506"/>
      <c r="J76" s="532"/>
      <c r="K76" s="101">
        <f>'2. Kalkyldata'!$M7</f>
        <v>4.5499999999999999E-2</v>
      </c>
      <c r="L76" s="506"/>
      <c r="M76" s="506"/>
      <c r="N76" s="506"/>
      <c r="O76" s="506"/>
      <c r="P76" s="506"/>
      <c r="Q76" s="506"/>
      <c r="R76" s="506"/>
      <c r="S76" s="506"/>
      <c r="T76" s="506"/>
      <c r="U76" s="506"/>
      <c r="V76" s="506"/>
      <c r="W76" s="506"/>
      <c r="X76" s="506"/>
      <c r="Y76" s="506"/>
    </row>
    <row r="77" spans="1:25">
      <c r="A77" s="506"/>
      <c r="B77" s="542" t="s">
        <v>62</v>
      </c>
      <c r="C77" s="506"/>
      <c r="D77" s="543"/>
      <c r="E77" s="542"/>
      <c r="F77" s="532"/>
      <c r="G77" s="545">
        <f>'2. Kalkyldata'!$M8</f>
        <v>8.5000000000000006E-2</v>
      </c>
      <c r="H77" s="506"/>
      <c r="I77" s="506"/>
      <c r="J77" s="532"/>
      <c r="K77" s="101">
        <f>'2. Kalkyldata'!$M8</f>
        <v>8.5000000000000006E-2</v>
      </c>
      <c r="L77" s="506"/>
      <c r="M77" s="506"/>
      <c r="N77" s="506"/>
      <c r="O77" s="506"/>
      <c r="P77" s="506"/>
      <c r="Q77" s="506"/>
      <c r="R77" s="506"/>
      <c r="S77" s="506"/>
      <c r="T77" s="506"/>
      <c r="U77" s="506"/>
      <c r="V77" s="506"/>
      <c r="W77" s="506"/>
      <c r="X77" s="506"/>
      <c r="Y77" s="506"/>
    </row>
    <row r="78" spans="1:25">
      <c r="A78" s="506"/>
      <c r="B78" s="542" t="s">
        <v>63</v>
      </c>
      <c r="C78" s="506"/>
      <c r="D78" s="543"/>
      <c r="E78" s="542"/>
      <c r="F78" s="532"/>
      <c r="G78" s="545">
        <f>'2. Kalkyldata'!$M9</f>
        <v>0.02</v>
      </c>
      <c r="H78" s="506"/>
      <c r="I78" s="506"/>
      <c r="J78" s="532"/>
      <c r="K78" s="101">
        <f>'2. Kalkyldata'!$M9</f>
        <v>0.02</v>
      </c>
      <c r="L78" s="506"/>
      <c r="M78" s="506"/>
      <c r="N78" s="506"/>
      <c r="O78" s="506"/>
      <c r="P78" s="506"/>
      <c r="Q78" s="506"/>
      <c r="R78" s="506"/>
      <c r="S78" s="506"/>
      <c r="T78" s="506"/>
      <c r="U78" s="506"/>
      <c r="V78" s="506"/>
      <c r="W78" s="506"/>
      <c r="X78" s="506"/>
      <c r="Y78" s="506"/>
    </row>
    <row r="79" spans="1:25" ht="8.1" customHeight="1">
      <c r="A79" s="506"/>
      <c r="B79" s="542"/>
      <c r="C79" s="518"/>
      <c r="D79" s="543"/>
      <c r="E79" s="542"/>
      <c r="F79" s="519"/>
      <c r="G79" s="547"/>
      <c r="H79" s="506"/>
      <c r="I79" s="506"/>
      <c r="J79" s="506"/>
      <c r="K79" s="102"/>
      <c r="L79" s="506"/>
      <c r="M79" s="506"/>
      <c r="N79" s="506"/>
      <c r="O79" s="506"/>
      <c r="P79" s="506"/>
      <c r="Q79" s="506"/>
      <c r="R79" s="506"/>
      <c r="S79" s="506"/>
      <c r="T79" s="506"/>
      <c r="U79" s="506"/>
      <c r="V79" s="506"/>
      <c r="W79" s="506"/>
      <c r="X79" s="506"/>
      <c r="Y79" s="506"/>
    </row>
    <row r="80" spans="1:25">
      <c r="A80" s="506"/>
      <c r="B80" s="542" t="s">
        <v>64</v>
      </c>
      <c r="C80" s="506"/>
      <c r="D80" s="543"/>
      <c r="E80" s="542"/>
      <c r="F80" s="519"/>
      <c r="G80" s="548">
        <f>'2. Kalkyldata'!$L$28-SUMIF('2. Kalkyldata'!$E$23:$E$27,"nyb",'2. Kalkyldata'!$L$23:$L$27)</f>
        <v>0</v>
      </c>
      <c r="H80" s="506"/>
      <c r="I80" s="506"/>
      <c r="J80" s="506"/>
      <c r="K80" s="102">
        <f>'2. Kalkyldata'!$L$28-SUMIF('2. Kalkyldata'!$E$23:$E$27,"nyb",'2. Kalkyldata'!$L$23:$L$27)</f>
        <v>0</v>
      </c>
      <c r="L80" s="506"/>
      <c r="M80" s="506"/>
      <c r="N80" s="506"/>
      <c r="O80" s="506"/>
      <c r="P80" s="506"/>
      <c r="Q80" s="506"/>
      <c r="R80" s="506"/>
      <c r="S80" s="506"/>
      <c r="T80" s="506"/>
      <c r="U80" s="506"/>
      <c r="V80" s="506"/>
      <c r="W80" s="506"/>
      <c r="X80" s="506"/>
      <c r="Y80" s="506"/>
    </row>
    <row r="81" spans="1:25">
      <c r="A81" s="506"/>
      <c r="B81" s="103" t="s">
        <v>65</v>
      </c>
      <c r="C81" s="104"/>
      <c r="D81" s="105"/>
      <c r="E81" s="106"/>
      <c r="F81" s="107"/>
      <c r="G81" s="108">
        <f>IFERROR($K$80/('2. Kalkyldata'!$H$28-SUMIF('2. Kalkyldata'!$E$23:$E$27,"nyb",'2. Kalkyldata'!$H$23:$H$27)),0)</f>
        <v>0</v>
      </c>
      <c r="H81" s="506"/>
      <c r="I81" s="506"/>
      <c r="J81" s="519"/>
      <c r="K81" s="44">
        <f>IFERROR($K$80/('2. Kalkyldata'!$H$28-SUMIF('2. Kalkyldata'!$E$23:$E$27,"nyb",'2. Kalkyldata'!$H$23:$H$27)),0)</f>
        <v>0</v>
      </c>
      <c r="L81" s="506"/>
      <c r="M81" s="506"/>
      <c r="N81" s="506"/>
      <c r="O81" s="506"/>
      <c r="P81" s="506"/>
      <c r="Q81" s="506"/>
      <c r="R81" s="506"/>
      <c r="S81" s="506"/>
      <c r="T81" s="506"/>
      <c r="U81" s="506"/>
      <c r="V81" s="506"/>
      <c r="W81" s="506"/>
      <c r="X81" s="506"/>
      <c r="Y81" s="506"/>
    </row>
    <row r="82" spans="1:25">
      <c r="A82" s="506"/>
      <c r="B82" s="542" t="s">
        <v>66</v>
      </c>
      <c r="C82" s="506"/>
      <c r="D82" s="543"/>
      <c r="E82" s="542"/>
      <c r="F82" s="519"/>
      <c r="G82" s="548">
        <f>SUMIF('2. Kalkyldata'!$E$23:$E$27,"nyb",'2. Kalkyldata'!$L$23:$L$27)</f>
        <v>16165000</v>
      </c>
      <c r="H82" s="506"/>
      <c r="I82" s="506"/>
      <c r="J82" s="506"/>
      <c r="K82" s="102">
        <f>SUMIF('2. Kalkyldata'!$E$23:$E$27,"nyb",'2. Kalkyldata'!$L$23:$L$27)</f>
        <v>16165000</v>
      </c>
      <c r="L82" s="506"/>
      <c r="M82" s="506"/>
      <c r="N82" s="506"/>
      <c r="O82" s="506"/>
      <c r="P82" s="506"/>
      <c r="Q82" s="506"/>
      <c r="R82" s="506"/>
      <c r="S82" s="506"/>
      <c r="T82" s="506"/>
      <c r="U82" s="506"/>
      <c r="V82" s="506"/>
      <c r="W82" s="506"/>
      <c r="X82" s="506"/>
      <c r="Y82" s="506"/>
    </row>
    <row r="83" spans="1:25">
      <c r="A83" s="506"/>
      <c r="B83" s="103" t="s">
        <v>65</v>
      </c>
      <c r="C83" s="104"/>
      <c r="D83" s="105"/>
      <c r="E83" s="106"/>
      <c r="F83" s="107"/>
      <c r="G83" s="108">
        <f>IFERROR(G82/(SUMIF('2. Kalkyldata'!$E23:$E27,"nyb",'2. Kalkyldata'!$H23:$H27)),0)</f>
        <v>2650</v>
      </c>
      <c r="H83" s="506"/>
      <c r="I83" s="506"/>
      <c r="J83" s="519"/>
      <c r="K83" s="44">
        <f>K82/(SUMIF('2. Kalkyldata'!$E23:$E27,"nyb",'2. Kalkyldata'!$H23:$H27))</f>
        <v>2650</v>
      </c>
      <c r="L83" s="506"/>
      <c r="M83" s="506"/>
      <c r="N83" s="506"/>
      <c r="O83" s="506"/>
      <c r="P83" s="506"/>
      <c r="Q83" s="506"/>
      <c r="R83" s="506"/>
      <c r="S83" s="506"/>
      <c r="T83" s="506"/>
      <c r="U83" s="506"/>
      <c r="V83" s="506"/>
      <c r="W83" s="506"/>
      <c r="X83" s="506"/>
      <c r="Y83" s="506"/>
    </row>
    <row r="84" spans="1:25" s="115" customFormat="1" ht="15">
      <c r="A84" s="19"/>
      <c r="B84" s="37" t="s">
        <v>67</v>
      </c>
      <c r="C84" s="15"/>
      <c r="D84" s="109"/>
      <c r="E84" s="110"/>
      <c r="F84" s="111"/>
      <c r="G84" s="112">
        <f>G80+G82</f>
        <v>16165000</v>
      </c>
      <c r="H84" s="19"/>
      <c r="I84" s="19"/>
      <c r="J84" s="113"/>
      <c r="K84" s="114">
        <f>K80+K82</f>
        <v>16165000</v>
      </c>
      <c r="L84" s="19"/>
      <c r="M84" s="506"/>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506"/>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506"/>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507" t="s">
        <v>69</v>
      </c>
      <c r="C88" s="508"/>
      <c r="D88" s="549"/>
      <c r="E88" s="550"/>
      <c r="F88" s="508"/>
      <c r="G88" s="551">
        <f>'2. Kalkyldata'!$M14</f>
        <v>0</v>
      </c>
      <c r="H88" s="506"/>
      <c r="I88" s="506"/>
      <c r="J88" s="506"/>
      <c r="K88" s="134">
        <f>'2. Kalkyldata'!$M14</f>
        <v>0</v>
      </c>
      <c r="L88" s="506"/>
      <c r="M88" s="506"/>
      <c r="N88" s="506"/>
      <c r="O88" s="506"/>
      <c r="P88" s="506"/>
      <c r="Q88" s="506"/>
      <c r="R88" s="506"/>
      <c r="S88" s="506"/>
      <c r="T88" s="506"/>
      <c r="U88" s="506"/>
      <c r="V88" s="506"/>
      <c r="W88" s="506"/>
      <c r="X88" s="506"/>
      <c r="Y88" s="506"/>
    </row>
    <row r="89" spans="1:25">
      <c r="B89" s="552" t="s">
        <v>70</v>
      </c>
      <c r="C89" s="535"/>
      <c r="D89" s="553"/>
      <c r="E89" s="686" t="s">
        <v>71</v>
      </c>
      <c r="F89" s="687"/>
      <c r="G89" s="554">
        <f>'4. NPV'!$D$32</f>
        <v>-405</v>
      </c>
      <c r="H89" s="506"/>
      <c r="I89" s="506"/>
      <c r="J89" s="506"/>
      <c r="K89" s="44">
        <f>'4. NPV'!$D$32</f>
        <v>-405</v>
      </c>
      <c r="L89" s="506"/>
      <c r="M89" s="506"/>
      <c r="N89" s="506"/>
      <c r="O89" s="506"/>
      <c r="P89" s="506"/>
      <c r="Q89" s="506"/>
      <c r="R89" s="506"/>
      <c r="S89" s="506"/>
      <c r="T89" s="506"/>
      <c r="U89" s="506"/>
      <c r="V89" s="506"/>
      <c r="W89" s="506"/>
      <c r="X89" s="506"/>
      <c r="Y89" s="506"/>
    </row>
    <row r="90" spans="1:25">
      <c r="B90" s="506"/>
      <c r="C90" s="506"/>
      <c r="D90" s="506"/>
      <c r="E90" s="506"/>
      <c r="F90" s="506"/>
      <c r="G90" s="555"/>
      <c r="H90" s="506"/>
      <c r="I90" s="506"/>
      <c r="J90" s="506"/>
      <c r="K90" s="43"/>
      <c r="L90" s="506"/>
      <c r="M90" s="506"/>
      <c r="N90" s="506"/>
      <c r="O90" s="506"/>
      <c r="P90" s="506"/>
      <c r="Q90" s="506"/>
      <c r="R90" s="506"/>
      <c r="S90" s="506"/>
      <c r="T90" s="506"/>
      <c r="U90" s="506"/>
      <c r="V90" s="506"/>
      <c r="W90" s="506"/>
      <c r="X90" s="506"/>
      <c r="Y90" s="506"/>
    </row>
    <row r="91" spans="1:25" ht="15">
      <c r="B91" s="663" t="s">
        <v>49</v>
      </c>
      <c r="C91" s="664"/>
      <c r="D91" s="664"/>
      <c r="E91" s="664"/>
      <c r="F91" s="664"/>
      <c r="G91" s="665"/>
      <c r="H91" s="506"/>
      <c r="I91" s="506"/>
      <c r="J91" s="506"/>
      <c r="K91" s="135"/>
      <c r="L91" s="506"/>
      <c r="M91" s="506"/>
      <c r="N91" s="506"/>
      <c r="O91" s="506"/>
      <c r="P91" s="506"/>
      <c r="Q91" s="506"/>
      <c r="R91" s="506"/>
      <c r="S91" s="506"/>
      <c r="T91" s="506"/>
      <c r="U91" s="506"/>
      <c r="V91" s="506"/>
      <c r="W91" s="506"/>
      <c r="X91" s="506"/>
      <c r="Y91" s="506"/>
    </row>
    <row r="92" spans="1:25">
      <c r="B92" s="651" t="s">
        <v>5</v>
      </c>
      <c r="C92" s="652"/>
      <c r="D92" s="652"/>
      <c r="E92" s="652"/>
      <c r="F92" s="652"/>
      <c r="G92" s="653"/>
      <c r="H92" s="506"/>
      <c r="I92" s="506"/>
      <c r="J92" s="506"/>
      <c r="K92" s="43"/>
      <c r="L92" s="506"/>
      <c r="M92" s="506"/>
      <c r="N92" s="506"/>
      <c r="O92" s="506"/>
      <c r="P92" s="506"/>
      <c r="Q92" s="506"/>
      <c r="R92" s="506"/>
      <c r="S92" s="506"/>
      <c r="T92" s="506"/>
      <c r="U92" s="506"/>
      <c r="V92" s="506"/>
      <c r="W92" s="506"/>
      <c r="X92" s="506"/>
      <c r="Y92" s="506"/>
    </row>
    <row r="93" spans="1:25" ht="15" customHeight="1">
      <c r="B93" s="651"/>
      <c r="C93" s="652"/>
      <c r="D93" s="652"/>
      <c r="E93" s="652"/>
      <c r="F93" s="652"/>
      <c r="G93" s="653"/>
      <c r="H93" s="506"/>
      <c r="I93" s="506"/>
      <c r="J93" s="556"/>
      <c r="K93" s="43"/>
      <c r="L93" s="506"/>
      <c r="M93" s="506"/>
      <c r="N93" s="506"/>
      <c r="O93" s="506"/>
      <c r="P93" s="506"/>
      <c r="Q93" s="506"/>
      <c r="R93" s="506"/>
      <c r="S93" s="506"/>
      <c r="T93" s="506"/>
      <c r="U93" s="506"/>
      <c r="V93" s="506"/>
      <c r="W93" s="506"/>
      <c r="X93" s="506"/>
      <c r="Y93" s="506"/>
    </row>
    <row r="94" spans="1:25">
      <c r="B94" s="651"/>
      <c r="C94" s="652"/>
      <c r="D94" s="652"/>
      <c r="E94" s="652"/>
      <c r="F94" s="652"/>
      <c r="G94" s="653"/>
      <c r="H94" s="506"/>
      <c r="I94" s="506"/>
      <c r="J94" s="557"/>
      <c r="K94" s="43"/>
      <c r="L94" s="506"/>
      <c r="M94" s="506"/>
      <c r="N94" s="558"/>
      <c r="O94" s="506"/>
      <c r="P94" s="506"/>
      <c r="Q94" s="506"/>
      <c r="R94" s="506"/>
      <c r="S94" s="506"/>
      <c r="T94" s="506"/>
      <c r="U94" s="506"/>
      <c r="V94" s="506"/>
      <c r="W94" s="506"/>
      <c r="X94" s="506"/>
      <c r="Y94" s="506"/>
    </row>
    <row r="95" spans="1:25">
      <c r="B95" s="651"/>
      <c r="C95" s="652"/>
      <c r="D95" s="652"/>
      <c r="E95" s="652"/>
      <c r="F95" s="652"/>
      <c r="G95" s="653"/>
      <c r="H95" s="506"/>
      <c r="I95" s="506"/>
      <c r="J95" s="556"/>
      <c r="K95" s="43"/>
      <c r="L95" s="506"/>
      <c r="M95" s="506"/>
      <c r="N95" s="558"/>
      <c r="O95" s="506"/>
      <c r="P95" s="506"/>
      <c r="Q95" s="506"/>
      <c r="R95" s="506"/>
      <c r="S95" s="506"/>
      <c r="T95" s="506"/>
      <c r="U95" s="506"/>
      <c r="V95" s="506"/>
      <c r="W95" s="506"/>
      <c r="X95" s="506"/>
      <c r="Y95" s="506"/>
    </row>
    <row r="96" spans="1:25">
      <c r="B96" s="654"/>
      <c r="C96" s="655"/>
      <c r="D96" s="655"/>
      <c r="E96" s="655"/>
      <c r="F96" s="655"/>
      <c r="G96" s="656"/>
      <c r="H96" s="506"/>
      <c r="I96" s="506"/>
      <c r="J96" s="557"/>
      <c r="K96" s="136"/>
      <c r="L96" s="506"/>
      <c r="M96" s="506"/>
      <c r="N96" s="558"/>
      <c r="O96" s="506"/>
      <c r="P96" s="506"/>
      <c r="Q96" s="506"/>
      <c r="R96" s="506"/>
      <c r="S96" s="506"/>
      <c r="T96" s="506"/>
      <c r="U96" s="506"/>
      <c r="V96" s="506"/>
      <c r="W96" s="506"/>
      <c r="X96" s="506"/>
      <c r="Y96" s="506"/>
    </row>
    <row r="97" spans="1:25">
      <c r="B97" s="506"/>
      <c r="C97" s="506"/>
      <c r="D97" s="506"/>
      <c r="E97" s="506"/>
      <c r="F97" s="506"/>
      <c r="G97" s="555"/>
      <c r="H97" s="506"/>
      <c r="I97" s="506"/>
      <c r="J97" s="506"/>
      <c r="K97" s="137"/>
      <c r="L97" s="506"/>
      <c r="M97" s="506"/>
      <c r="N97" s="506"/>
      <c r="O97" s="506"/>
      <c r="P97" s="506"/>
      <c r="Q97" s="506"/>
      <c r="R97" s="506"/>
      <c r="S97" s="506"/>
      <c r="T97" s="506"/>
      <c r="U97" s="506"/>
      <c r="V97" s="506"/>
      <c r="W97" s="506"/>
      <c r="X97" s="506"/>
      <c r="Y97" s="506"/>
    </row>
    <row r="98" spans="1:25" ht="23.25">
      <c r="B98" s="28" t="s">
        <v>72</v>
      </c>
      <c r="C98" s="29"/>
      <c r="D98" s="138"/>
      <c r="E98" s="138"/>
      <c r="F98" s="99"/>
      <c r="G98" s="139"/>
      <c r="H98" s="506"/>
      <c r="I98" s="506"/>
      <c r="J98" s="506"/>
      <c r="K98" s="140"/>
      <c r="L98" s="506"/>
      <c r="M98" s="506"/>
      <c r="N98" s="506"/>
      <c r="O98" s="506"/>
      <c r="P98" s="506"/>
      <c r="Q98" s="506"/>
      <c r="R98" s="506"/>
      <c r="S98" s="506"/>
      <c r="T98" s="506"/>
      <c r="U98" s="506"/>
      <c r="V98" s="506"/>
      <c r="W98" s="506"/>
      <c r="X98" s="506"/>
      <c r="Y98" s="506"/>
    </row>
    <row r="99" spans="1:25">
      <c r="B99" s="539" t="s">
        <v>73</v>
      </c>
      <c r="C99" s="510"/>
      <c r="D99" s="538"/>
      <c r="E99" s="511"/>
      <c r="F99" s="510"/>
      <c r="G99" s="559">
        <f>'3. Finansiering'!$C$7</f>
        <v>3.0700000000000002E-2</v>
      </c>
      <c r="H99" s="506"/>
      <c r="I99" s="506"/>
      <c r="J99" s="506"/>
      <c r="K99" s="134">
        <f>'3. Finansiering'!$C$7</f>
        <v>3.0700000000000002E-2</v>
      </c>
      <c r="L99" s="506"/>
      <c r="M99" s="506"/>
      <c r="N99" s="506"/>
      <c r="O99" s="506"/>
      <c r="P99" s="506"/>
      <c r="Q99" s="506"/>
      <c r="R99" s="506"/>
      <c r="S99" s="506"/>
      <c r="T99" s="506"/>
      <c r="U99" s="506"/>
      <c r="V99" s="506"/>
      <c r="W99" s="506"/>
      <c r="X99" s="506"/>
      <c r="Y99" s="506"/>
    </row>
    <row r="100" spans="1:25">
      <c r="B100" s="542" t="s">
        <v>74</v>
      </c>
      <c r="C100" s="506"/>
      <c r="D100" s="543"/>
      <c r="E100" s="513"/>
      <c r="F100" s="506"/>
      <c r="G100" s="560">
        <f>'3. Finansiering'!$C$8</f>
        <v>4.5499999999999999E-2</v>
      </c>
      <c r="H100" s="506"/>
      <c r="I100" s="506"/>
      <c r="J100" s="506"/>
      <c r="K100" s="134">
        <f>'3. Finansiering'!$C$8</f>
        <v>4.5499999999999999E-2</v>
      </c>
      <c r="L100" s="506"/>
      <c r="M100" s="506"/>
      <c r="N100" s="506"/>
      <c r="O100" s="506"/>
      <c r="P100" s="506"/>
      <c r="Q100" s="506"/>
      <c r="R100" s="506"/>
      <c r="S100" s="506"/>
      <c r="T100" s="506"/>
      <c r="U100" s="506"/>
      <c r="V100" s="506"/>
      <c r="W100" s="506"/>
      <c r="X100" s="506"/>
      <c r="Y100" s="506"/>
    </row>
    <row r="101" spans="1:25">
      <c r="B101" s="542" t="s">
        <v>75</v>
      </c>
      <c r="C101" s="506"/>
      <c r="D101" s="543"/>
      <c r="E101" s="513"/>
      <c r="F101" s="506"/>
      <c r="G101" s="561">
        <f>'3. Finansiering'!$C$9</f>
        <v>0.03</v>
      </c>
      <c r="H101" s="506"/>
      <c r="I101" s="506"/>
      <c r="J101" s="506"/>
      <c r="K101" s="134">
        <f>'3. Finansiering'!$C$9</f>
        <v>0.03</v>
      </c>
      <c r="L101" s="506"/>
      <c r="M101" s="506"/>
      <c r="N101" s="506"/>
      <c r="O101" s="506"/>
      <c r="P101" s="506"/>
      <c r="Q101" s="506"/>
      <c r="R101" s="506"/>
      <c r="S101" s="506"/>
      <c r="T101" s="506"/>
      <c r="U101" s="506"/>
      <c r="V101" s="506"/>
      <c r="W101" s="506"/>
      <c r="X101" s="506"/>
      <c r="Y101" s="506"/>
    </row>
    <row r="102" spans="1:25">
      <c r="B102" s="507" t="s">
        <v>76</v>
      </c>
      <c r="C102" s="508"/>
      <c r="D102" s="549"/>
      <c r="E102" s="562"/>
      <c r="F102" s="508"/>
      <c r="G102" s="551">
        <f>'3. Finansiering'!$C$10</f>
        <v>0.37</v>
      </c>
      <c r="H102" s="506"/>
      <c r="I102" s="506"/>
      <c r="J102" s="506"/>
      <c r="K102" s="141">
        <f>'3. Finansiering'!$C$10</f>
        <v>0.37</v>
      </c>
      <c r="L102" s="506"/>
      <c r="M102" s="506"/>
      <c r="N102" s="506"/>
      <c r="O102" s="506"/>
      <c r="P102" s="506"/>
      <c r="Q102" s="506"/>
      <c r="R102" s="506"/>
      <c r="S102" s="506"/>
      <c r="T102" s="506"/>
      <c r="U102" s="506"/>
      <c r="V102" s="506"/>
      <c r="W102" s="506"/>
      <c r="X102" s="506"/>
      <c r="Y102" s="506"/>
    </row>
    <row r="103" spans="1:25">
      <c r="B103" s="506"/>
      <c r="C103" s="506"/>
      <c r="D103" s="506"/>
      <c r="E103" s="506"/>
      <c r="F103" s="506"/>
      <c r="G103" s="555"/>
      <c r="H103" s="506"/>
      <c r="I103" s="506"/>
      <c r="J103" s="506"/>
      <c r="K103" s="142"/>
      <c r="L103" s="506"/>
      <c r="M103" s="506"/>
      <c r="N103" s="506"/>
      <c r="O103" s="506"/>
      <c r="P103" s="506"/>
      <c r="Q103" s="506"/>
      <c r="R103" s="506"/>
      <c r="S103" s="506"/>
      <c r="T103" s="506"/>
      <c r="U103" s="506"/>
      <c r="V103" s="506"/>
      <c r="W103" s="506"/>
      <c r="X103" s="506"/>
      <c r="Y103" s="506"/>
    </row>
    <row r="104" spans="1:25" ht="23.25">
      <c r="A104" s="506"/>
      <c r="B104" s="28" t="s">
        <v>77</v>
      </c>
      <c r="C104" s="143"/>
      <c r="D104" s="144" t="s">
        <v>78</v>
      </c>
      <c r="E104" s="145" t="s">
        <v>58</v>
      </c>
      <c r="F104" s="146"/>
      <c r="G104" s="147"/>
      <c r="H104" s="506"/>
      <c r="I104" s="506"/>
      <c r="J104" s="506"/>
      <c r="K104" s="148"/>
      <c r="L104" s="506"/>
      <c r="M104" s="506"/>
      <c r="N104" s="506"/>
      <c r="O104" s="506"/>
      <c r="P104" s="506"/>
      <c r="Q104" s="506"/>
      <c r="R104" s="506"/>
      <c r="S104" s="506"/>
      <c r="T104" s="506"/>
      <c r="U104" s="506"/>
      <c r="V104" s="506"/>
      <c r="W104" s="506"/>
      <c r="X104" s="506"/>
      <c r="Y104" s="506"/>
    </row>
    <row r="105" spans="1:25" ht="15">
      <c r="A105" s="506"/>
      <c r="B105" s="223" t="str">
        <f>"IRR före skatt, ("&amp;G102*100&amp;"% belåning)"</f>
        <v>IRR före skatt, (37% belåning)</v>
      </c>
      <c r="C105" s="224"/>
      <c r="D105" s="505">
        <f>'2. Kalkyldata'!F14</f>
        <v>6.3399999999999998E-2</v>
      </c>
      <c r="E105" s="225">
        <f>'2. Kalkyldata'!$Q$17</f>
        <v>20</v>
      </c>
      <c r="F105" s="224"/>
      <c r="G105" s="226">
        <f ca="1">'5. IRR'!$D$40</f>
        <v>8.0257395749901095E-2</v>
      </c>
      <c r="H105" s="19"/>
      <c r="I105" s="19"/>
      <c r="J105" s="19"/>
      <c r="K105" s="134">
        <f ca="1">'5. IRR'!$D$40</f>
        <v>8.0257395749901095E-2</v>
      </c>
      <c r="L105" s="506"/>
      <c r="M105" s="506"/>
      <c r="N105" s="506"/>
      <c r="O105" s="506"/>
      <c r="P105" s="506"/>
      <c r="Q105" s="506"/>
      <c r="R105" s="506"/>
      <c r="S105" s="506"/>
      <c r="T105" s="506"/>
      <c r="U105" s="506"/>
      <c r="V105" s="506"/>
      <c r="W105" s="506"/>
      <c r="X105" s="506"/>
      <c r="Y105" s="506"/>
    </row>
    <row r="106" spans="1:25" ht="8.1" customHeight="1">
      <c r="A106" s="506"/>
      <c r="B106" s="149"/>
      <c r="C106" s="150"/>
      <c r="D106" s="151"/>
      <c r="E106" s="88"/>
      <c r="F106" s="87"/>
      <c r="G106" s="152"/>
      <c r="H106" s="506"/>
      <c r="I106" s="506"/>
      <c r="J106" s="506"/>
      <c r="K106" s="153"/>
      <c r="L106" s="506"/>
      <c r="M106" s="506"/>
      <c r="N106" s="506"/>
      <c r="O106" s="506"/>
      <c r="P106" s="506"/>
      <c r="Q106" s="506"/>
      <c r="R106" s="506"/>
      <c r="S106" s="506"/>
      <c r="T106" s="506"/>
      <c r="U106" s="506"/>
      <c r="V106" s="506"/>
      <c r="W106" s="506"/>
      <c r="X106" s="506"/>
      <c r="Y106" s="506"/>
    </row>
    <row r="107" spans="1:25" ht="15" customHeight="1">
      <c r="A107" s="506"/>
      <c r="B107" s="154" t="s">
        <v>423</v>
      </c>
      <c r="C107" s="155"/>
      <c r="D107" s="156" t="str">
        <f>'2. Kalkyldata'!$AE$19</f>
        <v>NPV binder</v>
      </c>
      <c r="E107" s="157"/>
      <c r="F107" s="155"/>
      <c r="G107" s="764">
        <f>'2. Kalkyldata'!$D$17</f>
        <v>2559</v>
      </c>
      <c r="H107" s="19"/>
      <c r="I107" s="506"/>
      <c r="J107" s="506"/>
      <c r="K107" s="153"/>
      <c r="L107" s="506"/>
      <c r="M107" s="506"/>
      <c r="N107" s="506"/>
      <c r="O107" s="506"/>
      <c r="P107" s="506"/>
      <c r="Q107" s="506"/>
      <c r="R107" s="506"/>
      <c r="S107" s="506"/>
      <c r="T107" s="506"/>
      <c r="U107" s="506"/>
      <c r="V107" s="506"/>
      <c r="W107" s="506"/>
      <c r="X107" s="506"/>
      <c r="Y107" s="506"/>
    </row>
    <row r="108" spans="1:25" ht="15">
      <c r="A108" s="506"/>
      <c r="B108" s="471" t="s">
        <v>79</v>
      </c>
      <c r="C108" s="327"/>
      <c r="D108" s="472" t="str">
        <f>'2. Kalkyldata'!F13</f>
        <v>&gt;0</v>
      </c>
      <c r="E108" s="473">
        <f>$G$73</f>
        <v>20</v>
      </c>
      <c r="F108" s="327"/>
      <c r="G108" s="474">
        <f ca="1">'4. NPV'!$E$82</f>
        <v>10300000.00000003</v>
      </c>
      <c r="H108" s="19"/>
      <c r="I108" s="19"/>
      <c r="J108" s="19"/>
      <c r="K108" s="43">
        <f ca="1">'4. NPV'!$E$82</f>
        <v>10300000.00000003</v>
      </c>
      <c r="L108" s="506"/>
      <c r="M108" s="506"/>
      <c r="N108" s="506"/>
      <c r="O108" s="506"/>
      <c r="P108" s="506"/>
      <c r="Q108" s="506"/>
      <c r="R108" s="506"/>
      <c r="S108" s="506"/>
      <c r="T108" s="506"/>
      <c r="U108" s="506"/>
      <c r="V108" s="506"/>
      <c r="W108" s="506"/>
      <c r="X108" s="506"/>
      <c r="Y108" s="506"/>
    </row>
    <row r="109" spans="1:25" ht="15">
      <c r="A109" s="506"/>
      <c r="B109" s="154" t="str">
        <f>CONCATENATE("PV ",'2. Kalkyldata'!$M$3)</f>
        <v>PV 2026</v>
      </c>
      <c r="C109" s="155"/>
      <c r="D109" s="156"/>
      <c r="E109" s="157"/>
      <c r="F109" s="155"/>
      <c r="G109" s="158">
        <f ca="1">'4. NPV'!$E$81</f>
        <v>250300000</v>
      </c>
      <c r="H109" s="19"/>
      <c r="I109" s="19"/>
      <c r="J109" s="19"/>
      <c r="K109" s="43">
        <f ca="1">'4. NPV'!$E$81</f>
        <v>250300000</v>
      </c>
      <c r="L109" s="506"/>
      <c r="M109" s="506"/>
      <c r="N109" s="506"/>
      <c r="O109" s="506"/>
      <c r="P109" s="506"/>
      <c r="Q109" s="506"/>
      <c r="R109" s="506"/>
      <c r="S109" s="506"/>
      <c r="T109" s="506"/>
      <c r="U109" s="506"/>
      <c r="V109" s="506"/>
      <c r="W109" s="506"/>
      <c r="X109" s="506"/>
      <c r="Y109" s="506"/>
    </row>
    <row r="110" spans="1:25" ht="15">
      <c r="A110" s="506"/>
      <c r="B110" s="154" t="s">
        <v>80</v>
      </c>
      <c r="C110" s="155"/>
      <c r="D110" s="156"/>
      <c r="E110" s="157"/>
      <c r="F110" s="155"/>
      <c r="G110" s="158">
        <f>'4. NPV'!$E$56</f>
        <v>-239999999.99999997</v>
      </c>
      <c r="H110" s="19"/>
      <c r="I110" s="19"/>
      <c r="J110" s="19"/>
      <c r="K110" s="43">
        <f>'4. NPV'!$E$56</f>
        <v>-239999999.99999997</v>
      </c>
      <c r="L110" s="506"/>
      <c r="M110" s="506"/>
      <c r="N110" s="506"/>
      <c r="O110" s="506"/>
      <c r="P110" s="506"/>
      <c r="Q110" s="159"/>
      <c r="R110" s="506"/>
      <c r="S110" s="506"/>
      <c r="T110" s="506"/>
      <c r="U110" s="506"/>
      <c r="V110" s="506"/>
      <c r="W110" s="506"/>
      <c r="X110" s="506"/>
      <c r="Y110" s="506"/>
    </row>
    <row r="111" spans="1:25" ht="15">
      <c r="A111" s="506"/>
      <c r="B111" s="471" t="s">
        <v>397</v>
      </c>
      <c r="C111" s="327"/>
      <c r="D111" s="475" t="str">
        <f>'2. Kalkyldata'!F15</f>
        <v>&gt;0</v>
      </c>
      <c r="E111" s="473">
        <f>$G$73</f>
        <v>20</v>
      </c>
      <c r="F111" s="327"/>
      <c r="G111" s="474">
        <f ca="1">G112-G113</f>
        <v>10300000.00000003</v>
      </c>
      <c r="H111" s="19"/>
      <c r="I111" s="19"/>
      <c r="J111" s="19"/>
      <c r="K111" s="43">
        <f ca="1">K112-K113</f>
        <v>10300000.00000003</v>
      </c>
      <c r="L111" s="506"/>
      <c r="M111" s="506"/>
      <c r="N111" s="506"/>
      <c r="O111" s="506"/>
      <c r="P111" s="506"/>
      <c r="Q111" s="159"/>
      <c r="R111" s="506"/>
      <c r="S111" s="506"/>
      <c r="T111" s="506"/>
      <c r="U111" s="506"/>
      <c r="V111" s="506"/>
      <c r="W111" s="506"/>
      <c r="X111" s="506"/>
      <c r="Y111" s="506"/>
    </row>
    <row r="112" spans="1:25" s="115" customFormat="1" ht="15">
      <c r="A112" s="19"/>
      <c r="B112" s="154" t="str">
        <f>CONCATENATE("PV ",'2. Kalkyldata'!$M$3)</f>
        <v>PV 2026</v>
      </c>
      <c r="C112" s="155"/>
      <c r="D112" s="156"/>
      <c r="E112" s="160"/>
      <c r="F112" s="155"/>
      <c r="G112" s="158">
        <f ca="1">'4. NPV'!$E$52</f>
        <v>250300000</v>
      </c>
      <c r="H112" s="19"/>
      <c r="I112" s="19"/>
      <c r="J112" s="19"/>
      <c r="K112" s="43">
        <f ca="1">'4.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400" t="s">
        <v>81</v>
      </c>
      <c r="C114" s="401"/>
      <c r="D114" s="476"/>
      <c r="E114" s="477">
        <f>$G$73</f>
        <v>20</v>
      </c>
      <c r="F114" s="224"/>
      <c r="G114" s="478">
        <f ca="1">AVERAGE('4. NPV'!D33:BA33)</f>
        <v>0.83777849926839332</v>
      </c>
      <c r="H114" s="506"/>
      <c r="I114" s="506"/>
      <c r="J114" s="506"/>
      <c r="K114" s="161"/>
      <c r="L114" s="19"/>
      <c r="M114" s="19"/>
      <c r="N114" s="19"/>
      <c r="O114" s="19"/>
      <c r="P114" s="19"/>
      <c r="Q114" s="96"/>
      <c r="R114" s="19"/>
      <c r="S114" s="19"/>
      <c r="T114" s="19"/>
      <c r="U114" s="19"/>
      <c r="V114" s="19"/>
      <c r="W114" s="19"/>
      <c r="X114" s="19"/>
      <c r="Y114" s="19"/>
    </row>
    <row r="115" spans="1:25" ht="8.1" customHeight="1">
      <c r="A115" s="506"/>
      <c r="B115" s="506"/>
      <c r="C115" s="506"/>
      <c r="D115" s="506"/>
      <c r="E115" s="506"/>
      <c r="F115" s="506"/>
      <c r="G115" s="555"/>
      <c r="H115" s="506"/>
      <c r="I115" s="506"/>
      <c r="J115" s="506"/>
      <c r="K115" s="43"/>
      <c r="L115" s="506"/>
      <c r="M115" s="506"/>
      <c r="N115" s="506"/>
      <c r="O115" s="506"/>
      <c r="P115" s="506"/>
      <c r="Q115" s="159"/>
      <c r="R115" s="506"/>
      <c r="S115" s="506"/>
      <c r="T115" s="506"/>
      <c r="U115" s="506"/>
      <c r="V115" s="506"/>
      <c r="W115" s="506"/>
      <c r="X115" s="506"/>
      <c r="Y115" s="506"/>
    </row>
    <row r="116" spans="1:25" ht="15" customHeight="1">
      <c r="A116" s="506"/>
      <c r="B116" s="703" t="s">
        <v>49</v>
      </c>
      <c r="C116" s="704"/>
      <c r="D116" s="704"/>
      <c r="E116" s="704"/>
      <c r="F116" s="704"/>
      <c r="G116" s="705"/>
      <c r="H116" s="506"/>
      <c r="I116" s="506"/>
      <c r="J116" s="506"/>
      <c r="K116" s="532"/>
      <c r="L116" s="162" t="s">
        <v>82</v>
      </c>
      <c r="M116" s="163"/>
      <c r="N116" s="164" t="s">
        <v>58</v>
      </c>
      <c r="O116" s="540"/>
      <c r="P116" s="510"/>
      <c r="Q116" s="165"/>
      <c r="R116" s="506"/>
      <c r="S116" s="506"/>
      <c r="T116" s="506"/>
      <c r="U116" s="506"/>
      <c r="V116" s="506"/>
      <c r="W116" s="506"/>
      <c r="X116" s="506"/>
      <c r="Y116" s="506"/>
    </row>
    <row r="117" spans="1:25">
      <c r="A117" s="506"/>
      <c r="B117" s="700" t="s">
        <v>5</v>
      </c>
      <c r="C117" s="701"/>
      <c r="D117" s="701"/>
      <c r="E117" s="701"/>
      <c r="F117" s="701"/>
      <c r="G117" s="702"/>
      <c r="H117" s="506"/>
      <c r="I117" s="506"/>
      <c r="J117" s="506"/>
      <c r="K117" s="532"/>
      <c r="L117" s="539" t="s">
        <v>58</v>
      </c>
      <c r="M117" s="563"/>
      <c r="N117" s="564"/>
      <c r="O117" s="540"/>
      <c r="P117" s="565">
        <v>0</v>
      </c>
      <c r="Q117" s="165">
        <f>'2. Kalkyldata'!$Q$17</f>
        <v>20</v>
      </c>
      <c r="R117" s="506"/>
      <c r="S117" s="506"/>
      <c r="T117" s="506"/>
      <c r="U117" s="506"/>
      <c r="V117" s="506"/>
      <c r="W117" s="506"/>
      <c r="X117" s="506"/>
      <c r="Y117" s="506"/>
    </row>
    <row r="118" spans="1:25">
      <c r="A118" s="506"/>
      <c r="B118" s="657"/>
      <c r="C118" s="658"/>
      <c r="D118" s="658"/>
      <c r="E118" s="658"/>
      <c r="F118" s="658"/>
      <c r="G118" s="659"/>
      <c r="H118" s="506"/>
      <c r="I118" s="506"/>
      <c r="J118" s="506"/>
      <c r="K118" s="532"/>
      <c r="L118" s="542" t="s">
        <v>83</v>
      </c>
      <c r="M118" s="566"/>
      <c r="N118" s="567">
        <f>$E$112</f>
        <v>0</v>
      </c>
      <c r="O118" s="532"/>
      <c r="P118" s="568">
        <v>0</v>
      </c>
      <c r="Q118" s="166">
        <f>'5. IRR'!$C$8</f>
        <v>94500000</v>
      </c>
      <c r="R118" s="506"/>
      <c r="S118" s="506"/>
      <c r="T118" s="506"/>
      <c r="U118" s="506"/>
      <c r="V118" s="506"/>
      <c r="W118" s="506"/>
      <c r="X118" s="506"/>
      <c r="Y118" s="506"/>
    </row>
    <row r="119" spans="1:25">
      <c r="A119" s="506"/>
      <c r="B119" s="657"/>
      <c r="C119" s="658"/>
      <c r="D119" s="658"/>
      <c r="E119" s="658"/>
      <c r="F119" s="658"/>
      <c r="G119" s="659"/>
      <c r="H119" s="506"/>
      <c r="I119" s="506"/>
      <c r="J119" s="506"/>
      <c r="K119" s="532"/>
      <c r="L119" s="507" t="s">
        <v>84</v>
      </c>
      <c r="M119" s="569"/>
      <c r="N119" s="570">
        <f>$E$112</f>
        <v>0</v>
      </c>
      <c r="O119" s="571"/>
      <c r="P119" s="572">
        <v>0</v>
      </c>
      <c r="Q119" s="166">
        <f>'5. IRR'!$C$9</f>
        <v>35500000</v>
      </c>
      <c r="R119" s="506"/>
      <c r="S119" s="506"/>
      <c r="T119" s="506"/>
      <c r="U119" s="506"/>
      <c r="V119" s="506"/>
      <c r="W119" s="506"/>
      <c r="X119" s="506"/>
      <c r="Y119" s="506"/>
    </row>
    <row r="120" spans="1:25">
      <c r="A120" s="506"/>
      <c r="B120" s="660"/>
      <c r="C120" s="661"/>
      <c r="D120" s="661"/>
      <c r="E120" s="661"/>
      <c r="F120" s="661"/>
      <c r="G120" s="662"/>
      <c r="H120" s="506"/>
      <c r="I120" s="506"/>
      <c r="J120" s="506"/>
      <c r="K120" s="532"/>
      <c r="L120" s="552" t="s">
        <v>85</v>
      </c>
      <c r="M120" s="573"/>
      <c r="N120" s="574">
        <f>$E$112</f>
        <v>0</v>
      </c>
      <c r="O120" s="535"/>
      <c r="P120" s="575">
        <v>0</v>
      </c>
      <c r="Q120" s="166">
        <f ca="1">'5. IRR'!$C$10</f>
        <v>268500000</v>
      </c>
      <c r="R120" s="506"/>
      <c r="S120" s="506"/>
      <c r="T120" s="506"/>
      <c r="U120" s="506"/>
      <c r="V120" s="506"/>
      <c r="W120" s="506"/>
      <c r="X120" s="506"/>
      <c r="Y120" s="506"/>
    </row>
    <row r="121" spans="1:25" ht="15">
      <c r="B121" s="506"/>
      <c r="C121" s="506"/>
      <c r="D121" s="506"/>
      <c r="E121" s="506"/>
      <c r="F121" s="506"/>
      <c r="G121" s="506"/>
      <c r="H121" s="506"/>
      <c r="I121" s="506"/>
      <c r="J121" s="506"/>
      <c r="K121" s="532"/>
      <c r="L121" s="167" t="s">
        <v>86</v>
      </c>
      <c r="M121" s="576"/>
      <c r="N121" s="506"/>
      <c r="O121" s="506"/>
      <c r="P121" s="506"/>
      <c r="Q121" s="159"/>
      <c r="R121" s="506"/>
      <c r="S121" s="506"/>
      <c r="T121" s="506"/>
      <c r="U121" s="506"/>
      <c r="V121" s="506"/>
      <c r="W121" s="506"/>
      <c r="X121" s="506"/>
      <c r="Y121" s="506"/>
    </row>
    <row r="122" spans="1:25" ht="23.25" hidden="1">
      <c r="B122" s="28" t="s">
        <v>87</v>
      </c>
      <c r="C122" s="29"/>
      <c r="D122" s="138"/>
      <c r="E122" s="138"/>
      <c r="F122" s="99"/>
      <c r="G122" s="139"/>
      <c r="H122" s="506"/>
      <c r="I122" s="506"/>
      <c r="J122" s="506"/>
      <c r="K122" s="532"/>
      <c r="L122" s="542" t="s">
        <v>88</v>
      </c>
      <c r="M122" s="543" t="s">
        <v>89</v>
      </c>
      <c r="N122" s="506"/>
      <c r="O122" s="506"/>
      <c r="P122" s="506"/>
      <c r="Q122" s="159"/>
      <c r="R122" s="506"/>
      <c r="S122" s="506"/>
      <c r="T122" s="506"/>
      <c r="U122" s="506"/>
      <c r="V122" s="506"/>
      <c r="W122" s="506"/>
      <c r="X122" s="506"/>
      <c r="Y122" s="506"/>
    </row>
    <row r="123" spans="1:25" hidden="1">
      <c r="B123" s="706" t="s">
        <v>90</v>
      </c>
      <c r="C123" s="577"/>
      <c r="D123" s="708" t="s">
        <v>91</v>
      </c>
      <c r="E123" s="708"/>
      <c r="F123" s="708"/>
      <c r="G123" s="709"/>
      <c r="H123" s="506"/>
      <c r="I123" s="506"/>
      <c r="J123" s="506"/>
      <c r="K123" s="532"/>
      <c r="L123" s="542"/>
      <c r="M123" s="543"/>
      <c r="N123" s="506"/>
      <c r="O123" s="506"/>
      <c r="P123" s="506"/>
      <c r="Q123" s="159"/>
      <c r="R123" s="506"/>
      <c r="S123" s="506"/>
      <c r="T123" s="506"/>
      <c r="U123" s="506"/>
      <c r="V123" s="506"/>
      <c r="W123" s="506"/>
      <c r="X123" s="506"/>
      <c r="Y123" s="506"/>
    </row>
    <row r="124" spans="1:25" hidden="1">
      <c r="B124" s="707"/>
      <c r="C124" s="579"/>
      <c r="D124" s="710"/>
      <c r="E124" s="710"/>
      <c r="F124" s="710"/>
      <c r="G124" s="711"/>
      <c r="H124" s="506"/>
      <c r="I124" s="506"/>
      <c r="J124" s="506"/>
      <c r="K124" s="532"/>
      <c r="L124" s="542"/>
      <c r="M124" s="543"/>
      <c r="N124" s="506"/>
      <c r="O124" s="506"/>
      <c r="P124" s="506"/>
      <c r="Q124" s="159"/>
      <c r="R124" s="506"/>
      <c r="S124" s="506"/>
      <c r="T124" s="506"/>
      <c r="U124" s="506"/>
      <c r="V124" s="506"/>
      <c r="W124" s="506"/>
      <c r="X124" s="506"/>
      <c r="Y124" s="506"/>
    </row>
    <row r="125" spans="1:25" hidden="1">
      <c r="B125" s="691" t="s">
        <v>92</v>
      </c>
      <c r="C125" s="692"/>
      <c r="D125" s="692"/>
      <c r="E125" s="692"/>
      <c r="F125" s="692"/>
      <c r="G125" s="693"/>
      <c r="H125" s="506"/>
      <c r="I125" s="506"/>
      <c r="J125" s="506"/>
      <c r="K125" s="532"/>
      <c r="L125" s="168"/>
      <c r="M125" s="169"/>
      <c r="N125" s="506"/>
      <c r="O125" s="506"/>
      <c r="P125" s="506"/>
      <c r="Q125" s="159"/>
      <c r="R125" s="506"/>
      <c r="S125" s="506"/>
      <c r="T125" s="506"/>
      <c r="U125" s="506"/>
      <c r="V125" s="506"/>
      <c r="W125" s="506"/>
      <c r="X125" s="506"/>
      <c r="Y125" s="506"/>
    </row>
    <row r="126" spans="1:25" hidden="1">
      <c r="B126" s="694"/>
      <c r="C126" s="695"/>
      <c r="D126" s="695"/>
      <c r="E126" s="695"/>
      <c r="F126" s="695"/>
      <c r="G126" s="696"/>
      <c r="H126" s="506"/>
      <c r="I126" s="506"/>
      <c r="J126" s="506"/>
      <c r="K126" s="532"/>
      <c r="L126" s="168"/>
      <c r="M126" s="169"/>
      <c r="N126" s="506"/>
      <c r="O126" s="506"/>
      <c r="P126" s="506"/>
      <c r="Q126" s="159"/>
      <c r="R126" s="506"/>
      <c r="S126" s="506"/>
      <c r="T126" s="506"/>
      <c r="U126" s="506"/>
      <c r="V126" s="506"/>
      <c r="W126" s="506"/>
      <c r="X126" s="506"/>
      <c r="Y126" s="506"/>
    </row>
    <row r="127" spans="1:25" hidden="1">
      <c r="B127" s="697"/>
      <c r="C127" s="698"/>
      <c r="D127" s="698"/>
      <c r="E127" s="698"/>
      <c r="F127" s="698"/>
      <c r="G127" s="699"/>
      <c r="H127" s="506"/>
      <c r="I127" s="506"/>
      <c r="J127" s="506"/>
      <c r="K127" s="532"/>
      <c r="L127" s="168"/>
      <c r="M127" s="169"/>
      <c r="N127" s="506"/>
      <c r="O127" s="506"/>
      <c r="P127" s="506"/>
      <c r="Q127" s="159"/>
      <c r="R127" s="506"/>
      <c r="S127" s="506"/>
      <c r="T127" s="506"/>
      <c r="U127" s="506"/>
      <c r="V127" s="506"/>
      <c r="W127" s="506"/>
      <c r="X127" s="506"/>
      <c r="Y127" s="506"/>
    </row>
    <row r="128" spans="1:25" hidden="1">
      <c r="B128" s="506"/>
      <c r="C128" s="506"/>
      <c r="D128" s="506"/>
      <c r="E128" s="506"/>
      <c r="F128" s="506"/>
      <c r="G128" s="506"/>
      <c r="H128" s="506"/>
      <c r="I128" s="506"/>
      <c r="J128" s="506"/>
      <c r="K128" s="532"/>
      <c r="L128" s="170"/>
      <c r="M128" s="171"/>
      <c r="N128" s="506"/>
      <c r="O128" s="506"/>
      <c r="P128" s="506"/>
      <c r="Q128" s="159"/>
      <c r="R128" s="506"/>
      <c r="S128" s="506"/>
      <c r="T128" s="506"/>
      <c r="U128" s="506"/>
      <c r="V128" s="506"/>
      <c r="W128" s="506"/>
      <c r="X128" s="506"/>
      <c r="Y128" s="506"/>
    </row>
    <row r="129" spans="1:25" hidden="1">
      <c r="B129" s="712" t="s">
        <v>90</v>
      </c>
      <c r="C129" s="578"/>
      <c r="D129" s="708" t="s">
        <v>91</v>
      </c>
      <c r="E129" s="708"/>
      <c r="F129" s="708"/>
      <c r="G129" s="709"/>
      <c r="H129" s="506"/>
      <c r="I129" s="506"/>
      <c r="J129" s="506"/>
      <c r="K129" s="532"/>
      <c r="L129" s="506"/>
      <c r="M129" s="506"/>
      <c r="N129" s="506"/>
      <c r="O129" s="506"/>
      <c r="P129" s="506"/>
      <c r="Q129" s="159"/>
      <c r="R129" s="506"/>
      <c r="S129" s="506"/>
      <c r="T129" s="506"/>
      <c r="U129" s="506"/>
      <c r="V129" s="506"/>
      <c r="W129" s="506"/>
      <c r="X129" s="506"/>
      <c r="Y129" s="506"/>
    </row>
    <row r="130" spans="1:25" hidden="1">
      <c r="B130" s="713"/>
      <c r="C130" s="580"/>
      <c r="D130" s="710"/>
      <c r="E130" s="710"/>
      <c r="F130" s="710"/>
      <c r="G130" s="711"/>
      <c r="H130" s="506"/>
      <c r="I130" s="506"/>
      <c r="J130" s="506"/>
      <c r="K130" s="532"/>
      <c r="L130" s="506"/>
      <c r="M130" s="506"/>
      <c r="N130" s="506"/>
      <c r="O130" s="506"/>
      <c r="P130" s="506"/>
      <c r="Q130" s="159"/>
      <c r="R130" s="506"/>
      <c r="S130" s="506"/>
      <c r="T130" s="506"/>
      <c r="U130" s="506"/>
      <c r="V130" s="506"/>
      <c r="W130" s="506"/>
      <c r="X130" s="506"/>
      <c r="Y130" s="506"/>
    </row>
    <row r="131" spans="1:25" hidden="1">
      <c r="B131" s="691" t="s">
        <v>92</v>
      </c>
      <c r="C131" s="692"/>
      <c r="D131" s="692"/>
      <c r="E131" s="692"/>
      <c r="F131" s="692"/>
      <c r="G131" s="693"/>
      <c r="H131" s="506"/>
      <c r="I131" s="506"/>
      <c r="J131" s="506"/>
      <c r="K131" s="172"/>
      <c r="L131" s="506"/>
      <c r="M131" s="506"/>
      <c r="N131" s="506"/>
      <c r="O131" s="506"/>
      <c r="P131" s="506"/>
      <c r="Q131" s="159"/>
      <c r="R131" s="506"/>
      <c r="S131" s="506"/>
      <c r="T131" s="506"/>
      <c r="U131" s="506"/>
      <c r="V131" s="506"/>
      <c r="W131" s="506"/>
      <c r="X131" s="506"/>
      <c r="Y131" s="506"/>
    </row>
    <row r="132" spans="1:25" hidden="1">
      <c r="B132" s="694"/>
      <c r="C132" s="695"/>
      <c r="D132" s="695"/>
      <c r="E132" s="695"/>
      <c r="F132" s="695"/>
      <c r="G132" s="696"/>
      <c r="H132" s="506"/>
      <c r="I132" s="506"/>
      <c r="J132" s="506"/>
      <c r="K132" s="172"/>
      <c r="L132" s="506"/>
      <c r="M132" s="506"/>
      <c r="N132" s="506"/>
      <c r="O132" s="506"/>
      <c r="P132" s="506"/>
      <c r="Q132" s="159"/>
      <c r="R132" s="506"/>
      <c r="S132" s="506"/>
      <c r="T132" s="506"/>
      <c r="U132" s="506"/>
      <c r="V132" s="506"/>
      <c r="W132" s="506"/>
      <c r="X132" s="506"/>
      <c r="Y132" s="506"/>
    </row>
    <row r="133" spans="1:25" hidden="1">
      <c r="B133" s="697"/>
      <c r="C133" s="698"/>
      <c r="D133" s="698"/>
      <c r="E133" s="698"/>
      <c r="F133" s="698"/>
      <c r="G133" s="699"/>
      <c r="H133" s="506"/>
      <c r="I133" s="506"/>
      <c r="J133" s="506"/>
      <c r="K133" s="532"/>
      <c r="L133" s="506"/>
      <c r="M133" s="506"/>
      <c r="N133" s="506"/>
      <c r="O133" s="506"/>
      <c r="P133" s="506"/>
      <c r="Q133" s="159"/>
      <c r="R133" s="506"/>
      <c r="S133" s="506"/>
      <c r="T133" s="506"/>
      <c r="U133" s="506"/>
      <c r="V133" s="506"/>
      <c r="W133" s="506"/>
      <c r="X133" s="506"/>
      <c r="Y133" s="506"/>
    </row>
    <row r="134" spans="1:25" ht="15">
      <c r="B134" s="173" t="s">
        <v>93</v>
      </c>
      <c r="C134" s="84"/>
      <c r="D134" s="174"/>
      <c r="E134" s="688" t="s">
        <v>94</v>
      </c>
      <c r="F134" s="689"/>
      <c r="G134" s="690"/>
      <c r="H134" s="506"/>
      <c r="I134" s="506"/>
      <c r="J134" s="506"/>
      <c r="K134" s="532"/>
      <c r="L134" s="506"/>
      <c r="M134" s="506"/>
      <c r="N134" s="506"/>
      <c r="O134" s="506"/>
      <c r="P134" s="506"/>
      <c r="Q134" s="159"/>
      <c r="R134" s="506"/>
      <c r="S134" s="506"/>
      <c r="T134" s="506"/>
      <c r="U134" s="506"/>
      <c r="V134" s="506"/>
      <c r="W134" s="506"/>
      <c r="X134" s="506"/>
      <c r="Y134" s="506"/>
    </row>
    <row r="135" spans="1:25" ht="15">
      <c r="B135" s="542" t="s">
        <v>95</v>
      </c>
      <c r="C135" s="506"/>
      <c r="D135" s="175"/>
      <c r="E135" s="677"/>
      <c r="F135" s="678"/>
      <c r="G135" s="679"/>
      <c r="H135" s="506"/>
      <c r="I135" s="506"/>
      <c r="J135" s="506"/>
      <c r="K135" s="532"/>
      <c r="L135" s="506"/>
      <c r="M135" s="506"/>
      <c r="N135" s="506"/>
      <c r="O135" s="506"/>
      <c r="P135" s="506"/>
      <c r="Q135" s="159"/>
      <c r="R135" s="506"/>
      <c r="S135" s="506"/>
      <c r="T135" s="506"/>
      <c r="U135" s="506"/>
      <c r="V135" s="506"/>
      <c r="W135" s="506"/>
      <c r="X135" s="506"/>
      <c r="Y135" s="506"/>
    </row>
    <row r="136" spans="1:25">
      <c r="B136" s="542" t="s">
        <v>96</v>
      </c>
      <c r="C136" s="506"/>
      <c r="D136" s="543"/>
      <c r="E136" s="677"/>
      <c r="F136" s="678"/>
      <c r="G136" s="679"/>
      <c r="H136" s="506"/>
      <c r="I136" s="506"/>
      <c r="J136" s="506"/>
      <c r="K136" s="532"/>
      <c r="L136" s="506"/>
      <c r="M136" s="506"/>
      <c r="N136" s="506"/>
      <c r="O136" s="506"/>
      <c r="P136" s="506"/>
      <c r="Q136" s="159"/>
      <c r="R136" s="506"/>
      <c r="S136" s="506"/>
      <c r="T136" s="506"/>
      <c r="U136" s="506"/>
      <c r="V136" s="506"/>
      <c r="W136" s="506"/>
      <c r="X136" s="506"/>
      <c r="Y136" s="506"/>
    </row>
    <row r="137" spans="1:25">
      <c r="A137" s="506"/>
      <c r="B137" s="542" t="s">
        <v>97</v>
      </c>
      <c r="C137" s="506"/>
      <c r="D137" s="543"/>
      <c r="E137" s="677"/>
      <c r="F137" s="678"/>
      <c r="G137" s="679"/>
      <c r="H137" s="506"/>
      <c r="I137" s="506"/>
      <c r="J137" s="506"/>
      <c r="K137" s="532"/>
      <c r="L137" s="506"/>
      <c r="M137" s="506"/>
      <c r="N137" s="506"/>
      <c r="O137" s="506"/>
      <c r="P137" s="506"/>
      <c r="Q137" s="159"/>
      <c r="R137" s="506"/>
      <c r="S137" s="506"/>
      <c r="T137" s="506"/>
      <c r="U137" s="506"/>
      <c r="V137" s="506"/>
      <c r="W137" s="506"/>
      <c r="X137" s="506"/>
      <c r="Y137" s="506"/>
    </row>
    <row r="138" spans="1:25" ht="15.75" customHeight="1">
      <c r="A138" s="506"/>
      <c r="B138" s="507" t="s">
        <v>98</v>
      </c>
      <c r="C138" s="508"/>
      <c r="D138" s="549"/>
      <c r="E138" s="680"/>
      <c r="F138" s="681"/>
      <c r="G138" s="682"/>
      <c r="H138" s="506"/>
      <c r="I138" s="506"/>
      <c r="J138" s="506"/>
      <c r="K138" s="532"/>
      <c r="L138" s="506"/>
      <c r="M138" s="506"/>
      <c r="N138" s="506"/>
      <c r="O138" s="506"/>
      <c r="P138" s="506"/>
      <c r="Q138" s="506"/>
      <c r="R138" s="506"/>
      <c r="S138" s="506"/>
      <c r="T138" s="506"/>
      <c r="U138" s="506"/>
      <c r="V138" s="506"/>
      <c r="W138" s="506"/>
      <c r="X138" s="506"/>
      <c r="Y138" s="506"/>
    </row>
    <row r="139" spans="1:25">
      <c r="A139" s="525"/>
      <c r="B139" s="513"/>
      <c r="C139" s="513"/>
      <c r="D139" s="513"/>
      <c r="E139" s="513"/>
      <c r="F139" s="513"/>
      <c r="G139" s="513"/>
      <c r="H139" s="513"/>
      <c r="I139" s="506"/>
      <c r="J139" s="506"/>
      <c r="K139" s="532"/>
      <c r="L139" s="506"/>
      <c r="M139" s="506"/>
      <c r="N139" s="506"/>
      <c r="O139" s="506"/>
      <c r="P139" s="506"/>
      <c r="Q139" s="506"/>
      <c r="R139" s="506"/>
      <c r="S139" s="506"/>
      <c r="T139" s="506"/>
      <c r="U139" s="506"/>
      <c r="V139" s="506"/>
      <c r="W139" s="506"/>
      <c r="X139" s="506"/>
      <c r="Y139" s="506"/>
    </row>
    <row r="140" spans="1:25">
      <c r="A140" s="525"/>
      <c r="B140" s="506"/>
      <c r="C140" s="506"/>
      <c r="D140" s="506"/>
      <c r="E140" s="506"/>
      <c r="F140" s="506"/>
      <c r="G140" s="506"/>
      <c r="H140" s="506"/>
      <c r="I140" s="506"/>
      <c r="J140" s="506"/>
      <c r="K140" s="532"/>
      <c r="L140" s="506"/>
      <c r="M140" s="506"/>
      <c r="N140" s="506"/>
      <c r="O140" s="506"/>
      <c r="P140" s="506"/>
      <c r="Q140" s="506"/>
      <c r="R140" s="506"/>
      <c r="S140" s="506"/>
      <c r="T140" s="506"/>
      <c r="U140" s="506"/>
      <c r="V140" s="506"/>
      <c r="W140" s="506"/>
      <c r="X140" s="506"/>
      <c r="Y140" s="506"/>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23622047244094491" right="0.23622047244094491" top="1.1811023622047245" bottom="0.74803149606299213" header="0.31496062992125984" footer="0.31496062992125984"/>
  <pageSetup paperSize="9" scale="70" fitToHeight="0" orientation="portrait" r:id="rId1"/>
  <headerFooter differentFirst="1">
    <firstHeader>&amp;L&amp;"Arial,Normal"&amp;8&amp;G
Objekt/projektnr.
XX/XX&amp;C&amp;"Arial,Normal"&amp;8Utfärdare:
Förnamn efternamn
Dokumentnr och namn
&amp;F
&amp;R&amp;"Arial,Normal"&amp;8&amp;D
Sida &amp;P (&amp;N)</firstHeader>
  </headerFooter>
  <rowBreaks count="1" manualBreakCount="1">
    <brk id="70" max="7" man="1"/>
  </rowBreaks>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sheetPr>
  <dimension ref="A1:CA80"/>
  <sheetViews>
    <sheetView zoomScaleNormal="100" workbookViewId="0"/>
  </sheetViews>
  <sheetFormatPr defaultColWidth="9.125" defaultRowHeight="14.25" outlineLevelCol="1"/>
  <cols>
    <col min="1" max="1" width="9.125" style="11"/>
    <col min="2" max="2" width="2.75" style="11" customWidth="1"/>
    <col min="3" max="3" width="19.75" style="11" customWidth="1"/>
    <col min="4" max="4" width="9.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21" width="15.625" style="11" customWidth="1"/>
    <col min="22" max="27" width="12.5" style="11" customWidth="1"/>
    <col min="28" max="28" width="9.125" style="11"/>
    <col min="29" max="29" width="31.5" style="11" customWidth="1" outlineLevel="1"/>
    <col min="30" max="30" width="15.75" style="11" customWidth="1" outlineLevel="1"/>
    <col min="31" max="31" width="2.75" style="11" customWidth="1" outlineLevel="1"/>
    <col min="32" max="32" width="31.5" style="11" customWidth="1" outlineLevel="1"/>
    <col min="33" max="33" width="15.75" style="11" customWidth="1" outlineLevel="1"/>
    <col min="34" max="34" width="2.75" style="11" customWidth="1" outlineLevel="1"/>
    <col min="35" max="35" width="31.5" style="11" customWidth="1" outlineLevel="1"/>
    <col min="36" max="36" width="15.75" style="11" customWidth="1" outlineLevel="1"/>
    <col min="37" max="37" width="2.75" style="11" customWidth="1" outlineLevel="1"/>
    <col min="38" max="38" width="31.5" style="11" customWidth="1" outlineLevel="1"/>
    <col min="39" max="39" width="15.75" style="11" customWidth="1" outlineLevel="1"/>
    <col min="40" max="40" width="2.75" style="11" customWidth="1" outlineLevel="1"/>
    <col min="41" max="41" width="31.5" style="11" customWidth="1" outlineLevel="1"/>
    <col min="42" max="42" width="15.75" style="11" customWidth="1" outlineLevel="1"/>
    <col min="43" max="44" width="9.125" style="11"/>
    <col min="45" max="78" width="15.75" style="11" hidden="1" customWidth="1" outlineLevel="1"/>
    <col min="79" max="79" width="9.125" style="11" collapsed="1"/>
    <col min="80" max="16384" width="9.125" style="11"/>
  </cols>
  <sheetData>
    <row r="1" spans="1:42" ht="30">
      <c r="A1" s="506"/>
      <c r="B1" s="215" t="s">
        <v>99</v>
      </c>
      <c r="C1" s="506"/>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c r="AD1"/>
      <c r="AE1"/>
      <c r="AF1"/>
      <c r="AG1"/>
      <c r="AH1"/>
      <c r="AI1"/>
      <c r="AJ1"/>
      <c r="AK1"/>
      <c r="AL1"/>
      <c r="AM1"/>
      <c r="AN1"/>
      <c r="AO1"/>
      <c r="AP1"/>
    </row>
    <row r="2" spans="1:42" ht="38.25" customHeight="1">
      <c r="A2" s="506"/>
      <c r="B2" s="506"/>
      <c r="C2" s="506"/>
      <c r="D2" s="506"/>
      <c r="E2" s="19"/>
      <c r="F2" s="506">
        <f ca="1">LEN(D15)</f>
        <v>5</v>
      </c>
      <c r="G2" s="506"/>
      <c r="H2" s="506"/>
      <c r="I2" s="506"/>
      <c r="J2" s="506"/>
      <c r="K2" s="506"/>
      <c r="L2" s="506"/>
      <c r="M2" s="498" t="s">
        <v>346</v>
      </c>
      <c r="N2" s="506"/>
      <c r="O2" s="506"/>
      <c r="P2" s="506"/>
      <c r="Q2" s="506"/>
      <c r="R2" s="506"/>
      <c r="S2" s="506"/>
      <c r="T2" s="506"/>
      <c r="U2" s="506"/>
      <c r="V2" s="506" t="b">
        <f ca="1">ISBLANK(D15)</f>
        <v>0</v>
      </c>
      <c r="W2" s="506"/>
      <c r="X2" s="506"/>
      <c r="Y2" s="506"/>
      <c r="Z2" s="506"/>
      <c r="AA2" s="506"/>
      <c r="AB2" s="506"/>
      <c r="AC2"/>
      <c r="AD2"/>
      <c r="AE2"/>
      <c r="AF2"/>
      <c r="AG2"/>
      <c r="AH2"/>
      <c r="AI2"/>
      <c r="AJ2"/>
      <c r="AK2"/>
      <c r="AL2"/>
      <c r="AM2"/>
      <c r="AN2"/>
      <c r="AO2"/>
      <c r="AP2"/>
    </row>
    <row r="3" spans="1:42" ht="23.25">
      <c r="A3" s="506"/>
      <c r="B3" s="506"/>
      <c r="C3" s="185" t="s">
        <v>100</v>
      </c>
      <c r="D3" s="185"/>
      <c r="E3" s="185"/>
      <c r="F3" s="506"/>
      <c r="G3" s="506"/>
      <c r="H3" s="506"/>
      <c r="I3" s="506"/>
      <c r="J3" s="506"/>
      <c r="K3" s="344" t="s">
        <v>101</v>
      </c>
      <c r="L3" s="345"/>
      <c r="M3" s="486">
        <v>2026</v>
      </c>
      <c r="N3" s="506"/>
      <c r="O3" s="506"/>
      <c r="P3" s="506"/>
      <c r="Q3" s="506"/>
      <c r="R3" s="506"/>
      <c r="S3" s="506"/>
      <c r="T3" s="506"/>
      <c r="U3" s="216"/>
      <c r="V3" s="506"/>
      <c r="W3" s="185"/>
      <c r="X3" s="216"/>
      <c r="Y3" s="216"/>
      <c r="Z3" s="185"/>
      <c r="AA3" s="185"/>
      <c r="AB3" s="185"/>
      <c r="AC3"/>
      <c r="AD3"/>
      <c r="AE3"/>
      <c r="AF3"/>
      <c r="AG3"/>
      <c r="AH3"/>
      <c r="AI3"/>
      <c r="AJ3"/>
      <c r="AK3"/>
      <c r="AL3"/>
      <c r="AM3"/>
      <c r="AN3"/>
      <c r="AO3"/>
      <c r="AP3"/>
    </row>
    <row r="4" spans="1:42" ht="15">
      <c r="A4" s="728">
        <v>1</v>
      </c>
      <c r="B4" s="506"/>
      <c r="C4" s="265" t="s">
        <v>102</v>
      </c>
      <c r="D4" s="266"/>
      <c r="E4" s="266"/>
      <c r="F4" s="381"/>
      <c r="G4" s="381"/>
      <c r="H4" s="381"/>
      <c r="I4" s="381"/>
      <c r="J4" s="382"/>
      <c r="K4" s="714" t="s">
        <v>103</v>
      </c>
      <c r="L4" s="715"/>
      <c r="M4" s="716"/>
      <c r="N4" s="714" t="s">
        <v>104</v>
      </c>
      <c r="O4" s="715"/>
      <c r="P4" s="715"/>
      <c r="Q4" s="715"/>
      <c r="R4" s="715"/>
      <c r="S4" s="714" t="s">
        <v>105</v>
      </c>
      <c r="T4" s="715"/>
      <c r="U4" s="716"/>
      <c r="V4" s="506"/>
      <c r="W4" s="506"/>
      <c r="X4" s="189"/>
      <c r="Y4" s="506"/>
      <c r="Z4" s="506"/>
      <c r="AA4" s="506"/>
      <c r="AB4" s="506"/>
      <c r="AC4" t="s">
        <v>356</v>
      </c>
      <c r="AD4"/>
      <c r="AE4"/>
      <c r="AF4"/>
      <c r="AG4"/>
      <c r="AH4"/>
      <c r="AI4"/>
      <c r="AJ4"/>
      <c r="AK4"/>
      <c r="AL4"/>
      <c r="AM4"/>
      <c r="AN4"/>
      <c r="AO4"/>
      <c r="AP4"/>
    </row>
    <row r="5" spans="1:42" ht="15">
      <c r="A5" s="728"/>
      <c r="B5" s="506"/>
      <c r="C5" s="265">
        <f>'1. Framskrivningsunderlag'!G2</f>
        <v>0</v>
      </c>
      <c r="D5" s="266"/>
      <c r="E5" s="727" t="s">
        <v>106</v>
      </c>
      <c r="F5" s="727"/>
      <c r="G5" s="383" t="s">
        <v>107</v>
      </c>
      <c r="H5" s="383" t="s">
        <v>108</v>
      </c>
      <c r="I5" s="383" t="s">
        <v>109</v>
      </c>
      <c r="J5" s="383" t="s">
        <v>110</v>
      </c>
      <c r="K5" s="265"/>
      <c r="L5" s="383"/>
      <c r="M5" s="384">
        <f>P5</f>
        <v>2026</v>
      </c>
      <c r="N5" s="265"/>
      <c r="O5" s="266"/>
      <c r="P5" s="385">
        <f>IF(M3&lt;&gt;"",M3,YEAR('3. Finansiering'!C1))</f>
        <v>2026</v>
      </c>
      <c r="Q5" s="385">
        <f>P5+10</f>
        <v>2036</v>
      </c>
      <c r="R5" s="385">
        <f>Q5+10</f>
        <v>2046</v>
      </c>
      <c r="S5" s="265" t="s">
        <v>111</v>
      </c>
      <c r="T5" s="383" t="s">
        <v>112</v>
      </c>
      <c r="U5" s="386" t="s">
        <v>113</v>
      </c>
      <c r="V5" s="506"/>
      <c r="W5" s="506"/>
      <c r="X5" s="506"/>
      <c r="Y5" s="506"/>
      <c r="Z5" s="506"/>
      <c r="AA5" s="506"/>
      <c r="AB5" s="506"/>
      <c r="AC5" t="s">
        <v>357</v>
      </c>
      <c r="AD5"/>
      <c r="AE5"/>
      <c r="AF5"/>
      <c r="AG5"/>
      <c r="AH5"/>
      <c r="AI5"/>
      <c r="AJ5"/>
      <c r="AK5"/>
      <c r="AL5"/>
      <c r="AM5"/>
      <c r="AN5"/>
      <c r="AO5"/>
      <c r="AP5"/>
    </row>
    <row r="6" spans="1:42" ht="15">
      <c r="A6" s="728"/>
      <c r="B6" s="506"/>
      <c r="C6" s="227" t="s">
        <v>6</v>
      </c>
      <c r="D6" s="228"/>
      <c r="E6" s="732" t="str">
        <f>'1. Framskrivningsunderlag'!$G$5</f>
        <v>Fyll i</v>
      </c>
      <c r="F6" s="732"/>
      <c r="G6" s="229" t="str">
        <f>'1. Framskrivningsunderlag'!$G$6</f>
        <v>Fyll i</v>
      </c>
      <c r="H6" s="333" t="str">
        <f>'1. Framskrivningsunderlag'!G10</f>
        <v>Fyll i</v>
      </c>
      <c r="I6" s="333" t="str">
        <f>'1. Framskrivningsunderlag'!$G$9</f>
        <v>Fyll i</v>
      </c>
      <c r="J6" s="333" t="str">
        <f>'1. Framskrivningsunderlag'!$G$8</f>
        <v>Fyll i</v>
      </c>
      <c r="K6" s="725" t="s">
        <v>60</v>
      </c>
      <c r="L6" s="726"/>
      <c r="M6" s="482">
        <v>6.5000000000000002E-2</v>
      </c>
      <c r="N6" s="583" t="s">
        <v>115</v>
      </c>
      <c r="O6" s="585"/>
      <c r="P6" s="370">
        <v>0</v>
      </c>
      <c r="Q6" s="372">
        <v>0</v>
      </c>
      <c r="R6" s="372">
        <v>0</v>
      </c>
      <c r="S6" s="582" t="s">
        <v>116</v>
      </c>
      <c r="T6" s="377">
        <v>0</v>
      </c>
      <c r="U6" s="378">
        <v>0</v>
      </c>
      <c r="V6" s="506"/>
      <c r="W6" s="506"/>
      <c r="X6" s="506"/>
      <c r="Y6" s="506"/>
      <c r="Z6" s="506"/>
      <c r="AA6" s="506"/>
      <c r="AB6" s="506"/>
      <c r="AC6" t="s">
        <v>358</v>
      </c>
      <c r="AD6"/>
      <c r="AE6"/>
      <c r="AF6"/>
      <c r="AG6"/>
      <c r="AH6"/>
      <c r="AI6"/>
      <c r="AJ6"/>
      <c r="AK6"/>
      <c r="AL6"/>
      <c r="AM6"/>
      <c r="AN6"/>
      <c r="AO6"/>
      <c r="AP6"/>
    </row>
    <row r="7" spans="1:42" ht="15">
      <c r="A7" s="728"/>
      <c r="B7" s="506"/>
      <c r="C7" s="227"/>
      <c r="D7" s="228"/>
      <c r="E7" s="229"/>
      <c r="F7" s="229"/>
      <c r="G7" s="229"/>
      <c r="H7" s="229"/>
      <c r="I7" s="229"/>
      <c r="J7" s="586"/>
      <c r="K7" s="725" t="s">
        <v>118</v>
      </c>
      <c r="L7" s="726"/>
      <c r="M7" s="482">
        <v>4.5499999999999999E-2</v>
      </c>
      <c r="N7" s="583" t="s">
        <v>119</v>
      </c>
      <c r="O7" s="585"/>
      <c r="P7" s="370">
        <v>0</v>
      </c>
      <c r="Q7" s="372">
        <v>0</v>
      </c>
      <c r="R7" s="372">
        <v>0</v>
      </c>
      <c r="S7" s="582" t="s">
        <v>120</v>
      </c>
      <c r="T7" s="377">
        <v>0.03</v>
      </c>
      <c r="U7" s="378">
        <v>0</v>
      </c>
      <c r="V7" s="506"/>
      <c r="W7" s="506"/>
      <c r="X7" s="506"/>
      <c r="Y7" s="506"/>
      <c r="Z7" s="506"/>
      <c r="AA7" s="506"/>
      <c r="AB7" s="506"/>
      <c r="AC7" t="s">
        <v>359</v>
      </c>
      <c r="AD7"/>
      <c r="AE7"/>
      <c r="AF7"/>
      <c r="AG7"/>
      <c r="AH7"/>
      <c r="AI7"/>
      <c r="AJ7"/>
      <c r="AK7"/>
      <c r="AL7"/>
      <c r="AM7"/>
      <c r="AN7"/>
      <c r="AO7"/>
      <c r="AP7"/>
    </row>
    <row r="8" spans="1:42" ht="15">
      <c r="A8" s="728"/>
      <c r="B8" s="506"/>
      <c r="C8" s="227" t="s">
        <v>122</v>
      </c>
      <c r="D8" s="228"/>
      <c r="E8" s="734" t="str">
        <f>'1. Framskrivningsunderlag'!$G$11</f>
        <v>Fyll i</v>
      </c>
      <c r="F8" s="734"/>
      <c r="G8" s="229"/>
      <c r="H8" s="229"/>
      <c r="I8" s="229"/>
      <c r="J8" s="586"/>
      <c r="K8" s="725" t="s">
        <v>123</v>
      </c>
      <c r="L8" s="726"/>
      <c r="M8" s="483">
        <f>$M$11+$M$9</f>
        <v>8.5000000000000006E-2</v>
      </c>
      <c r="N8" s="583" t="s">
        <v>124</v>
      </c>
      <c r="O8" s="585"/>
      <c r="P8" s="371">
        <v>0</v>
      </c>
      <c r="Q8" s="587"/>
      <c r="R8" s="587"/>
      <c r="S8" s="582" t="s">
        <v>125</v>
      </c>
      <c r="T8" s="377">
        <v>0.03</v>
      </c>
      <c r="U8" s="378">
        <v>0</v>
      </c>
      <c r="V8" s="506"/>
      <c r="W8" s="506"/>
      <c r="X8" s="506"/>
      <c r="Y8" s="506"/>
      <c r="Z8" s="506"/>
      <c r="AA8" s="506"/>
      <c r="AB8" s="506"/>
      <c r="AC8" t="s">
        <v>360</v>
      </c>
      <c r="AD8"/>
      <c r="AE8"/>
      <c r="AF8"/>
      <c r="AG8"/>
      <c r="AH8"/>
      <c r="AI8"/>
      <c r="AJ8"/>
      <c r="AK8"/>
      <c r="AL8"/>
      <c r="AM8"/>
      <c r="AN8"/>
      <c r="AO8"/>
      <c r="AP8"/>
    </row>
    <row r="9" spans="1:42">
      <c r="A9" s="728"/>
      <c r="B9" s="506"/>
      <c r="C9" s="582"/>
      <c r="D9" s="588"/>
      <c r="E9" s="588"/>
      <c r="F9" s="588"/>
      <c r="G9" s="229"/>
      <c r="H9" s="229"/>
      <c r="I9" s="229"/>
      <c r="J9" s="586"/>
      <c r="K9" s="725" t="s">
        <v>63</v>
      </c>
      <c r="L9" s="726"/>
      <c r="M9" s="483">
        <v>0.02</v>
      </c>
      <c r="N9" s="583" t="s">
        <v>83</v>
      </c>
      <c r="O9" s="585"/>
      <c r="P9" s="370">
        <v>0</v>
      </c>
      <c r="Q9" s="589"/>
      <c r="R9" s="587"/>
      <c r="S9" s="590" t="s">
        <v>127</v>
      </c>
      <c r="T9" s="379">
        <v>0</v>
      </c>
      <c r="U9" s="380">
        <v>0</v>
      </c>
      <c r="V9" s="506"/>
      <c r="W9" s="506"/>
      <c r="X9" s="506"/>
      <c r="Y9" s="506"/>
      <c r="Z9" s="506"/>
      <c r="AA9" s="506"/>
      <c r="AB9" s="506"/>
      <c r="AC9" t="s">
        <v>361</v>
      </c>
      <c r="AD9"/>
      <c r="AE9"/>
      <c r="AF9"/>
      <c r="AG9"/>
      <c r="AH9"/>
      <c r="AI9"/>
      <c r="AJ9"/>
      <c r="AK9"/>
      <c r="AL9"/>
      <c r="AM9"/>
      <c r="AN9"/>
      <c r="AO9"/>
      <c r="AP9"/>
    </row>
    <row r="10" spans="1:42" ht="15">
      <c r="A10" s="728"/>
      <c r="B10" s="506"/>
      <c r="C10" s="231" t="s">
        <v>20</v>
      </c>
      <c r="D10" s="229"/>
      <c r="E10" s="229"/>
      <c r="F10" s="232" t="str">
        <f>'1. Framskrivningsunderlag'!$G$12</f>
        <v>Fyll i</v>
      </c>
      <c r="G10" s="233"/>
      <c r="H10" s="233"/>
      <c r="I10" s="233"/>
      <c r="J10" s="234"/>
      <c r="K10" s="725" t="s">
        <v>348</v>
      </c>
      <c r="L10" s="744"/>
      <c r="M10" s="483">
        <f>$H$79</f>
        <v>0</v>
      </c>
      <c r="N10" s="583" t="s">
        <v>129</v>
      </c>
      <c r="O10" s="585"/>
      <c r="P10" s="370">
        <v>0</v>
      </c>
      <c r="Q10" s="260" t="s">
        <v>130</v>
      </c>
      <c r="R10" s="261" t="s">
        <v>131</v>
      </c>
      <c r="S10" s="262" t="s">
        <v>56</v>
      </c>
      <c r="T10" s="263" t="str">
        <f>IFERROR(SUMPRODUCT(T6:T9,U6:U9)/U10,"")</f>
        <v/>
      </c>
      <c r="U10" s="264">
        <f>SUM(U6:U9)</f>
        <v>0</v>
      </c>
      <c r="V10" s="506"/>
      <c r="W10" s="506"/>
      <c r="X10" s="506"/>
      <c r="Y10" s="506"/>
      <c r="Z10" s="506"/>
      <c r="AA10" s="506"/>
      <c r="AB10" s="506"/>
      <c r="AC10"/>
      <c r="AD10"/>
      <c r="AE10"/>
      <c r="AF10"/>
      <c r="AG10"/>
      <c r="AH10"/>
      <c r="AI10"/>
      <c r="AJ10"/>
      <c r="AK10"/>
      <c r="AL10"/>
      <c r="AM10"/>
      <c r="AN10"/>
      <c r="AO10"/>
      <c r="AP10"/>
    </row>
    <row r="11" spans="1:42" ht="15">
      <c r="A11" s="728"/>
      <c r="B11" s="506"/>
      <c r="C11" s="235" t="s">
        <v>21</v>
      </c>
      <c r="D11" s="236"/>
      <c r="E11" s="236"/>
      <c r="F11" s="237" t="str">
        <f>'1. Framskrivningsunderlag'!$G$13</f>
        <v>Fyll i</v>
      </c>
      <c r="G11" s="236"/>
      <c r="H11" s="236"/>
      <c r="I11" s="236"/>
      <c r="J11" s="238"/>
      <c r="K11" s="725" t="s">
        <v>349</v>
      </c>
      <c r="L11" s="744"/>
      <c r="M11" s="483">
        <f>$M$6+$M$10</f>
        <v>6.5000000000000002E-2</v>
      </c>
      <c r="N11" s="583" t="s">
        <v>133</v>
      </c>
      <c r="O11" s="585"/>
      <c r="P11" s="370">
        <v>0</v>
      </c>
      <c r="Q11" s="373"/>
      <c r="R11" s="374"/>
      <c r="S11" s="227"/>
      <c r="T11" s="256"/>
      <c r="U11" s="257"/>
      <c r="V11" s="506"/>
      <c r="W11" s="506"/>
      <c r="X11" s="506"/>
      <c r="Y11" s="506"/>
      <c r="Z11" s="506"/>
      <c r="AA11" s="506"/>
      <c r="AB11" s="506"/>
      <c r="AC11"/>
      <c r="AD11"/>
      <c r="AE11"/>
      <c r="AF11"/>
      <c r="AG11"/>
      <c r="AH11"/>
      <c r="AI11"/>
      <c r="AJ11"/>
      <c r="AK11"/>
      <c r="AL11"/>
      <c r="AM11"/>
      <c r="AN11"/>
      <c r="AO11"/>
      <c r="AP11"/>
    </row>
    <row r="12" spans="1:42" ht="15">
      <c r="A12" s="728"/>
      <c r="B12" s="506"/>
      <c r="C12" s="239" t="s">
        <v>134</v>
      </c>
      <c r="D12" s="738" t="s">
        <v>135</v>
      </c>
      <c r="E12" s="738"/>
      <c r="F12" s="240" t="s">
        <v>78</v>
      </c>
      <c r="G12" s="241"/>
      <c r="H12" s="241"/>
      <c r="I12" s="241" t="s">
        <v>136</v>
      </c>
      <c r="J12" s="242"/>
      <c r="K12" s="582"/>
      <c r="L12" s="591"/>
      <c r="M12" s="483"/>
      <c r="N12" s="583" t="s">
        <v>137</v>
      </c>
      <c r="O12" s="585"/>
      <c r="P12" s="370">
        <v>0</v>
      </c>
      <c r="Q12" s="373"/>
      <c r="R12" s="374"/>
      <c r="S12" s="227"/>
      <c r="T12" s="256"/>
      <c r="U12" s="257"/>
      <c r="V12" s="506"/>
      <c r="W12" s="506"/>
      <c r="X12" s="506"/>
      <c r="Y12" s="506"/>
      <c r="Z12" s="506"/>
      <c r="AA12" s="506"/>
      <c r="AB12" s="506"/>
      <c r="AC12" t="s">
        <v>411</v>
      </c>
      <c r="AD12">
        <v>1</v>
      </c>
      <c r="AE12"/>
      <c r="AF12"/>
      <c r="AG12"/>
      <c r="AH12"/>
      <c r="AI12"/>
      <c r="AJ12"/>
      <c r="AK12"/>
      <c r="AL12"/>
      <c r="AM12"/>
      <c r="AN12"/>
      <c r="AO12"/>
      <c r="AP12"/>
    </row>
    <row r="13" spans="1:42" ht="15">
      <c r="A13" s="728"/>
      <c r="B13" s="506"/>
      <c r="C13" s="251" t="str">
        <f>CONCATENATE("NPV ",Q17)</f>
        <v>NPV 20</v>
      </c>
      <c r="D13" s="717">
        <f ca="1">IF(G13&lt;&gt;"","",'4. NPV'!$E$82/1000)</f>
        <v>10300.000000000029</v>
      </c>
      <c r="E13" s="717"/>
      <c r="F13" s="243" t="s">
        <v>139</v>
      </c>
      <c r="G13" s="244" t="str">
        <f>IF(COUNTA(M3,M6,M7,M9,Q15,Q17,C23:C27,E23:E27,F23:F27,G23:G27,I23:I27,J23:J27,M23:M27,N23:N27,O23:O27,Q23:Q27,S23:S27,R23:R27)&lt;17,"Fyll i alla tvingande fält",IF(SUMPRODUCT(--($H$23:$H$27&gt;0),--($E$23:$E$27&lt;&gt;"Bef"),--($T$23:$T$27=0))&gt;0,"Investering saknas för objekt med area (sektion 4)",""))</f>
        <v/>
      </c>
      <c r="H13" s="245"/>
      <c r="I13" s="501" t="str">
        <f>IF(SUM(G39:H39)=0,"Inga driftkostnader angivna","")</f>
        <v/>
      </c>
      <c r="J13" s="246"/>
      <c r="K13" s="582"/>
      <c r="L13" s="591"/>
      <c r="M13" s="483"/>
      <c r="N13" s="583"/>
      <c r="O13" s="585"/>
      <c r="P13" s="255"/>
      <c r="Q13" s="584"/>
      <c r="R13" s="587"/>
      <c r="S13" s="227"/>
      <c r="T13" s="256"/>
      <c r="U13" s="257"/>
      <c r="V13" s="506"/>
      <c r="W13" s="506"/>
      <c r="X13" s="506"/>
      <c r="Y13" s="506"/>
      <c r="Z13" s="506"/>
      <c r="AA13" s="506"/>
      <c r="AB13" s="506"/>
      <c r="AC13" t="s">
        <v>412</v>
      </c>
      <c r="AD13" t="s">
        <v>402</v>
      </c>
      <c r="AE13" t="s">
        <v>413</v>
      </c>
      <c r="AF13" t="s">
        <v>414</v>
      </c>
      <c r="AG13" t="s">
        <v>415</v>
      </c>
      <c r="AH13" t="s">
        <v>416</v>
      </c>
      <c r="AI13" t="s">
        <v>417</v>
      </c>
      <c r="AJ13"/>
      <c r="AK13"/>
      <c r="AL13"/>
      <c r="AM13"/>
      <c r="AN13"/>
      <c r="AO13"/>
      <c r="AP13"/>
    </row>
    <row r="14" spans="1:42" ht="15" customHeight="1">
      <c r="A14" s="728"/>
      <c r="B14" s="506"/>
      <c r="C14" s="251" t="s">
        <v>141</v>
      </c>
      <c r="D14" s="735">
        <f ca="1">IF('5. IRR'!D40="N/A"," ",'5. IRR'!D40)</f>
        <v>8.0257395749901095E-2</v>
      </c>
      <c r="E14" s="735"/>
      <c r="F14" s="504">
        <v>6.3399999999999998E-2</v>
      </c>
      <c r="G14" s="724" t="str">
        <f>IF('5. IRR'!C11&lt;&gt;"","Eget restvärde ifyllt i 5. IRR. ","")&amp;IF(M10&lt;&gt;0,"Yield "&amp;IF(M10&gt;0,"+","")&amp;ROUND(M10*100,2)&amp;" pp → "&amp;ROUND(M11*100,2)&amp;" %","")</f>
        <v/>
      </c>
      <c r="H14" s="724"/>
      <c r="I14" s="501" t="str">
        <f>IF(SUM(G39:H39)&gt;0,IF(AND(H39=0,G28&lt;&gt;0),"Driftkostnad ev. angiven på fel yta",""),"")</f>
        <v/>
      </c>
      <c r="J14" s="246"/>
      <c r="K14" s="247" t="s">
        <v>142</v>
      </c>
      <c r="L14" s="591"/>
      <c r="M14" s="483">
        <f>IFERROR(P28,"")</f>
        <v>0</v>
      </c>
      <c r="N14" s="583" t="s">
        <v>143</v>
      </c>
      <c r="O14" s="585"/>
      <c r="P14" s="258">
        <v>80</v>
      </c>
      <c r="Q14" s="259" t="s">
        <v>144</v>
      </c>
      <c r="R14" s="587"/>
      <c r="S14" s="582"/>
      <c r="T14" s="588"/>
      <c r="U14" s="586"/>
      <c r="V14" s="506"/>
      <c r="W14" s="506"/>
      <c r="X14" s="506"/>
      <c r="Y14" s="506"/>
      <c r="Z14" s="506"/>
      <c r="AA14" s="506"/>
      <c r="AB14" s="506"/>
      <c r="AC14"/>
      <c r="AD14" s="2">
        <f ca="1">'4. NPV'!$E$82</f>
        <v>10300000.00000003</v>
      </c>
      <c r="AE14" s="2">
        <f ca="1">'5. IRR'!$D$37+NPV('2. Kalkyldata'!$F$14,'5. IRR'!$E$37:$BA$37)</f>
        <v>31809779.926086187</v>
      </c>
      <c r="AF14" s="2">
        <f ca="1">'5. IRR'!$F$55</f>
        <v>32760000.00000003</v>
      </c>
      <c r="AG14" s="2">
        <f ca="1">'5. IRR'!$F$57</f>
        <v>-4529999.9999999702</v>
      </c>
      <c r="AH14" s="2">
        <f ca="1">'5. IRR'!$D$59+NPV('2. Kalkyldata'!$F$14,'5. IRR'!$E$59:$BA$59)</f>
        <v>46992344.50114581</v>
      </c>
      <c r="AI14" s="2">
        <f ca="1">'5. IRR'!$D$61+NPV('2. Kalkyldata'!$F$14,'5. IRR'!$E$61:$BA$61)</f>
        <v>20675899.237709105</v>
      </c>
      <c r="AJ14"/>
      <c r="AK14"/>
      <c r="AL14"/>
      <c r="AM14"/>
      <c r="AN14"/>
      <c r="AO14"/>
      <c r="AP14"/>
    </row>
    <row r="15" spans="1:42" ht="15" customHeight="1">
      <c r="A15" s="728"/>
      <c r="B15" s="506"/>
      <c r="C15" s="251" t="s">
        <v>146</v>
      </c>
      <c r="D15" s="736">
        <f ca="1">IF(G13&lt;&gt;"","",('4. NPV'!E52-('2. Kalkyldata'!$P$9+'2. Kalkyldata'!$X$28-'2. Kalkyldata'!$P$10))/1000)</f>
        <v>10300.000000000029</v>
      </c>
      <c r="E15" s="736"/>
      <c r="F15" s="248" t="s">
        <v>139</v>
      </c>
      <c r="G15" s="249"/>
      <c r="H15" s="245"/>
      <c r="I15" s="501" t="str">
        <f>IF(OR(AND(M23&lt;&gt;0,M23&lt;$M$3),AND(M24&lt;&gt;0,M24&lt;$M$3),AND(M25&lt;&gt;0,M25&lt;$M$3),AND(M26&lt;&gt;0,M26&lt;$M$3),AND(M27&lt;&gt;0,M27&lt;$M$3)),"Glapp, Avtalstid / Kalkylstart","")</f>
        <v/>
      </c>
      <c r="J15" s="246"/>
      <c r="K15" s="582"/>
      <c r="L15" s="591"/>
      <c r="M15" s="592"/>
      <c r="N15" s="583" t="s">
        <v>147</v>
      </c>
      <c r="O15" s="585"/>
      <c r="P15" s="252">
        <f>IF(Q15&lt;&gt;"",Q15,'2. Kalkyldata'!T10)</f>
        <v>0.03</v>
      </c>
      <c r="Q15" s="375">
        <v>0.03</v>
      </c>
      <c r="R15" s="587"/>
      <c r="S15" s="729" t="s">
        <v>148</v>
      </c>
      <c r="T15" s="730"/>
      <c r="U15" s="731"/>
      <c r="V15" s="506"/>
      <c r="W15" s="506"/>
      <c r="X15" s="506"/>
      <c r="Y15" s="506"/>
      <c r="Z15" s="506"/>
      <c r="AA15" s="506"/>
      <c r="AB15" s="506"/>
      <c r="AC15">
        <v>0</v>
      </c>
      <c r="AD15">
        <f t="dataTable" ref="AD15:AI16" dt2D="0" dtr="0" r1="AD12" ca="1"/>
        <v>-288810000</v>
      </c>
      <c r="AE15">
        <v>-251553071.62883091</v>
      </c>
      <c r="AF15">
        <v>-293470000</v>
      </c>
      <c r="AG15">
        <v>-285730000</v>
      </c>
      <c r="AH15">
        <v>-251553071.62883091</v>
      </c>
      <c r="AI15">
        <v>-251553071.62883091</v>
      </c>
      <c r="AJ15"/>
      <c r="AK15"/>
      <c r="AL15"/>
      <c r="AM15"/>
      <c r="AN15"/>
      <c r="AO15"/>
      <c r="AP15"/>
    </row>
    <row r="16" spans="1:42" ht="15">
      <c r="A16" s="728"/>
      <c r="B16" s="506"/>
      <c r="C16" s="251" t="s">
        <v>150</v>
      </c>
      <c r="D16" s="737">
        <f ca="1">'4. NPV'!$C$62</f>
        <v>15</v>
      </c>
      <c r="E16" s="737"/>
      <c r="F16" s="248"/>
      <c r="G16" s="248"/>
      <c r="H16" s="245"/>
      <c r="I16" s="501" t="str">
        <f>IF(OR(AND(R23&lt;&gt;0,R23&lt;M23),AND(R24&lt;&gt;0,R24&lt;M24),AND(R25&lt;&gt;0,R25&lt;M25),AND(R26&lt;&gt;0,R26&lt;M26),AND(R27&lt;&gt;0,R27&lt;M27)),"Glapp, Prod.avslut / Avtalstid","")</f>
        <v/>
      </c>
      <c r="J16" s="246"/>
      <c r="K16" s="582" t="s">
        <v>151</v>
      </c>
      <c r="L16" s="591"/>
      <c r="M16" s="483">
        <v>0.20599999999999999</v>
      </c>
      <c r="N16" s="583" t="s">
        <v>59</v>
      </c>
      <c r="O16" s="585"/>
      <c r="P16" s="253">
        <f>(FLOOR(100%/P15,1))</f>
        <v>33</v>
      </c>
      <c r="Q16" s="593"/>
      <c r="R16" s="594"/>
      <c r="S16" s="387" t="s">
        <v>152</v>
      </c>
      <c r="T16" s="388" t="s">
        <v>27</v>
      </c>
      <c r="U16" s="388" t="s">
        <v>153</v>
      </c>
      <c r="V16" s="506"/>
      <c r="W16" s="506"/>
      <c r="X16" s="506"/>
      <c r="Y16" s="506"/>
      <c r="Z16" s="506"/>
      <c r="AA16" s="506"/>
      <c r="AB16" s="506"/>
      <c r="AC16">
        <v>1</v>
      </c>
      <c r="AD16">
        <v>10300000.00000003</v>
      </c>
      <c r="AE16">
        <v>31809779.926086187</v>
      </c>
      <c r="AF16">
        <v>32760000.00000003</v>
      </c>
      <c r="AG16">
        <v>-4529999.9999999702</v>
      </c>
      <c r="AH16">
        <v>46992344.50114581</v>
      </c>
      <c r="AI16">
        <v>20675899.237709105</v>
      </c>
      <c r="AJ16"/>
      <c r="AK16"/>
      <c r="AL16"/>
      <c r="AM16"/>
      <c r="AN16"/>
      <c r="AO16"/>
      <c r="AP16"/>
    </row>
    <row r="17" spans="1:79">
      <c r="A17" s="728"/>
      <c r="B17" s="506"/>
      <c r="C17" s="251" t="s">
        <v>421</v>
      </c>
      <c r="D17" s="762">
        <f>IF(G13&lt;&gt;"","",CEILING($AD$19*$AD$20,1))</f>
        <v>2559</v>
      </c>
      <c r="E17" s="737"/>
      <c r="F17" s="248" t="str">
        <f>IF(G13&lt;&gt;"","",LEFT($AE$19,3))</f>
        <v>NPV</v>
      </c>
      <c r="G17" s="724" t="str">
        <f>IF(G13&lt;&gt;"","",IF(D17&lt;=$AD$20,"Angiven hyra räcker","Höj hyran "&amp;ROUND(D17-$AD$20,0)&amp;" kr/kvm"))</f>
        <v>Angiven hyra räcker</v>
      </c>
      <c r="H17" s="724"/>
      <c r="I17" s="502" t="str">
        <f>IF(OR(AND(M23&lt;&gt;0,M23&lt;R23),AND(M24&lt;&gt;0,M24&lt;R24),AND(M25&lt;&gt;0,M25&lt;R25),AND(M26&lt;&gt;0,M26&lt;R26),AND(M27&lt;&gt;0,M27&lt;R27)),"Glapp, Avtalstid / Prod.avslut","")</f>
        <v/>
      </c>
      <c r="J17" s="250"/>
      <c r="K17" s="590"/>
      <c r="L17" s="595"/>
      <c r="M17" s="596"/>
      <c r="N17" s="597" t="s">
        <v>58</v>
      </c>
      <c r="O17" s="598"/>
      <c r="P17" s="254">
        <f>IF(Q17&lt;&gt;0,Q17,(FLOOR(100%/P15,1)))</f>
        <v>20</v>
      </c>
      <c r="Q17" s="376">
        <v>20</v>
      </c>
      <c r="R17" s="599"/>
      <c r="S17" s="600" t="str">
        <f>J6</f>
        <v>Fyll i</v>
      </c>
      <c r="T17" s="389"/>
      <c r="U17" s="390">
        <f>IFERROR($T$17*$J$6,0)</f>
        <v>0</v>
      </c>
      <c r="V17" s="506"/>
      <c r="W17" s="506"/>
      <c r="X17" s="506"/>
      <c r="Y17" s="506"/>
      <c r="Z17" s="506"/>
      <c r="AA17" s="506"/>
      <c r="AB17" s="506"/>
      <c r="AC17"/>
      <c r="AD17"/>
      <c r="AE17"/>
      <c r="AF17"/>
      <c r="AG17"/>
      <c r="AH17"/>
      <c r="AI17"/>
      <c r="AJ17"/>
      <c r="AK17"/>
      <c r="AL17"/>
      <c r="AM17"/>
      <c r="AN17"/>
      <c r="AO17"/>
      <c r="AP17"/>
      <c r="AQ17" s="506"/>
      <c r="AR17" s="506"/>
      <c r="AS17" s="506"/>
      <c r="AT17" s="506"/>
      <c r="AU17" s="506"/>
      <c r="AV17" s="506"/>
      <c r="AW17" s="506"/>
      <c r="AX17" s="506"/>
      <c r="AY17" s="506"/>
      <c r="AZ17" s="506"/>
      <c r="BA17" s="506"/>
      <c r="BB17" s="506"/>
      <c r="BC17" s="506"/>
      <c r="BD17" s="506"/>
      <c r="BE17" s="506"/>
      <c r="BF17" s="506"/>
      <c r="BG17" s="506"/>
      <c r="BH17" s="506"/>
      <c r="BI17" s="506"/>
      <c r="BJ17" s="506"/>
      <c r="BK17" s="506"/>
      <c r="BL17" s="506"/>
      <c r="BM17" s="506"/>
      <c r="BN17" s="506"/>
      <c r="BO17" s="506"/>
      <c r="BP17" s="506"/>
      <c r="BQ17" s="506"/>
      <c r="BR17" s="506"/>
      <c r="BS17" s="506"/>
      <c r="BT17" s="506"/>
      <c r="BU17" s="506"/>
      <c r="BV17" s="506"/>
      <c r="BW17" s="506"/>
      <c r="BX17" s="506"/>
      <c r="BY17" s="506"/>
      <c r="BZ17" s="506"/>
      <c r="CA17" s="506"/>
    </row>
    <row r="18" spans="1:79" ht="30" customHeight="1">
      <c r="A18" s="506"/>
      <c r="B18" s="506"/>
      <c r="C18" s="506"/>
      <c r="D18" s="506"/>
      <c r="E18" s="506"/>
      <c r="F18" s="506"/>
      <c r="G18" s="506"/>
      <c r="H18" s="506"/>
      <c r="I18" s="756" t="str">
        <f>IF(COUNTIF(E23:E27,"Bef")+(P9&gt;0)&gt;0,"Bef-objekt och befintligt bokfört värde ingår bara i krav 3 (hela fastigheten). Krav 1–2 räknar tillkommande.","")</f>
        <v/>
      </c>
      <c r="J18" s="754"/>
      <c r="K18" s="754"/>
      <c r="L18" s="754"/>
      <c r="M18" s="755"/>
      <c r="N18" s="597" t="s">
        <v>378</v>
      </c>
      <c r="O18" s="506"/>
      <c r="P18" s="254">
        <f>IF(Q18&lt;&gt;0,Q18,P16)</f>
        <v>33</v>
      </c>
      <c r="Q18" s="376"/>
      <c r="R18" s="506"/>
      <c r="S18" s="506"/>
      <c r="T18" s="506"/>
      <c r="U18" s="601"/>
      <c r="V18" s="506"/>
      <c r="W18" s="506"/>
      <c r="X18" s="506"/>
      <c r="Y18" s="506"/>
      <c r="Z18" s="506"/>
      <c r="AA18" s="506"/>
      <c r="AB18" s="506"/>
      <c r="AC18" t="s">
        <v>418</v>
      </c>
      <c r="AD18">
        <f>IFERROR(-AD15/(AD16-AD15),1)</f>
        <v>0.96556450804052019</v>
      </c>
      <c r="AE18">
        <f>IFERROR(-AE15/(AE16-AE15),1)</f>
        <v>0.88774188376657659</v>
      </c>
      <c r="AF18">
        <f>IFERROR(-AF15/(AF16-AF15),1)</f>
        <v>0.89958005088434545</v>
      </c>
      <c r="AG18">
        <f>IFERROR(-AG15/(AG16-AG15),1)</f>
        <v>1.0161095305832148</v>
      </c>
      <c r="AH18">
        <f>IFERROR(-AH15/(AH16-AH15),1)</f>
        <v>0.84259565894427624</v>
      </c>
      <c r="AI18">
        <f>IFERROR(-AI15/(AI16-AI15),1)</f>
        <v>0.92404959996764835</v>
      </c>
      <c r="AJ18"/>
      <c r="AK18"/>
      <c r="AL18"/>
      <c r="AM18"/>
      <c r="AN18"/>
      <c r="AO18"/>
      <c r="AP18"/>
      <c r="AQ18" s="506"/>
      <c r="AR18" s="506"/>
      <c r="AS18" s="506"/>
      <c r="AT18" s="506"/>
      <c r="AU18" s="506"/>
      <c r="AV18" s="506"/>
      <c r="AW18" s="506"/>
      <c r="AX18" s="506"/>
      <c r="AY18" s="506"/>
      <c r="AZ18" s="506"/>
      <c r="BA18" s="506"/>
      <c r="BB18" s="506"/>
      <c r="BC18" s="506"/>
      <c r="BD18" s="506"/>
      <c r="BE18" s="506"/>
      <c r="BF18" s="506"/>
      <c r="BG18" s="506"/>
      <c r="BH18" s="506"/>
      <c r="BI18" s="506"/>
      <c r="BJ18" s="506"/>
      <c r="BK18" s="506"/>
      <c r="BL18" s="506"/>
      <c r="BM18" s="506"/>
      <c r="BN18" s="506"/>
      <c r="BO18" s="506"/>
      <c r="BP18" s="506"/>
      <c r="BQ18" s="506"/>
      <c r="BR18" s="506"/>
      <c r="BS18" s="506"/>
      <c r="BT18" s="506"/>
      <c r="BU18" s="506"/>
      <c r="BV18" s="506"/>
      <c r="BW18" s="506"/>
      <c r="BX18" s="506"/>
      <c r="BY18" s="506"/>
      <c r="BZ18" s="506"/>
      <c r="CA18" s="506"/>
    </row>
    <row r="19" spans="1:79" ht="23.25">
      <c r="A19" s="506"/>
      <c r="B19" s="506"/>
      <c r="C19" s="185" t="s">
        <v>157</v>
      </c>
      <c r="D19" s="185"/>
      <c r="E19" s="185"/>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t="s">
        <v>419</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506"/>
      <c r="AR19" s="506"/>
      <c r="AS19" s="189" t="s">
        <v>159</v>
      </c>
      <c r="AT19" s="506"/>
      <c r="AU19" s="506"/>
      <c r="AV19" s="506"/>
      <c r="AW19" s="506"/>
      <c r="AX19" s="506"/>
      <c r="AY19" s="506"/>
      <c r="AZ19" s="506"/>
      <c r="BA19" s="506"/>
      <c r="BB19" s="506"/>
      <c r="BC19" s="506"/>
      <c r="BD19" s="506"/>
      <c r="BE19" s="506"/>
      <c r="BF19" s="506"/>
      <c r="BG19" s="506"/>
      <c r="BH19" s="506"/>
      <c r="BI19" s="506"/>
      <c r="BJ19" s="506"/>
      <c r="BK19" s="506"/>
      <c r="BL19" s="506"/>
      <c r="BM19" s="506"/>
      <c r="BN19" s="506"/>
      <c r="BO19" s="506"/>
      <c r="BP19" s="506"/>
      <c r="BQ19" s="506"/>
      <c r="BR19" s="506"/>
      <c r="BS19" s="506"/>
      <c r="BT19" s="506"/>
      <c r="BU19" s="506"/>
      <c r="BV19" s="506"/>
      <c r="BW19" s="506"/>
      <c r="BX19" s="506"/>
      <c r="BY19" s="506"/>
      <c r="BZ19" s="506"/>
      <c r="CA19" s="506"/>
    </row>
    <row r="20" spans="1:79">
      <c r="A20" s="506"/>
      <c r="B20" s="506"/>
      <c r="C20" s="602"/>
      <c r="D20" s="602"/>
      <c r="E20" s="602"/>
      <c r="F20" s="602"/>
      <c r="G20" s="602"/>
      <c r="H20" s="602"/>
      <c r="I20" s="602"/>
      <c r="J20" s="602"/>
      <c r="K20" s="602"/>
      <c r="L20" s="603"/>
      <c r="M20" s="602"/>
      <c r="N20" s="602"/>
      <c r="O20" s="506"/>
      <c r="P20" s="506"/>
      <c r="Q20" s="506"/>
      <c r="R20" s="506"/>
      <c r="S20" s="604"/>
      <c r="T20" s="506"/>
      <c r="U20" s="506"/>
      <c r="V20" s="506"/>
      <c r="W20" s="506"/>
      <c r="X20" s="506"/>
      <c r="Y20" s="506"/>
      <c r="Z20" s="506"/>
      <c r="AA20" s="506"/>
      <c r="AB20" s="506"/>
      <c r="AC20" t="s">
        <v>420</v>
      </c>
      <c r="AD20">
        <f>IFERROR(SUMPRODUCT(--($E$23:$E$27&lt;&gt;"Bef"),$I$23:$I$27,$H$23:$H$27)/SUMPRODUCT(--($E$23:$E$27&lt;&gt;"Bef"),$H$23:$H$27),0)</f>
        <v>2650</v>
      </c>
      <c r="AE20"/>
      <c r="AF20"/>
      <c r="AG20"/>
      <c r="AH20"/>
      <c r="AI20"/>
      <c r="AJ20"/>
      <c r="AK20"/>
      <c r="AL20"/>
      <c r="AM20"/>
      <c r="AN20"/>
      <c r="AO20"/>
      <c r="AP20"/>
      <c r="AQ20" s="506"/>
      <c r="AR20" s="506"/>
      <c r="AS20" s="506"/>
      <c r="AT20" s="506"/>
      <c r="AU20" s="506"/>
      <c r="AV20" s="506"/>
      <c r="AW20" s="506"/>
      <c r="AX20" s="506"/>
      <c r="AY20" s="506"/>
      <c r="AZ20" s="506"/>
      <c r="BA20" s="506"/>
      <c r="BB20" s="506"/>
      <c r="BC20" s="506"/>
      <c r="BD20" s="506"/>
      <c r="BE20" s="506"/>
      <c r="BF20" s="506"/>
      <c r="BG20" s="506"/>
      <c r="BH20" s="506"/>
      <c r="BI20" s="506"/>
      <c r="BJ20" s="506"/>
      <c r="BK20" s="506"/>
      <c r="BL20" s="506"/>
      <c r="BM20" s="506"/>
      <c r="BN20" s="506"/>
      <c r="BO20" s="506"/>
      <c r="BP20" s="506"/>
      <c r="BQ20" s="506"/>
      <c r="BR20" s="506"/>
      <c r="BS20" s="506"/>
      <c r="BT20" s="506"/>
      <c r="BU20" s="506"/>
      <c r="BV20" s="506"/>
      <c r="BW20" s="506"/>
      <c r="BX20" s="506"/>
      <c r="BY20" s="506"/>
      <c r="BZ20" s="506"/>
      <c r="CA20" s="506"/>
    </row>
    <row r="21" spans="1:79" ht="15" customHeight="1">
      <c r="A21" s="728">
        <v>2</v>
      </c>
      <c r="B21" s="506"/>
      <c r="C21" s="223" t="s">
        <v>160</v>
      </c>
      <c r="D21" s="224"/>
      <c r="E21" s="224"/>
      <c r="F21" s="722" t="s">
        <v>161</v>
      </c>
      <c r="G21" s="723"/>
      <c r="H21" s="733"/>
      <c r="I21" s="722" t="s">
        <v>162</v>
      </c>
      <c r="J21" s="723"/>
      <c r="K21" s="723"/>
      <c r="L21" s="733"/>
      <c r="M21" s="722" t="s">
        <v>163</v>
      </c>
      <c r="N21" s="733"/>
      <c r="O21" s="367" t="s">
        <v>164</v>
      </c>
      <c r="P21" s="368" t="s">
        <v>165</v>
      </c>
      <c r="Q21" s="722" t="s">
        <v>166</v>
      </c>
      <c r="R21" s="723"/>
      <c r="S21" s="723"/>
      <c r="T21" s="723"/>
      <c r="U21" s="733"/>
      <c r="V21" s="605"/>
      <c r="W21" s="722" t="s">
        <v>167</v>
      </c>
      <c r="X21" s="723"/>
      <c r="Y21" s="718" t="s">
        <v>83</v>
      </c>
      <c r="Z21" s="719"/>
      <c r="AA21" s="720"/>
      <c r="AB21" s="506"/>
      <c r="AC21" s="506"/>
      <c r="AD21" s="506"/>
      <c r="AE21" s="506"/>
      <c r="AF21" s="506"/>
      <c r="AG21" s="506"/>
      <c r="AH21" s="506"/>
      <c r="AI21" s="506"/>
      <c r="AJ21" s="506"/>
      <c r="AK21" s="506"/>
      <c r="AL21" s="506"/>
      <c r="AM21" s="506"/>
      <c r="AN21" s="506"/>
      <c r="AO21" s="506"/>
      <c r="AP21" s="506"/>
      <c r="AQ21" s="506"/>
      <c r="AR21" s="506"/>
      <c r="AS21" s="506"/>
      <c r="AT21" s="506"/>
      <c r="AU21" s="506"/>
      <c r="AV21" s="506"/>
      <c r="AW21" s="506"/>
      <c r="AX21" s="506"/>
      <c r="AY21" s="506"/>
      <c r="AZ21" s="506"/>
      <c r="BA21" s="506"/>
      <c r="BB21" s="506"/>
      <c r="BC21" s="506"/>
      <c r="BD21" s="506"/>
      <c r="BE21" s="506"/>
      <c r="BF21" s="506"/>
      <c r="BG21" s="506"/>
      <c r="BH21" s="506"/>
      <c r="BI21" s="506"/>
      <c r="BJ21" s="506"/>
      <c r="BK21" s="506"/>
      <c r="BL21" s="506"/>
      <c r="BM21" s="506"/>
      <c r="BN21" s="506"/>
      <c r="BO21" s="506"/>
      <c r="BP21" s="506"/>
      <c r="BQ21" s="506"/>
      <c r="BR21" s="506"/>
      <c r="BS21" s="506"/>
      <c r="BT21" s="506"/>
      <c r="BU21" s="506"/>
      <c r="BV21" s="506"/>
      <c r="BW21" s="506"/>
      <c r="BX21" s="506"/>
      <c r="BY21" s="506"/>
      <c r="BZ21" s="506"/>
      <c r="CA21" s="506"/>
    </row>
    <row r="22" spans="1:79" s="217" customFormat="1" ht="45">
      <c r="A22" s="728"/>
      <c r="B22" s="605"/>
      <c r="C22" s="268" t="s">
        <v>168</v>
      </c>
      <c r="D22" s="269" t="s">
        <v>29</v>
      </c>
      <c r="E22" s="268" t="s">
        <v>169</v>
      </c>
      <c r="F22" s="270" t="s">
        <v>170</v>
      </c>
      <c r="G22" s="271" t="s">
        <v>171</v>
      </c>
      <c r="H22" s="274" t="s">
        <v>158</v>
      </c>
      <c r="I22" s="273" t="s">
        <v>172</v>
      </c>
      <c r="J22" s="272" t="s">
        <v>138</v>
      </c>
      <c r="K22" s="272" t="s">
        <v>173</v>
      </c>
      <c r="L22" s="357" t="s">
        <v>174</v>
      </c>
      <c r="M22" s="270" t="s">
        <v>175</v>
      </c>
      <c r="N22" s="274" t="s">
        <v>176</v>
      </c>
      <c r="O22" s="275" t="str">
        <f>CONCATENATE(P5," 
kr/kvm")</f>
        <v>2026 
kr/kvm</v>
      </c>
      <c r="P22" s="487"/>
      <c r="Q22" s="496" t="s">
        <v>177</v>
      </c>
      <c r="R22" s="497" t="s">
        <v>178</v>
      </c>
      <c r="S22" s="276" t="str">
        <f>CONCATENATE("Budget kr/kvm ",$R23)</f>
        <v>Budget kr/kvm 2026</v>
      </c>
      <c r="T22" s="359" t="s">
        <v>179</v>
      </c>
      <c r="U22" s="277" t="s">
        <v>180</v>
      </c>
      <c r="V22" s="277" t="s">
        <v>422</v>
      </c>
      <c r="W22" s="275" t="s">
        <v>181</v>
      </c>
      <c r="X22" s="304" t="s">
        <v>182</v>
      </c>
      <c r="Y22" s="275" t="str">
        <f>CONCATENATE(" Budget inkl projektbelast.")</f>
        <v xml:space="preserve"> Budget inkl projektbelast.</v>
      </c>
      <c r="Z22" s="271" t="s">
        <v>183</v>
      </c>
      <c r="AA22" s="305" t="s">
        <v>184</v>
      </c>
      <c r="AB22" s="605"/>
      <c r="AC22" s="218">
        <f>M3</f>
        <v>2026</v>
      </c>
      <c r="AD22" s="218">
        <f>AC22+1</f>
        <v>2027</v>
      </c>
      <c r="AE22" s="218">
        <f t="shared" ref="AE22:AK22" si="0">AD22+1</f>
        <v>2028</v>
      </c>
      <c r="AF22" s="218">
        <f t="shared" si="0"/>
        <v>2029</v>
      </c>
      <c r="AG22" s="218">
        <f t="shared" si="0"/>
        <v>2030</v>
      </c>
      <c r="AH22" s="218">
        <f t="shared" si="0"/>
        <v>2031</v>
      </c>
      <c r="AI22" s="218">
        <f t="shared" si="0"/>
        <v>2032</v>
      </c>
      <c r="AJ22" s="218">
        <f t="shared" si="0"/>
        <v>2033</v>
      </c>
      <c r="AK22" s="218">
        <f t="shared" si="0"/>
        <v>2034</v>
      </c>
      <c r="AL22" s="605"/>
      <c r="AM22" s="605"/>
      <c r="AN22" s="605"/>
      <c r="AO22" s="605"/>
      <c r="AP22" s="605"/>
      <c r="AQ22" s="605"/>
      <c r="AR22" s="605"/>
      <c r="AS22" s="606">
        <f>$M$5</f>
        <v>2026</v>
      </c>
      <c r="AT22" s="606">
        <f>AS22+1</f>
        <v>2027</v>
      </c>
      <c r="AU22" s="606">
        <f t="shared" ref="AU22:BZ22" si="1">AT22+1</f>
        <v>2028</v>
      </c>
      <c r="AV22" s="606">
        <f t="shared" si="1"/>
        <v>2029</v>
      </c>
      <c r="AW22" s="606">
        <f t="shared" si="1"/>
        <v>2030</v>
      </c>
      <c r="AX22" s="606">
        <f t="shared" si="1"/>
        <v>2031</v>
      </c>
      <c r="AY22" s="606">
        <f t="shared" si="1"/>
        <v>2032</v>
      </c>
      <c r="AZ22" s="606">
        <f t="shared" si="1"/>
        <v>2033</v>
      </c>
      <c r="BA22" s="606">
        <f t="shared" si="1"/>
        <v>2034</v>
      </c>
      <c r="BB22" s="606">
        <f t="shared" si="1"/>
        <v>2035</v>
      </c>
      <c r="BC22" s="606">
        <f t="shared" si="1"/>
        <v>2036</v>
      </c>
      <c r="BD22" s="606">
        <f t="shared" si="1"/>
        <v>2037</v>
      </c>
      <c r="BE22" s="606">
        <f t="shared" si="1"/>
        <v>2038</v>
      </c>
      <c r="BF22" s="606">
        <f t="shared" si="1"/>
        <v>2039</v>
      </c>
      <c r="BG22" s="606">
        <f t="shared" si="1"/>
        <v>2040</v>
      </c>
      <c r="BH22" s="606">
        <f t="shared" si="1"/>
        <v>2041</v>
      </c>
      <c r="BI22" s="606">
        <f t="shared" si="1"/>
        <v>2042</v>
      </c>
      <c r="BJ22" s="606">
        <f t="shared" si="1"/>
        <v>2043</v>
      </c>
      <c r="BK22" s="606">
        <f t="shared" si="1"/>
        <v>2044</v>
      </c>
      <c r="BL22" s="606">
        <f t="shared" si="1"/>
        <v>2045</v>
      </c>
      <c r="BM22" s="606">
        <f t="shared" si="1"/>
        <v>2046</v>
      </c>
      <c r="BN22" s="606">
        <f t="shared" si="1"/>
        <v>2047</v>
      </c>
      <c r="BO22" s="606">
        <f t="shared" si="1"/>
        <v>2048</v>
      </c>
      <c r="BP22" s="606">
        <f t="shared" si="1"/>
        <v>2049</v>
      </c>
      <c r="BQ22" s="606">
        <f t="shared" si="1"/>
        <v>2050</v>
      </c>
      <c r="BR22" s="606">
        <f t="shared" si="1"/>
        <v>2051</v>
      </c>
      <c r="BS22" s="606">
        <f t="shared" si="1"/>
        <v>2052</v>
      </c>
      <c r="BT22" s="606">
        <f t="shared" si="1"/>
        <v>2053</v>
      </c>
      <c r="BU22" s="606">
        <f t="shared" si="1"/>
        <v>2054</v>
      </c>
      <c r="BV22" s="606">
        <f t="shared" si="1"/>
        <v>2055</v>
      </c>
      <c r="BW22" s="606">
        <f t="shared" si="1"/>
        <v>2056</v>
      </c>
      <c r="BX22" s="606">
        <f t="shared" si="1"/>
        <v>2057</v>
      </c>
      <c r="BY22" s="606">
        <f t="shared" si="1"/>
        <v>2058</v>
      </c>
      <c r="BZ22" s="606">
        <f t="shared" si="1"/>
        <v>2059</v>
      </c>
      <c r="CA22" s="605"/>
    </row>
    <row r="23" spans="1:79" ht="15">
      <c r="A23" s="728"/>
      <c r="B23" s="506"/>
      <c r="C23" s="607" t="s">
        <v>347</v>
      </c>
      <c r="D23" s="608"/>
      <c r="E23" s="607" t="s">
        <v>319</v>
      </c>
      <c r="F23" s="609"/>
      <c r="G23" s="610">
        <v>6100</v>
      </c>
      <c r="H23" s="488">
        <f t="shared" ref="H23:H27" si="2">SUM(F23:G23)</f>
        <v>6100</v>
      </c>
      <c r="I23" s="610">
        <v>2650</v>
      </c>
      <c r="J23" s="611">
        <v>0.7</v>
      </c>
      <c r="K23" s="610"/>
      <c r="L23" s="488">
        <f>((H23*I23*IF($E23="Bef",1,$AD$12))+(K23*H23))</f>
        <v>16165000</v>
      </c>
      <c r="M23" s="607">
        <v>2026</v>
      </c>
      <c r="N23" s="612">
        <v>2045</v>
      </c>
      <c r="O23" s="610">
        <f>I23*IF($E23="Bef",1,$AD$12)</f>
        <v>2650</v>
      </c>
      <c r="P23" s="613"/>
      <c r="Q23" s="614">
        <v>2026</v>
      </c>
      <c r="R23" s="615">
        <v>2026</v>
      </c>
      <c r="S23" s="617">
        <f>IFERROR(G$69/$H23,0)</f>
        <v>39344.262295081964</v>
      </c>
      <c r="T23" s="617">
        <f>IF(U23="",S23,U23)</f>
        <v>39344.262295081964</v>
      </c>
      <c r="U23" s="618"/>
      <c r="V23" s="617">
        <f>IF(OR($E23="Bef",$H23=0,$I23=""),"",CEILING($I23*$AD$19,1))</f>
        <v>2559</v>
      </c>
      <c r="W23" s="315">
        <f>IFERROR((T23*$H23),0)</f>
        <v>239999999.99999997</v>
      </c>
      <c r="X23" s="316">
        <f>IF($M$3&lt;=0,$W23/((1+$M$9)^($R23-$M$5)),$W23/((1+$M$9)^(($R23-$M$5))))</f>
        <v>239999999.99999997</v>
      </c>
      <c r="Y23" s="315">
        <f>IFERROR((X23+(Z23*$H23)),0)</f>
        <v>239999999.99999997</v>
      </c>
      <c r="Z23" s="317">
        <f>IF(OR($E23="Bef",$E23=""),0,$P$10/($H$28-SUMIF($E$23:$E$27,"Bef",$H$23:$H$27)))</f>
        <v>0</v>
      </c>
      <c r="AA23" s="315">
        <f>$Z23*$H23</f>
        <v>0</v>
      </c>
      <c r="AB23" s="506"/>
      <c r="AC23" s="506"/>
      <c r="AD23" s="506"/>
      <c r="AE23" s="506"/>
      <c r="AF23" s="506"/>
      <c r="AG23" s="506"/>
      <c r="AH23" s="506"/>
      <c r="AI23" s="506"/>
      <c r="AJ23" s="506"/>
      <c r="AK23" s="506"/>
      <c r="AL23" s="506"/>
      <c r="AM23" s="506"/>
      <c r="AN23" s="506"/>
      <c r="AO23" s="506"/>
      <c r="AP23" s="506"/>
      <c r="AQ23" s="506"/>
      <c r="AR23" s="619"/>
      <c r="AS23" s="619">
        <f t="shared" ref="AS23:BB27" si="3">IF(AS$22=$R23,$S23*$H23,0)</f>
        <v>239999999.99999997</v>
      </c>
      <c r="AT23" s="619">
        <f t="shared" si="3"/>
        <v>0</v>
      </c>
      <c r="AU23" s="619">
        <f t="shared" si="3"/>
        <v>0</v>
      </c>
      <c r="AV23" s="619">
        <f t="shared" si="3"/>
        <v>0</v>
      </c>
      <c r="AW23" s="619">
        <f t="shared" si="3"/>
        <v>0</v>
      </c>
      <c r="AX23" s="619">
        <f t="shared" si="3"/>
        <v>0</v>
      </c>
      <c r="AY23" s="619">
        <f t="shared" si="3"/>
        <v>0</v>
      </c>
      <c r="AZ23" s="619">
        <f t="shared" si="3"/>
        <v>0</v>
      </c>
      <c r="BA23" s="619">
        <f t="shared" si="3"/>
        <v>0</v>
      </c>
      <c r="BB23" s="619">
        <f t="shared" si="3"/>
        <v>0</v>
      </c>
      <c r="BC23" s="619">
        <f t="shared" ref="BC23:BL27" si="4">IF(BC$22=$R23,$S23*$H23,0)</f>
        <v>0</v>
      </c>
      <c r="BD23" s="619">
        <f t="shared" si="4"/>
        <v>0</v>
      </c>
      <c r="BE23" s="619">
        <f t="shared" si="4"/>
        <v>0</v>
      </c>
      <c r="BF23" s="619">
        <f t="shared" si="4"/>
        <v>0</v>
      </c>
      <c r="BG23" s="619">
        <f t="shared" si="4"/>
        <v>0</v>
      </c>
      <c r="BH23" s="619">
        <f t="shared" si="4"/>
        <v>0</v>
      </c>
      <c r="BI23" s="619">
        <f t="shared" si="4"/>
        <v>0</v>
      </c>
      <c r="BJ23" s="619">
        <f t="shared" si="4"/>
        <v>0</v>
      </c>
      <c r="BK23" s="619">
        <f t="shared" si="4"/>
        <v>0</v>
      </c>
      <c r="BL23" s="619">
        <f t="shared" si="4"/>
        <v>0</v>
      </c>
      <c r="BM23" s="619">
        <f t="shared" ref="BM23:BZ27" si="5">IF(BM$22=$R23,$S23*$H23,0)</f>
        <v>0</v>
      </c>
      <c r="BN23" s="619">
        <f t="shared" si="5"/>
        <v>0</v>
      </c>
      <c r="BO23" s="619">
        <f t="shared" si="5"/>
        <v>0</v>
      </c>
      <c r="BP23" s="619">
        <f t="shared" si="5"/>
        <v>0</v>
      </c>
      <c r="BQ23" s="619">
        <f t="shared" si="5"/>
        <v>0</v>
      </c>
      <c r="BR23" s="619">
        <f t="shared" si="5"/>
        <v>0</v>
      </c>
      <c r="BS23" s="619">
        <f t="shared" si="5"/>
        <v>0</v>
      </c>
      <c r="BT23" s="619">
        <f t="shared" si="5"/>
        <v>0</v>
      </c>
      <c r="BU23" s="619">
        <f t="shared" si="5"/>
        <v>0</v>
      </c>
      <c r="BV23" s="619">
        <f t="shared" si="5"/>
        <v>0</v>
      </c>
      <c r="BW23" s="619">
        <f t="shared" si="5"/>
        <v>0</v>
      </c>
      <c r="BX23" s="619">
        <f t="shared" si="5"/>
        <v>0</v>
      </c>
      <c r="BY23" s="619">
        <f t="shared" si="5"/>
        <v>0</v>
      </c>
      <c r="BZ23" s="619">
        <f t="shared" si="5"/>
        <v>0</v>
      </c>
      <c r="CA23" s="619"/>
    </row>
    <row r="24" spans="1:79" ht="15">
      <c r="A24" s="728"/>
      <c r="B24" s="506"/>
      <c r="C24" s="607"/>
      <c r="D24" s="608"/>
      <c r="E24" s="607"/>
      <c r="F24" s="609"/>
      <c r="G24" s="610"/>
      <c r="H24" s="489">
        <f t="shared" si="2"/>
        <v>0</v>
      </c>
      <c r="I24" s="610"/>
      <c r="J24" s="611"/>
      <c r="K24" s="607"/>
      <c r="L24" s="489">
        <f>((H24*I24*IF($E24="Bef",1,$AD$12))+(K24*H24))</f>
        <v>0</v>
      </c>
      <c r="M24" s="607"/>
      <c r="N24" s="612"/>
      <c r="O24" s="610">
        <f>I24*IF($E24="Bef",1,$AD$12)</f>
        <v>0</v>
      </c>
      <c r="P24" s="620"/>
      <c r="Q24" s="621"/>
      <c r="R24" s="622"/>
      <c r="S24" s="617">
        <f>IFERROR(H$69/$H24,0)</f>
        <v>0</v>
      </c>
      <c r="T24" s="623">
        <f t="shared" ref="T24:T27" si="6">IF(U24="",S24,U24)</f>
        <v>0</v>
      </c>
      <c r="U24" s="618"/>
      <c r="V24" s="623" t="str">
        <f>IF(OR($E24="Bef",$H24=0,$I24=""),"",CEILING($I24*$AD$19,1))</f>
        <v/>
      </c>
      <c r="W24" s="315">
        <f t="shared" ref="W24:W27" si="7">IFERROR((T24*$H24),0)</f>
        <v>0</v>
      </c>
      <c r="X24" s="316">
        <f>IF($M$3&lt;=0,$W24/((1+$M$9)^($R24-$M$5)),$W24/((1+$M$9)^(($R24-$M$5))))</f>
        <v>0</v>
      </c>
      <c r="Y24" s="315">
        <f t="shared" ref="Y24:Y27" si="8">IFERROR((X24+(Z24*$H24)),0)</f>
        <v>0</v>
      </c>
      <c r="Z24" s="317">
        <f t="shared" ref="Z24:Z27" si="9">IF(OR($E24="Bef",$E24=""),0,$P$10/($H$28-SUMIF($E$23:$E$27,"Bef",$H$23:$H$27)))</f>
        <v>0</v>
      </c>
      <c r="AA24" s="315">
        <f t="shared" ref="AA24:AA27" si="10">$Z24*$H24</f>
        <v>0</v>
      </c>
      <c r="AB24" s="506"/>
      <c r="AC24" s="506"/>
      <c r="AD24" s="506"/>
      <c r="AE24" s="506"/>
      <c r="AF24" s="506"/>
      <c r="AG24" s="506"/>
      <c r="AH24" s="506"/>
      <c r="AI24" s="506"/>
      <c r="AJ24" s="506"/>
      <c r="AK24" s="506"/>
      <c r="AL24" s="506"/>
      <c r="AM24" s="506"/>
      <c r="AN24" s="506"/>
      <c r="AO24" s="506"/>
      <c r="AP24" s="506"/>
      <c r="AQ24" s="506"/>
      <c r="AR24" s="506"/>
      <c r="AS24" s="619">
        <f t="shared" si="3"/>
        <v>0</v>
      </c>
      <c r="AT24" s="619">
        <f t="shared" si="3"/>
        <v>0</v>
      </c>
      <c r="AU24" s="619">
        <f t="shared" si="3"/>
        <v>0</v>
      </c>
      <c r="AV24" s="619">
        <f t="shared" si="3"/>
        <v>0</v>
      </c>
      <c r="AW24" s="619">
        <f t="shared" si="3"/>
        <v>0</v>
      </c>
      <c r="AX24" s="619">
        <f t="shared" si="3"/>
        <v>0</v>
      </c>
      <c r="AY24" s="619">
        <f t="shared" si="3"/>
        <v>0</v>
      </c>
      <c r="AZ24" s="619">
        <f t="shared" si="3"/>
        <v>0</v>
      </c>
      <c r="BA24" s="619">
        <f t="shared" si="3"/>
        <v>0</v>
      </c>
      <c r="BB24" s="619">
        <f t="shared" si="3"/>
        <v>0</v>
      </c>
      <c r="BC24" s="619">
        <f t="shared" si="4"/>
        <v>0</v>
      </c>
      <c r="BD24" s="619">
        <f t="shared" si="4"/>
        <v>0</v>
      </c>
      <c r="BE24" s="619">
        <f t="shared" si="4"/>
        <v>0</v>
      </c>
      <c r="BF24" s="619">
        <f t="shared" si="4"/>
        <v>0</v>
      </c>
      <c r="BG24" s="619">
        <f t="shared" si="4"/>
        <v>0</v>
      </c>
      <c r="BH24" s="619">
        <f t="shared" si="4"/>
        <v>0</v>
      </c>
      <c r="BI24" s="619">
        <f t="shared" si="4"/>
        <v>0</v>
      </c>
      <c r="BJ24" s="619">
        <f t="shared" si="4"/>
        <v>0</v>
      </c>
      <c r="BK24" s="619">
        <f t="shared" si="4"/>
        <v>0</v>
      </c>
      <c r="BL24" s="619">
        <f t="shared" si="4"/>
        <v>0</v>
      </c>
      <c r="BM24" s="619">
        <f t="shared" si="5"/>
        <v>0</v>
      </c>
      <c r="BN24" s="619">
        <f t="shared" si="5"/>
        <v>0</v>
      </c>
      <c r="BO24" s="619">
        <f t="shared" si="5"/>
        <v>0</v>
      </c>
      <c r="BP24" s="619">
        <f t="shared" si="5"/>
        <v>0</v>
      </c>
      <c r="BQ24" s="619">
        <f t="shared" si="5"/>
        <v>0</v>
      </c>
      <c r="BR24" s="619">
        <f t="shared" si="5"/>
        <v>0</v>
      </c>
      <c r="BS24" s="619">
        <f t="shared" si="5"/>
        <v>0</v>
      </c>
      <c r="BT24" s="619">
        <f t="shared" si="5"/>
        <v>0</v>
      </c>
      <c r="BU24" s="619">
        <f t="shared" si="5"/>
        <v>0</v>
      </c>
      <c r="BV24" s="619">
        <f t="shared" si="5"/>
        <v>0</v>
      </c>
      <c r="BW24" s="619">
        <f t="shared" si="5"/>
        <v>0</v>
      </c>
      <c r="BX24" s="619">
        <f t="shared" si="5"/>
        <v>0</v>
      </c>
      <c r="BY24" s="619">
        <f t="shared" si="5"/>
        <v>0</v>
      </c>
      <c r="BZ24" s="619">
        <f t="shared" si="5"/>
        <v>0</v>
      </c>
      <c r="CA24" s="506"/>
    </row>
    <row r="25" spans="1:79" ht="15">
      <c r="A25" s="728"/>
      <c r="B25" s="506"/>
      <c r="C25" s="607"/>
      <c r="D25" s="608"/>
      <c r="E25" s="607"/>
      <c r="F25" s="609"/>
      <c r="G25" s="610"/>
      <c r="H25" s="489">
        <f t="shared" si="2"/>
        <v>0</v>
      </c>
      <c r="I25" s="610"/>
      <c r="J25" s="611"/>
      <c r="K25" s="607"/>
      <c r="L25" s="489">
        <f>((H25*I25*IF($E25="Bef",1,$AD$12))+(K25*H25))</f>
        <v>0</v>
      </c>
      <c r="M25" s="607"/>
      <c r="N25" s="612"/>
      <c r="O25" s="610">
        <f>I25*IF($E25="Bef",1,$AD$12)</f>
        <v>0</v>
      </c>
      <c r="P25" s="620"/>
      <c r="Q25" s="621"/>
      <c r="R25" s="622"/>
      <c r="S25" s="617">
        <f>IFERROR(I$69/$H25,0)</f>
        <v>0</v>
      </c>
      <c r="T25" s="623">
        <f t="shared" si="6"/>
        <v>0</v>
      </c>
      <c r="U25" s="618"/>
      <c r="V25" s="623" t="str">
        <f>IF(OR($E25="Bef",$H25=0,$I25=""),"",CEILING($I25*$AD$19,1))</f>
        <v/>
      </c>
      <c r="W25" s="315">
        <f t="shared" si="7"/>
        <v>0</v>
      </c>
      <c r="X25" s="316">
        <f>IF($M$3&lt;=0,$W25/((1+$M$9)^($R25-$M$5)),$W25/((1+$M$9)^(($R25-$M$5))))</f>
        <v>0</v>
      </c>
      <c r="Y25" s="315">
        <f t="shared" si="8"/>
        <v>0</v>
      </c>
      <c r="Z25" s="317">
        <f t="shared" si="9"/>
        <v>0</v>
      </c>
      <c r="AA25" s="315">
        <f t="shared" si="10"/>
        <v>0</v>
      </c>
      <c r="AB25" s="506"/>
      <c r="AC25" s="506"/>
      <c r="AD25" s="506"/>
      <c r="AE25" s="506"/>
      <c r="AF25" s="506"/>
      <c r="AG25" s="506"/>
      <c r="AH25" s="506"/>
      <c r="AI25" s="506"/>
      <c r="AJ25" s="506"/>
      <c r="AK25" s="506"/>
      <c r="AL25" s="506"/>
      <c r="AM25" s="506"/>
      <c r="AN25" s="506"/>
      <c r="AO25" s="506"/>
      <c r="AP25" s="506"/>
      <c r="AQ25" s="506"/>
      <c r="AR25" s="506"/>
      <c r="AS25" s="619">
        <f t="shared" si="3"/>
        <v>0</v>
      </c>
      <c r="AT25" s="619">
        <f t="shared" si="3"/>
        <v>0</v>
      </c>
      <c r="AU25" s="619">
        <f t="shared" si="3"/>
        <v>0</v>
      </c>
      <c r="AV25" s="619">
        <f t="shared" si="3"/>
        <v>0</v>
      </c>
      <c r="AW25" s="619">
        <f t="shared" si="3"/>
        <v>0</v>
      </c>
      <c r="AX25" s="619">
        <f t="shared" si="3"/>
        <v>0</v>
      </c>
      <c r="AY25" s="619">
        <f t="shared" si="3"/>
        <v>0</v>
      </c>
      <c r="AZ25" s="619">
        <f t="shared" si="3"/>
        <v>0</v>
      </c>
      <c r="BA25" s="619">
        <f t="shared" si="3"/>
        <v>0</v>
      </c>
      <c r="BB25" s="619">
        <f t="shared" si="3"/>
        <v>0</v>
      </c>
      <c r="BC25" s="619">
        <f t="shared" si="4"/>
        <v>0</v>
      </c>
      <c r="BD25" s="619">
        <f t="shared" si="4"/>
        <v>0</v>
      </c>
      <c r="BE25" s="619">
        <f t="shared" si="4"/>
        <v>0</v>
      </c>
      <c r="BF25" s="619">
        <f t="shared" si="4"/>
        <v>0</v>
      </c>
      <c r="BG25" s="619">
        <f t="shared" si="4"/>
        <v>0</v>
      </c>
      <c r="BH25" s="619">
        <f t="shared" si="4"/>
        <v>0</v>
      </c>
      <c r="BI25" s="619">
        <f t="shared" si="4"/>
        <v>0</v>
      </c>
      <c r="BJ25" s="619">
        <f t="shared" si="4"/>
        <v>0</v>
      </c>
      <c r="BK25" s="619">
        <f t="shared" si="4"/>
        <v>0</v>
      </c>
      <c r="BL25" s="619">
        <f t="shared" si="4"/>
        <v>0</v>
      </c>
      <c r="BM25" s="619">
        <f t="shared" si="5"/>
        <v>0</v>
      </c>
      <c r="BN25" s="619">
        <f t="shared" si="5"/>
        <v>0</v>
      </c>
      <c r="BO25" s="619">
        <f t="shared" si="5"/>
        <v>0</v>
      </c>
      <c r="BP25" s="619">
        <f t="shared" si="5"/>
        <v>0</v>
      </c>
      <c r="BQ25" s="619">
        <f t="shared" si="5"/>
        <v>0</v>
      </c>
      <c r="BR25" s="619">
        <f t="shared" si="5"/>
        <v>0</v>
      </c>
      <c r="BS25" s="619">
        <f t="shared" si="5"/>
        <v>0</v>
      </c>
      <c r="BT25" s="619">
        <f t="shared" si="5"/>
        <v>0</v>
      </c>
      <c r="BU25" s="619">
        <f t="shared" si="5"/>
        <v>0</v>
      </c>
      <c r="BV25" s="619">
        <f t="shared" si="5"/>
        <v>0</v>
      </c>
      <c r="BW25" s="619">
        <f t="shared" si="5"/>
        <v>0</v>
      </c>
      <c r="BX25" s="619">
        <f t="shared" si="5"/>
        <v>0</v>
      </c>
      <c r="BY25" s="619">
        <f t="shared" si="5"/>
        <v>0</v>
      </c>
      <c r="BZ25" s="619">
        <f t="shared" si="5"/>
        <v>0</v>
      </c>
      <c r="CA25" s="506"/>
    </row>
    <row r="26" spans="1:79" ht="15">
      <c r="A26" s="728"/>
      <c r="B26" s="506"/>
      <c r="C26" s="607"/>
      <c r="D26" s="608"/>
      <c r="E26" s="607"/>
      <c r="F26" s="609"/>
      <c r="G26" s="610"/>
      <c r="H26" s="489">
        <f t="shared" si="2"/>
        <v>0</v>
      </c>
      <c r="I26" s="610"/>
      <c r="J26" s="611"/>
      <c r="K26" s="607"/>
      <c r="L26" s="489">
        <f>((H26*I26*IF($E26="Bef",1,$AD$12))+(K26*H26))</f>
        <v>0</v>
      </c>
      <c r="M26" s="607"/>
      <c r="N26" s="612"/>
      <c r="O26" s="610">
        <f>I26*IF($E26="Bef",1,$AD$12)</f>
        <v>0</v>
      </c>
      <c r="P26" s="620"/>
      <c r="Q26" s="621"/>
      <c r="R26" s="622"/>
      <c r="S26" s="617">
        <f>IFERROR(J$69/$H26,0)</f>
        <v>0</v>
      </c>
      <c r="T26" s="623">
        <f t="shared" si="6"/>
        <v>0</v>
      </c>
      <c r="U26" s="618"/>
      <c r="V26" s="623" t="str">
        <f>IF(OR($E26="Bef",$H26=0,$I26=""),"",CEILING($I26*$AD$19,1))</f>
        <v/>
      </c>
      <c r="W26" s="315">
        <f t="shared" si="7"/>
        <v>0</v>
      </c>
      <c r="X26" s="316">
        <f>IF($M$3&lt;=0,$W26/((1+$M$9)^($R26-$M$5)),$W26/((1+$M$9)^(($R26-$M$5))))</f>
        <v>0</v>
      </c>
      <c r="Y26" s="315">
        <f t="shared" si="8"/>
        <v>0</v>
      </c>
      <c r="Z26" s="317">
        <f t="shared" si="9"/>
        <v>0</v>
      </c>
      <c r="AA26" s="315">
        <f t="shared" si="10"/>
        <v>0</v>
      </c>
      <c r="AB26" s="506"/>
      <c r="AC26" s="506"/>
      <c r="AD26" s="506"/>
      <c r="AE26" s="506"/>
      <c r="AF26" s="506"/>
      <c r="AG26" s="506"/>
      <c r="AH26" s="506"/>
      <c r="AI26" s="506"/>
      <c r="AJ26" s="506"/>
      <c r="AK26" s="506"/>
      <c r="AL26" s="506"/>
      <c r="AM26" s="506"/>
      <c r="AN26" s="506"/>
      <c r="AO26" s="506"/>
      <c r="AP26" s="506"/>
      <c r="AQ26" s="506"/>
      <c r="AR26" s="506"/>
      <c r="AS26" s="619">
        <f t="shared" si="3"/>
        <v>0</v>
      </c>
      <c r="AT26" s="619">
        <f t="shared" si="3"/>
        <v>0</v>
      </c>
      <c r="AU26" s="619">
        <f t="shared" si="3"/>
        <v>0</v>
      </c>
      <c r="AV26" s="619">
        <f t="shared" si="3"/>
        <v>0</v>
      </c>
      <c r="AW26" s="619">
        <f t="shared" si="3"/>
        <v>0</v>
      </c>
      <c r="AX26" s="619">
        <f t="shared" si="3"/>
        <v>0</v>
      </c>
      <c r="AY26" s="619">
        <f t="shared" si="3"/>
        <v>0</v>
      </c>
      <c r="AZ26" s="619">
        <f t="shared" si="3"/>
        <v>0</v>
      </c>
      <c r="BA26" s="619">
        <f t="shared" si="3"/>
        <v>0</v>
      </c>
      <c r="BB26" s="619">
        <f t="shared" si="3"/>
        <v>0</v>
      </c>
      <c r="BC26" s="619">
        <f t="shared" si="4"/>
        <v>0</v>
      </c>
      <c r="BD26" s="619">
        <f t="shared" si="4"/>
        <v>0</v>
      </c>
      <c r="BE26" s="619">
        <f t="shared" si="4"/>
        <v>0</v>
      </c>
      <c r="BF26" s="619">
        <f t="shared" si="4"/>
        <v>0</v>
      </c>
      <c r="BG26" s="619">
        <f t="shared" si="4"/>
        <v>0</v>
      </c>
      <c r="BH26" s="619">
        <f t="shared" si="4"/>
        <v>0</v>
      </c>
      <c r="BI26" s="619">
        <f t="shared" si="4"/>
        <v>0</v>
      </c>
      <c r="BJ26" s="619">
        <f t="shared" si="4"/>
        <v>0</v>
      </c>
      <c r="BK26" s="619">
        <f t="shared" si="4"/>
        <v>0</v>
      </c>
      <c r="BL26" s="619">
        <f t="shared" si="4"/>
        <v>0</v>
      </c>
      <c r="BM26" s="619">
        <f t="shared" si="5"/>
        <v>0</v>
      </c>
      <c r="BN26" s="619">
        <f t="shared" si="5"/>
        <v>0</v>
      </c>
      <c r="BO26" s="619">
        <f t="shared" si="5"/>
        <v>0</v>
      </c>
      <c r="BP26" s="619">
        <f t="shared" si="5"/>
        <v>0</v>
      </c>
      <c r="BQ26" s="619">
        <f t="shared" si="5"/>
        <v>0</v>
      </c>
      <c r="BR26" s="619">
        <f t="shared" si="5"/>
        <v>0</v>
      </c>
      <c r="BS26" s="619">
        <f t="shared" si="5"/>
        <v>0</v>
      </c>
      <c r="BT26" s="619">
        <f t="shared" si="5"/>
        <v>0</v>
      </c>
      <c r="BU26" s="619">
        <f t="shared" si="5"/>
        <v>0</v>
      </c>
      <c r="BV26" s="619">
        <f t="shared" si="5"/>
        <v>0</v>
      </c>
      <c r="BW26" s="619">
        <f t="shared" si="5"/>
        <v>0</v>
      </c>
      <c r="BX26" s="619">
        <f t="shared" si="5"/>
        <v>0</v>
      </c>
      <c r="BY26" s="619">
        <f t="shared" si="5"/>
        <v>0</v>
      </c>
      <c r="BZ26" s="619">
        <f t="shared" si="5"/>
        <v>0</v>
      </c>
      <c r="CA26" s="506"/>
    </row>
    <row r="27" spans="1:79" ht="15">
      <c r="A27" s="728"/>
      <c r="B27" s="506"/>
      <c r="C27" s="607"/>
      <c r="D27" s="608"/>
      <c r="E27" s="607"/>
      <c r="F27" s="609"/>
      <c r="G27" s="610"/>
      <c r="H27" s="490">
        <f t="shared" si="2"/>
        <v>0</v>
      </c>
      <c r="I27" s="607"/>
      <c r="J27" s="611"/>
      <c r="K27" s="607"/>
      <c r="L27" s="490">
        <f>((H27*I27*IF($E27="Bef",1,$AD$12))+(K27*H27))</f>
        <v>0</v>
      </c>
      <c r="M27" s="607"/>
      <c r="N27" s="612"/>
      <c r="O27" s="610">
        <f>I27*IF($E27="Bef",1,$AD$12)</f>
        <v>0</v>
      </c>
      <c r="P27" s="620"/>
      <c r="Q27" s="624"/>
      <c r="R27" s="625"/>
      <c r="S27" s="617">
        <f>IFERROR(K$69/$H27,0)</f>
        <v>0</v>
      </c>
      <c r="T27" s="626">
        <f t="shared" si="6"/>
        <v>0</v>
      </c>
      <c r="U27" s="618"/>
      <c r="V27" s="626" t="str">
        <f>IF(OR($E27="Bef",$H27=0,$I27=""),"",CEILING($I27*$AD$19,1))</f>
        <v/>
      </c>
      <c r="W27" s="315">
        <f t="shared" si="7"/>
        <v>0</v>
      </c>
      <c r="X27" s="316">
        <f>IF($M$3&lt;=0,$W27/((1+$M$9)^($R27-$M$5)),$W27/((1+$M$9)^(($R27-$M$5))))</f>
        <v>0</v>
      </c>
      <c r="Y27" s="315">
        <f t="shared" si="8"/>
        <v>0</v>
      </c>
      <c r="Z27" s="317">
        <f t="shared" si="9"/>
        <v>0</v>
      </c>
      <c r="AA27" s="315">
        <f t="shared" si="10"/>
        <v>0</v>
      </c>
      <c r="AB27" s="506"/>
      <c r="AC27" s="506"/>
      <c r="AD27" s="506"/>
      <c r="AE27" s="506"/>
      <c r="AF27" s="506"/>
      <c r="AG27" s="506"/>
      <c r="AH27" s="506"/>
      <c r="AI27" s="506"/>
      <c r="AJ27" s="506"/>
      <c r="AK27" s="506"/>
      <c r="AL27" s="506"/>
      <c r="AM27" s="506"/>
      <c r="AN27" s="506"/>
      <c r="AO27" s="506"/>
      <c r="AP27" s="506"/>
      <c r="AQ27" s="506"/>
      <c r="AR27" s="506"/>
      <c r="AS27" s="619">
        <f t="shared" si="3"/>
        <v>0</v>
      </c>
      <c r="AT27" s="619">
        <f t="shared" si="3"/>
        <v>0</v>
      </c>
      <c r="AU27" s="619">
        <f t="shared" si="3"/>
        <v>0</v>
      </c>
      <c r="AV27" s="619">
        <f t="shared" si="3"/>
        <v>0</v>
      </c>
      <c r="AW27" s="619">
        <f t="shared" si="3"/>
        <v>0</v>
      </c>
      <c r="AX27" s="619">
        <f t="shared" si="3"/>
        <v>0</v>
      </c>
      <c r="AY27" s="619">
        <f t="shared" si="3"/>
        <v>0</v>
      </c>
      <c r="AZ27" s="619">
        <f t="shared" si="3"/>
        <v>0</v>
      </c>
      <c r="BA27" s="619">
        <f t="shared" si="3"/>
        <v>0</v>
      </c>
      <c r="BB27" s="619">
        <f t="shared" si="3"/>
        <v>0</v>
      </c>
      <c r="BC27" s="619">
        <f t="shared" si="4"/>
        <v>0</v>
      </c>
      <c r="BD27" s="619">
        <f t="shared" si="4"/>
        <v>0</v>
      </c>
      <c r="BE27" s="619">
        <f t="shared" si="4"/>
        <v>0</v>
      </c>
      <c r="BF27" s="619">
        <f t="shared" si="4"/>
        <v>0</v>
      </c>
      <c r="BG27" s="619">
        <f t="shared" si="4"/>
        <v>0</v>
      </c>
      <c r="BH27" s="619">
        <f t="shared" si="4"/>
        <v>0</v>
      </c>
      <c r="BI27" s="619">
        <f t="shared" si="4"/>
        <v>0</v>
      </c>
      <c r="BJ27" s="619">
        <f t="shared" si="4"/>
        <v>0</v>
      </c>
      <c r="BK27" s="619">
        <f t="shared" si="4"/>
        <v>0</v>
      </c>
      <c r="BL27" s="619">
        <f t="shared" si="4"/>
        <v>0</v>
      </c>
      <c r="BM27" s="619">
        <f t="shared" si="5"/>
        <v>0</v>
      </c>
      <c r="BN27" s="619">
        <f t="shared" si="5"/>
        <v>0</v>
      </c>
      <c r="BO27" s="619">
        <f t="shared" si="5"/>
        <v>0</v>
      </c>
      <c r="BP27" s="619">
        <f t="shared" si="5"/>
        <v>0</v>
      </c>
      <c r="BQ27" s="619">
        <f t="shared" si="5"/>
        <v>0</v>
      </c>
      <c r="BR27" s="619">
        <f t="shared" si="5"/>
        <v>0</v>
      </c>
      <c r="BS27" s="619">
        <f t="shared" si="5"/>
        <v>0</v>
      </c>
      <c r="BT27" s="619">
        <f t="shared" si="5"/>
        <v>0</v>
      </c>
      <c r="BU27" s="619">
        <f t="shared" si="5"/>
        <v>0</v>
      </c>
      <c r="BV27" s="619">
        <f t="shared" si="5"/>
        <v>0</v>
      </c>
      <c r="BW27" s="619">
        <f t="shared" si="5"/>
        <v>0</v>
      </c>
      <c r="BX27" s="619">
        <f t="shared" si="5"/>
        <v>0</v>
      </c>
      <c r="BY27" s="619">
        <f t="shared" si="5"/>
        <v>0</v>
      </c>
      <c r="BZ27" s="619">
        <f t="shared" si="5"/>
        <v>0</v>
      </c>
      <c r="CA27" s="506"/>
    </row>
    <row r="28" spans="1:79" ht="15">
      <c r="A28" s="728"/>
      <c r="B28" s="506"/>
      <c r="C28" s="278" t="s">
        <v>158</v>
      </c>
      <c r="D28" s="279">
        <f>SUM($D$23:$D$27)</f>
        <v>0</v>
      </c>
      <c r="E28" s="280"/>
      <c r="F28" s="278">
        <f>SUM(F23:F27)</f>
        <v>0</v>
      </c>
      <c r="G28" s="281">
        <f>SUM(G23:G27)</f>
        <v>6100</v>
      </c>
      <c r="H28" s="282">
        <f>F28+G28</f>
        <v>6100</v>
      </c>
      <c r="I28" s="283"/>
      <c r="J28" s="280"/>
      <c r="K28" s="280"/>
      <c r="L28" s="358">
        <f>SUM(L23:L27)</f>
        <v>16165000</v>
      </c>
      <c r="M28" s="278"/>
      <c r="N28" s="284"/>
      <c r="O28" s="285">
        <f>(O23*H23+O24*H24+O25*H25+O26*H26+O27*H27)</f>
        <v>16165000</v>
      </c>
      <c r="P28" s="286">
        <f>IFERROR(SUMPRODUCT(P23:P27,L23:L27)/L28,"")</f>
        <v>0</v>
      </c>
      <c r="Q28" s="287"/>
      <c r="R28" s="288"/>
      <c r="S28" s="289">
        <f>IF(H28=0,"",S29*H28)</f>
        <v>239999999.99999997</v>
      </c>
      <c r="T28" s="356">
        <f>IF(H28=0,"",T29*H28)</f>
        <v>239999999.99999997</v>
      </c>
      <c r="U28" s="290" t="str">
        <f>IF(H29=0,"",U29*H28)</f>
        <v/>
      </c>
      <c r="V28" s="506"/>
      <c r="W28" s="285">
        <f>SUM(W23:W27)</f>
        <v>239999999.99999997</v>
      </c>
      <c r="X28" s="306">
        <f>SUM(X23:X27)</f>
        <v>239999999.99999997</v>
      </c>
      <c r="Y28" s="285">
        <f>SUM(Y23:Y27)</f>
        <v>239999999.99999997</v>
      </c>
      <c r="Z28" s="306" t="str">
        <f>IF(H29=0,"",Z29*H28)</f>
        <v/>
      </c>
      <c r="AA28" s="285">
        <f>SUM(AA23:AA27)</f>
        <v>0</v>
      </c>
      <c r="AB28" s="506"/>
      <c r="AC28" s="506"/>
      <c r="AD28" s="506"/>
      <c r="AE28" s="506"/>
      <c r="AF28" s="506"/>
      <c r="AG28" s="506"/>
      <c r="AH28" s="506"/>
      <c r="AI28" s="506"/>
      <c r="AJ28" s="506"/>
      <c r="AK28" s="506"/>
      <c r="AL28" s="506"/>
      <c r="AM28" s="506"/>
      <c r="AN28" s="506"/>
      <c r="AO28" s="506"/>
      <c r="AP28" s="506"/>
      <c r="AQ28" s="506"/>
      <c r="AR28" s="506"/>
      <c r="AS28" s="219">
        <f>SUM(AS23:AS27)</f>
        <v>239999999.99999997</v>
      </c>
      <c r="AT28" s="219">
        <f t="shared" ref="AT28:BM28" si="11">SUM(AT23:AT27)</f>
        <v>0</v>
      </c>
      <c r="AU28" s="219">
        <f t="shared" si="11"/>
        <v>0</v>
      </c>
      <c r="AV28" s="219">
        <f t="shared" si="11"/>
        <v>0</v>
      </c>
      <c r="AW28" s="219">
        <f t="shared" si="11"/>
        <v>0</v>
      </c>
      <c r="AX28" s="219">
        <f t="shared" si="11"/>
        <v>0</v>
      </c>
      <c r="AY28" s="219">
        <f t="shared" si="11"/>
        <v>0</v>
      </c>
      <c r="AZ28" s="219">
        <f t="shared" si="11"/>
        <v>0</v>
      </c>
      <c r="BA28" s="219">
        <f t="shared" si="11"/>
        <v>0</v>
      </c>
      <c r="BB28" s="219">
        <f t="shared" si="11"/>
        <v>0</v>
      </c>
      <c r="BC28" s="219">
        <f t="shared" si="11"/>
        <v>0</v>
      </c>
      <c r="BD28" s="219">
        <f t="shared" si="11"/>
        <v>0</v>
      </c>
      <c r="BE28" s="219">
        <f t="shared" si="11"/>
        <v>0</v>
      </c>
      <c r="BF28" s="219">
        <f t="shared" si="11"/>
        <v>0</v>
      </c>
      <c r="BG28" s="219">
        <f t="shared" si="11"/>
        <v>0</v>
      </c>
      <c r="BH28" s="219">
        <f t="shared" si="11"/>
        <v>0</v>
      </c>
      <c r="BI28" s="219">
        <f t="shared" si="11"/>
        <v>0</v>
      </c>
      <c r="BJ28" s="219">
        <f t="shared" si="11"/>
        <v>0</v>
      </c>
      <c r="BK28" s="219">
        <f t="shared" si="11"/>
        <v>0</v>
      </c>
      <c r="BL28" s="219">
        <f t="shared" si="11"/>
        <v>0</v>
      </c>
      <c r="BM28" s="219">
        <f t="shared" si="11"/>
        <v>0</v>
      </c>
      <c r="BN28" s="219">
        <f t="shared" ref="BN28" si="12">SUM(BN23:BN27)</f>
        <v>0</v>
      </c>
      <c r="BO28" s="219">
        <f t="shared" ref="BO28" si="13">SUM(BO23:BO27)</f>
        <v>0</v>
      </c>
      <c r="BP28" s="219">
        <f t="shared" ref="BP28" si="14">SUM(BP23:BP27)</f>
        <v>0</v>
      </c>
      <c r="BQ28" s="219">
        <f t="shared" ref="BQ28" si="15">SUM(BQ23:BQ27)</f>
        <v>0</v>
      </c>
      <c r="BR28" s="219">
        <f t="shared" ref="BR28" si="16">SUM(BR23:BR27)</f>
        <v>0</v>
      </c>
      <c r="BS28" s="219">
        <f t="shared" ref="BS28" si="17">SUM(BS23:BS27)</f>
        <v>0</v>
      </c>
      <c r="BT28" s="219">
        <f t="shared" ref="BT28" si="18">SUM(BT23:BT27)</f>
        <v>0</v>
      </c>
      <c r="BU28" s="219">
        <f t="shared" ref="BU28" si="19">SUM(BU23:BU27)</f>
        <v>0</v>
      </c>
      <c r="BV28" s="219">
        <f t="shared" ref="BV28" si="20">SUM(BV23:BV27)</f>
        <v>0</v>
      </c>
      <c r="BW28" s="219">
        <f t="shared" ref="BW28" si="21">SUM(BW23:BW27)</f>
        <v>0</v>
      </c>
      <c r="BX28" s="219">
        <f t="shared" ref="BX28" si="22">SUM(BX23:BX27)</f>
        <v>0</v>
      </c>
      <c r="BY28" s="219">
        <f t="shared" ref="BY28" si="23">SUM(BY23:BY27)</f>
        <v>0</v>
      </c>
      <c r="BZ28" s="219">
        <f t="shared" ref="BZ28" si="24">SUM(BZ23:BZ27)</f>
        <v>0</v>
      </c>
      <c r="CA28" s="506"/>
    </row>
    <row r="29" spans="1:79" ht="15">
      <c r="A29" s="728"/>
      <c r="B29" s="506"/>
      <c r="C29" s="291"/>
      <c r="D29" s="292"/>
      <c r="E29" s="293"/>
      <c r="F29" s="291"/>
      <c r="G29" s="294"/>
      <c r="H29" s="295"/>
      <c r="I29" s="296"/>
      <c r="J29" s="293"/>
      <c r="K29" s="293"/>
      <c r="L29" s="297">
        <f>IF(L28=0,"",L28/H28)</f>
        <v>2650</v>
      </c>
      <c r="M29" s="291"/>
      <c r="N29" s="298"/>
      <c r="O29" s="297">
        <f>IF(O28=0,"",O28/H28)</f>
        <v>2650</v>
      </c>
      <c r="P29" s="299"/>
      <c r="Q29" s="300"/>
      <c r="R29" s="301"/>
      <c r="S29" s="302">
        <f>IF(H28=0,"",SUMPRODUCT($S$23:$S$27,$H$23:$H$27)/$H$28)</f>
        <v>39344.262295081964</v>
      </c>
      <c r="T29" s="302">
        <f>IF(H28=0,"",SUMPRODUCT($T$23:$T$27,$H$23:$H$27)/$H$28)</f>
        <v>39344.262295081964</v>
      </c>
      <c r="U29" s="303" t="str">
        <f>IF(H29=0,"",SUMPRODUCT($U$23:$U$27,$H$23:$H$27)/$H$28)</f>
        <v/>
      </c>
      <c r="V29" s="506"/>
      <c r="W29" s="307"/>
      <c r="X29" s="308"/>
      <c r="Y29" s="307"/>
      <c r="Z29" s="309" t="str">
        <f>IF(H29=0,"",SUMPRODUCT($Z$23:$Z$27,$H$23:$H$27)/$H$28)</f>
        <v/>
      </c>
      <c r="AA29" s="307"/>
      <c r="AB29" s="506"/>
      <c r="AC29" s="506"/>
      <c r="AD29" s="506"/>
      <c r="AE29" s="506"/>
      <c r="AF29" s="506"/>
      <c r="AG29" s="506"/>
      <c r="AH29" s="506"/>
      <c r="AI29" s="506"/>
      <c r="AJ29" s="506"/>
      <c r="AK29" s="506"/>
      <c r="AL29" s="506"/>
      <c r="AM29" s="506"/>
      <c r="AN29" s="506"/>
      <c r="AO29" s="506"/>
      <c r="AP29" s="506"/>
      <c r="AQ29" s="506"/>
      <c r="AR29" s="506"/>
      <c r="AS29" s="506"/>
      <c r="AT29" s="506"/>
      <c r="AU29" s="506"/>
      <c r="AV29" s="506"/>
      <c r="AW29" s="506"/>
      <c r="AX29" s="506"/>
      <c r="AY29" s="506"/>
      <c r="AZ29" s="506"/>
      <c r="BA29" s="506"/>
      <c r="BB29" s="506"/>
      <c r="BC29" s="506"/>
      <c r="BD29" s="506"/>
      <c r="BE29" s="506"/>
      <c r="BF29" s="506"/>
      <c r="BG29" s="506"/>
      <c r="BH29" s="506"/>
      <c r="BI29" s="506"/>
      <c r="BJ29" s="506"/>
      <c r="BK29" s="506"/>
      <c r="BL29" s="506"/>
      <c r="BM29" s="506"/>
      <c r="BN29" s="506"/>
      <c r="BO29" s="506"/>
      <c r="BP29" s="506"/>
      <c r="BQ29" s="506"/>
      <c r="BR29" s="506"/>
      <c r="BS29" s="506"/>
      <c r="BT29" s="506"/>
      <c r="BU29" s="506"/>
      <c r="BV29" s="506"/>
      <c r="BW29" s="506"/>
      <c r="BX29" s="506"/>
      <c r="BY29" s="506"/>
      <c r="BZ29" s="506"/>
      <c r="CA29" s="506"/>
    </row>
    <row r="30" spans="1:79">
      <c r="A30" s="506"/>
      <c r="B30" s="506"/>
      <c r="C30" s="506"/>
      <c r="D30" s="506"/>
      <c r="E30" s="506"/>
      <c r="F30" s="506"/>
      <c r="G30" s="506"/>
      <c r="H30" s="506"/>
      <c r="I30" s="506"/>
      <c r="J30" s="506"/>
      <c r="K30" s="506"/>
      <c r="L30" s="506"/>
      <c r="M30" s="506"/>
      <c r="N30" s="506"/>
      <c r="O30" s="506"/>
      <c r="P30" s="506"/>
      <c r="Q30" s="506"/>
      <c r="R30" s="506"/>
      <c r="S30" s="506"/>
      <c r="T30" s="506"/>
      <c r="U30" s="506"/>
      <c r="V30" s="506"/>
      <c r="W30" s="619"/>
      <c r="X30" s="619"/>
      <c r="Y30" s="619"/>
      <c r="Z30" s="619"/>
      <c r="AA30" s="619"/>
      <c r="AB30" s="506"/>
      <c r="AC30" s="506"/>
      <c r="AD30" s="506"/>
      <c r="AE30" s="506"/>
      <c r="AF30" s="506"/>
      <c r="AG30" s="506"/>
      <c r="AH30" s="506"/>
      <c r="AI30" s="506"/>
      <c r="AJ30" s="506"/>
      <c r="AK30" s="506"/>
      <c r="AL30" s="506"/>
      <c r="AM30" s="506"/>
      <c r="AN30" s="506"/>
      <c r="AO30" s="506"/>
      <c r="AP30" s="506"/>
      <c r="AQ30" s="506"/>
      <c r="AR30" s="506"/>
      <c r="AS30" s="506"/>
      <c r="AT30" s="506"/>
      <c r="AU30" s="506"/>
      <c r="AV30" s="506"/>
      <c r="AW30" s="506"/>
      <c r="AX30" s="506"/>
      <c r="AY30" s="506"/>
      <c r="AZ30" s="506"/>
      <c r="BA30" s="506"/>
      <c r="BB30" s="506"/>
      <c r="BC30" s="506"/>
      <c r="BD30" s="506"/>
      <c r="BE30" s="506"/>
      <c r="BF30" s="506"/>
      <c r="BG30" s="506"/>
      <c r="BH30" s="506"/>
      <c r="BI30" s="506"/>
      <c r="BJ30" s="506"/>
      <c r="BK30" s="506"/>
      <c r="BL30" s="506"/>
      <c r="BM30" s="506"/>
      <c r="BN30" s="506"/>
      <c r="BO30" s="506"/>
      <c r="BP30" s="506"/>
      <c r="BQ30" s="506"/>
      <c r="BR30" s="506"/>
      <c r="BS30" s="506"/>
      <c r="BT30" s="506"/>
      <c r="BU30" s="506"/>
      <c r="BV30" s="506"/>
      <c r="BW30" s="506"/>
      <c r="BX30" s="506"/>
      <c r="BY30" s="506"/>
      <c r="BZ30" s="506"/>
      <c r="CA30" s="506"/>
    </row>
    <row r="31" spans="1:79" ht="23.25">
      <c r="A31" s="506"/>
      <c r="B31" s="506"/>
      <c r="C31" s="185" t="s">
        <v>185</v>
      </c>
      <c r="D31" s="185"/>
      <c r="E31" s="185"/>
      <c r="F31" s="506"/>
      <c r="G31" s="506"/>
      <c r="H31" s="506"/>
      <c r="I31" s="506"/>
      <c r="J31" s="506"/>
      <c r="K31" s="506"/>
      <c r="L31" s="619"/>
      <c r="M31" s="619"/>
      <c r="N31" s="506"/>
      <c r="O31" s="506"/>
      <c r="P31" s="619"/>
      <c r="Q31" s="506"/>
      <c r="R31" s="506"/>
      <c r="S31" s="506"/>
      <c r="T31" s="506"/>
      <c r="U31" s="506"/>
      <c r="V31" s="506"/>
      <c r="W31" s="506"/>
      <c r="X31" s="619"/>
      <c r="Y31" s="619"/>
      <c r="Z31" s="619"/>
      <c r="AA31" s="619"/>
      <c r="AB31" s="619"/>
      <c r="AC31" s="506"/>
      <c r="AD31" s="506"/>
      <c r="AE31" s="506"/>
      <c r="AF31" s="506"/>
      <c r="AG31" s="506"/>
      <c r="AH31" s="506"/>
      <c r="AI31" s="506"/>
      <c r="AJ31" s="506"/>
      <c r="AK31" s="506"/>
      <c r="AL31" s="506"/>
      <c r="AM31" s="506"/>
      <c r="AN31" s="506"/>
      <c r="AO31" s="506"/>
      <c r="AP31" s="506"/>
      <c r="AQ31" s="506"/>
      <c r="AR31" s="506"/>
      <c r="AS31" s="506"/>
      <c r="AT31" s="506"/>
      <c r="AU31" s="506"/>
      <c r="AV31" s="506"/>
      <c r="AW31" s="506"/>
      <c r="AX31" s="506"/>
      <c r="AY31" s="506"/>
      <c r="AZ31" s="506"/>
      <c r="BA31" s="506"/>
      <c r="BB31" s="506"/>
      <c r="BC31" s="506"/>
      <c r="BD31" s="506"/>
      <c r="BE31" s="506"/>
      <c r="BF31" s="506"/>
      <c r="BG31" s="506"/>
      <c r="BH31" s="506"/>
      <c r="BI31" s="506"/>
      <c r="BJ31" s="506"/>
      <c r="BK31" s="506"/>
      <c r="BL31" s="506"/>
      <c r="BM31" s="506"/>
      <c r="BN31" s="506"/>
      <c r="BO31" s="506"/>
      <c r="BP31" s="506"/>
      <c r="BQ31" s="506"/>
      <c r="BR31" s="506"/>
      <c r="BS31" s="506"/>
      <c r="BT31" s="506"/>
      <c r="BU31" s="506"/>
      <c r="BV31" s="506"/>
      <c r="BW31" s="506"/>
      <c r="BX31" s="506"/>
      <c r="BY31" s="506"/>
      <c r="BZ31" s="506"/>
      <c r="CA31" s="506"/>
    </row>
    <row r="33" spans="1:25" ht="30" customHeight="1">
      <c r="A33" s="728">
        <v>3</v>
      </c>
      <c r="B33" s="506"/>
      <c r="C33" s="391" t="s">
        <v>186</v>
      </c>
      <c r="D33" s="391"/>
      <c r="E33" s="391"/>
      <c r="F33" s="391"/>
      <c r="G33" s="392" t="s">
        <v>170</v>
      </c>
      <c r="H33" s="393" t="s">
        <v>171</v>
      </c>
      <c r="I33" s="394" t="s">
        <v>187</v>
      </c>
      <c r="J33" s="506"/>
      <c r="K33" s="395" t="s">
        <v>188</v>
      </c>
      <c r="L33" s="220">
        <v>10</v>
      </c>
      <c r="M33" s="221">
        <v>15</v>
      </c>
      <c r="N33" s="396" t="s">
        <v>189</v>
      </c>
      <c r="O33" s="506"/>
      <c r="P33" s="397" t="s">
        <v>190</v>
      </c>
      <c r="Q33" s="398" t="s">
        <v>191</v>
      </c>
      <c r="R33" s="393" t="s">
        <v>192</v>
      </c>
      <c r="S33" s="393" t="str">
        <f>CONCATENATE("Kostnad kr/kvm ",$P$5)</f>
        <v>Kostnad kr/kvm 2026</v>
      </c>
      <c r="T33" s="393" t="s">
        <v>193</v>
      </c>
      <c r="U33" s="394" t="s">
        <v>144</v>
      </c>
      <c r="V33" s="506"/>
      <c r="W33" s="369" t="s">
        <v>194</v>
      </c>
      <c r="X33" s="399" t="s">
        <v>195</v>
      </c>
      <c r="Y33" s="399" t="str">
        <f>CONCATENATE("jmf budget kolumn ",$P$5)</f>
        <v>jmf budget kolumn 2026</v>
      </c>
    </row>
    <row r="34" spans="1:25" ht="15">
      <c r="A34" s="728"/>
      <c r="B34" s="506"/>
      <c r="C34" s="627" t="s">
        <v>196</v>
      </c>
      <c r="D34" s="627"/>
      <c r="E34" s="627"/>
      <c r="F34" s="627"/>
      <c r="G34" s="360">
        <v>0</v>
      </c>
      <c r="H34" s="360">
        <v>0</v>
      </c>
      <c r="I34" s="323">
        <f t="shared" ref="I34:I39" si="25">IFERROR(SUMPRODUCT(G34:H34,$F$28:$G$28)/$H$28,0)</f>
        <v>0</v>
      </c>
      <c r="J34" s="506"/>
      <c r="K34" s="628" t="str">
        <f>LEFT(C34,15)&amp;"."</f>
        <v>Fastighetssköts.</v>
      </c>
      <c r="L34" s="363">
        <v>0</v>
      </c>
      <c r="M34" s="364">
        <v>0</v>
      </c>
      <c r="N34" s="319">
        <f>L34+M34</f>
        <v>0</v>
      </c>
      <c r="O34" s="506"/>
      <c r="P34" s="629"/>
      <c r="Q34" s="630"/>
      <c r="R34" s="607"/>
      <c r="S34" s="610"/>
      <c r="T34" s="623">
        <f>IF(U34&lt;&gt;0,U34*((1+$M$9)^($R34-$P$5)),S34*((1+$M$9)^($R34-$P$5)))</f>
        <v>0</v>
      </c>
      <c r="U34" s="631"/>
      <c r="V34" s="506"/>
      <c r="W34" s="267">
        <f t="shared" ref="W34:W38" si="26">IFERROR(SUMIF($C$23:$C$27,$Q34,$H$23:$H$27)*$T34,"")</f>
        <v>0</v>
      </c>
      <c r="X34" s="267">
        <f t="shared" ref="X34:X38" si="27">IF($U34=0,$S34*SUMIF($C$23:$C$27,$Q34,$H$23:$H$27),$U34*SUMIF($C$23:$C$27,$Q34,$H$23:$H$27))</f>
        <v>0</v>
      </c>
      <c r="Y34" s="267">
        <f t="shared" ref="Y34:Y38" si="28">IFERROR(SUMIF($C$23:$C$27,$Q34,$H$23:$H$27)*$S34,"")</f>
        <v>0</v>
      </c>
    </row>
    <row r="35" spans="1:25" ht="15">
      <c r="A35" s="728"/>
      <c r="B35" s="506"/>
      <c r="C35" s="588" t="s">
        <v>197</v>
      </c>
      <c r="D35" s="588"/>
      <c r="E35" s="588"/>
      <c r="F35" s="588"/>
      <c r="G35" s="361">
        <v>0</v>
      </c>
      <c r="H35" s="361">
        <v>0</v>
      </c>
      <c r="I35" s="324">
        <f t="shared" si="25"/>
        <v>0</v>
      </c>
      <c r="J35" s="506"/>
      <c r="K35" s="628" t="str">
        <f t="shared" ref="K35:K38" si="29">LEFT(C35,15)&amp;"."</f>
        <v>Reparationer.</v>
      </c>
      <c r="L35" s="363">
        <v>0</v>
      </c>
      <c r="M35" s="364">
        <v>0</v>
      </c>
      <c r="N35" s="319">
        <f>L35+M35</f>
        <v>0</v>
      </c>
      <c r="O35" s="506"/>
      <c r="P35" s="609"/>
      <c r="Q35" s="610"/>
      <c r="R35" s="607"/>
      <c r="S35" s="610"/>
      <c r="T35" s="623">
        <f t="shared" ref="T35:T39" si="30">IF(U35&lt;&gt;0,U35,S35*(1+$M$9)^($R35-$P$5))</f>
        <v>0</v>
      </c>
      <c r="U35" s="631"/>
      <c r="V35" s="506"/>
      <c r="W35" s="267">
        <f t="shared" si="26"/>
        <v>0</v>
      </c>
      <c r="X35" s="267">
        <f t="shared" si="27"/>
        <v>0</v>
      </c>
      <c r="Y35" s="267">
        <f t="shared" si="28"/>
        <v>0</v>
      </c>
    </row>
    <row r="36" spans="1:25" ht="15">
      <c r="A36" s="728"/>
      <c r="B36" s="506"/>
      <c r="C36" s="588" t="s">
        <v>198</v>
      </c>
      <c r="D36" s="588"/>
      <c r="E36" s="588"/>
      <c r="F36" s="588"/>
      <c r="G36" s="361">
        <v>0</v>
      </c>
      <c r="H36" s="361">
        <v>0</v>
      </c>
      <c r="I36" s="324">
        <f t="shared" si="25"/>
        <v>0</v>
      </c>
      <c r="J36" s="506"/>
      <c r="K36" s="628" t="str">
        <f t="shared" si="29"/>
        <v>Planerat underh.</v>
      </c>
      <c r="L36" s="363">
        <v>0</v>
      </c>
      <c r="M36" s="364">
        <v>0</v>
      </c>
      <c r="N36" s="319">
        <f>L36+M36</f>
        <v>0</v>
      </c>
      <c r="O36" s="506"/>
      <c r="P36" s="609"/>
      <c r="Q36" s="610"/>
      <c r="R36" s="607"/>
      <c r="S36" s="610"/>
      <c r="T36" s="623">
        <f t="shared" si="30"/>
        <v>0</v>
      </c>
      <c r="U36" s="612"/>
      <c r="V36" s="506"/>
      <c r="W36" s="267">
        <f t="shared" si="26"/>
        <v>0</v>
      </c>
      <c r="X36" s="267">
        <f t="shared" si="27"/>
        <v>0</v>
      </c>
      <c r="Y36" s="267">
        <f t="shared" si="28"/>
        <v>0</v>
      </c>
    </row>
    <row r="37" spans="1:25" ht="15">
      <c r="A37" s="728"/>
      <c r="B37" s="506"/>
      <c r="C37" s="588" t="s">
        <v>199</v>
      </c>
      <c r="D37" s="588"/>
      <c r="E37" s="588"/>
      <c r="F37" s="588"/>
      <c r="G37" s="361">
        <v>0</v>
      </c>
      <c r="H37" s="361">
        <v>0</v>
      </c>
      <c r="I37" s="324">
        <f t="shared" si="25"/>
        <v>0</v>
      </c>
      <c r="J37" s="506"/>
      <c r="K37" s="628" t="str">
        <f t="shared" si="29"/>
        <v>Media.</v>
      </c>
      <c r="L37" s="363">
        <v>0</v>
      </c>
      <c r="M37" s="364">
        <v>0</v>
      </c>
      <c r="N37" s="319">
        <f>L37+M37</f>
        <v>0</v>
      </c>
      <c r="O37" s="506"/>
      <c r="P37" s="609"/>
      <c r="Q37" s="610"/>
      <c r="R37" s="607"/>
      <c r="S37" s="610"/>
      <c r="T37" s="623">
        <f t="shared" si="30"/>
        <v>0</v>
      </c>
      <c r="U37" s="612"/>
      <c r="V37" s="506"/>
      <c r="W37" s="267">
        <f t="shared" si="26"/>
        <v>0</v>
      </c>
      <c r="X37" s="267">
        <f t="shared" si="27"/>
        <v>0</v>
      </c>
      <c r="Y37" s="267">
        <f t="shared" si="28"/>
        <v>0</v>
      </c>
    </row>
    <row r="38" spans="1:25" ht="15">
      <c r="A38" s="728"/>
      <c r="B38" s="506"/>
      <c r="C38" s="632" t="s">
        <v>200</v>
      </c>
      <c r="D38" s="632"/>
      <c r="E38" s="632"/>
      <c r="F38" s="632"/>
      <c r="G38" s="362">
        <v>0</v>
      </c>
      <c r="H38" s="362">
        <v>405</v>
      </c>
      <c r="I38" s="325">
        <f t="shared" si="25"/>
        <v>405</v>
      </c>
      <c r="J38" s="506"/>
      <c r="K38" s="633" t="str">
        <f t="shared" si="29"/>
        <v>Övriga förvaltn.</v>
      </c>
      <c r="L38" s="365">
        <v>0</v>
      </c>
      <c r="M38" s="366">
        <v>0</v>
      </c>
      <c r="N38" s="320">
        <f>L38+M38</f>
        <v>0</v>
      </c>
      <c r="O38" s="506"/>
      <c r="P38" s="609"/>
      <c r="Q38" s="610"/>
      <c r="R38" s="607"/>
      <c r="S38" s="610"/>
      <c r="T38" s="623">
        <f t="shared" si="30"/>
        <v>0</v>
      </c>
      <c r="U38" s="612"/>
      <c r="V38" s="506"/>
      <c r="W38" s="267">
        <f t="shared" si="26"/>
        <v>0</v>
      </c>
      <c r="X38" s="267">
        <f t="shared" si="27"/>
        <v>0</v>
      </c>
      <c r="Y38" s="267">
        <f t="shared" si="28"/>
        <v>0</v>
      </c>
    </row>
    <row r="39" spans="1:25" ht="15">
      <c r="A39" s="728"/>
      <c r="B39" s="506"/>
      <c r="C39" s="310" t="s">
        <v>201</v>
      </c>
      <c r="D39" s="310"/>
      <c r="E39" s="310"/>
      <c r="F39" s="310"/>
      <c r="G39" s="310">
        <f>SUM(G34:G38)</f>
        <v>0</v>
      </c>
      <c r="H39" s="310">
        <f>SUM(H34:H38)</f>
        <v>405</v>
      </c>
      <c r="I39" s="326">
        <f t="shared" si="25"/>
        <v>405</v>
      </c>
      <c r="J39" s="506"/>
      <c r="K39" s="322" t="str">
        <f t="shared" ref="K39" si="31">C39</f>
        <v>Summa kostnader</v>
      </c>
      <c r="L39" s="313">
        <f>IFERROR((#REF!*#REF!+#REF!*#REF!+#REF!*#REF!)/$I$39,0)</f>
        <v>0</v>
      </c>
      <c r="M39" s="314">
        <f>IFERROR((#REF!*#REF!+#REF!*#REF!+#REF!*#REF!)/$I$39,0)</f>
        <v>0</v>
      </c>
      <c r="N39" s="321">
        <f>IFERROR((#REF!*#REF!+#REF!*#REF!+#REF!*#REF!)/$I$39,0)</f>
        <v>0</v>
      </c>
      <c r="O39" s="506"/>
      <c r="P39" s="634"/>
      <c r="Q39" s="635"/>
      <c r="R39" s="636"/>
      <c r="S39" s="635"/>
      <c r="T39" s="626">
        <f t="shared" si="30"/>
        <v>0</v>
      </c>
      <c r="U39" s="637"/>
      <c r="V39" s="506"/>
      <c r="W39" s="318">
        <f>SUM(W34:W38)</f>
        <v>0</v>
      </c>
      <c r="X39" s="318">
        <f>SUM(X34:X38)</f>
        <v>0</v>
      </c>
      <c r="Y39" s="318">
        <f>SUM(Y34:Y38)</f>
        <v>0</v>
      </c>
    </row>
    <row r="41" spans="1:25">
      <c r="A41" s="506"/>
      <c r="B41" s="506"/>
      <c r="C41" s="721"/>
      <c r="D41" s="721"/>
      <c r="E41" s="721"/>
      <c r="F41" s="721"/>
      <c r="G41" s="721"/>
      <c r="H41" s="721"/>
      <c r="I41" s="721"/>
      <c r="J41" s="721"/>
      <c r="K41" s="721"/>
      <c r="L41" s="721"/>
      <c r="M41" s="721"/>
      <c r="N41" s="721"/>
      <c r="O41" s="506"/>
      <c r="P41" s="506"/>
      <c r="Q41" s="506"/>
      <c r="R41" s="506"/>
      <c r="S41" s="506"/>
      <c r="T41" s="506"/>
      <c r="U41" s="506"/>
      <c r="V41" s="506"/>
      <c r="W41" s="506"/>
      <c r="X41" s="506"/>
      <c r="Y41" s="506"/>
    </row>
    <row r="42" spans="1:25">
      <c r="A42" s="506"/>
      <c r="B42" s="506"/>
      <c r="C42" s="346" t="s">
        <v>202</v>
      </c>
      <c r="D42" s="347"/>
      <c r="E42" s="347"/>
      <c r="F42" s="347"/>
      <c r="G42" s="347"/>
      <c r="H42" s="347"/>
      <c r="I42" s="347"/>
      <c r="J42" s="347"/>
      <c r="K42" s="347"/>
      <c r="L42" s="347"/>
      <c r="M42" s="347"/>
      <c r="N42" s="348"/>
      <c r="O42" s="506"/>
      <c r="P42" s="506"/>
      <c r="Q42" s="506"/>
      <c r="R42" s="506"/>
      <c r="S42" s="506"/>
      <c r="T42" s="506"/>
      <c r="U42" s="506"/>
      <c r="V42" s="506"/>
      <c r="W42" s="506"/>
      <c r="X42" s="506"/>
      <c r="Y42" s="506"/>
    </row>
    <row r="43" spans="1:25">
      <c r="A43" s="506"/>
      <c r="B43" s="506"/>
      <c r="C43" s="346"/>
      <c r="D43" s="347"/>
      <c r="E43" s="347"/>
      <c r="F43" s="347"/>
      <c r="G43" s="347"/>
      <c r="H43" s="347"/>
      <c r="I43" s="347"/>
      <c r="J43" s="347"/>
      <c r="K43" s="347"/>
      <c r="L43" s="347"/>
      <c r="M43" s="347"/>
      <c r="N43" s="348"/>
      <c r="O43" s="506"/>
      <c r="P43" s="506"/>
      <c r="Q43" s="506"/>
      <c r="R43" s="506"/>
      <c r="S43" s="506"/>
      <c r="T43" s="506"/>
      <c r="U43" s="506"/>
      <c r="V43" s="525"/>
      <c r="W43" s="506"/>
      <c r="X43" s="506"/>
      <c r="Y43" s="506"/>
    </row>
    <row r="44" spans="1:25">
      <c r="A44" s="506"/>
      <c r="B44" s="506"/>
      <c r="C44" s="346"/>
      <c r="D44" s="347"/>
      <c r="E44" s="347"/>
      <c r="F44" s="347"/>
      <c r="G44" s="347"/>
      <c r="H44" s="347"/>
      <c r="I44" s="347"/>
      <c r="J44" s="347"/>
      <c r="K44" s="347"/>
      <c r="L44" s="347"/>
      <c r="M44" s="347"/>
      <c r="N44" s="348"/>
      <c r="O44" s="506"/>
      <c r="P44" s="506"/>
      <c r="Q44" s="506"/>
      <c r="R44" s="506"/>
      <c r="S44" s="506"/>
      <c r="T44" s="506"/>
      <c r="U44" s="506"/>
      <c r="V44" s="506"/>
      <c r="W44" s="506"/>
      <c r="X44" s="506"/>
      <c r="Y44" s="506"/>
    </row>
    <row r="45" spans="1:25">
      <c r="A45" s="506"/>
      <c r="B45" s="506"/>
      <c r="C45" s="346"/>
      <c r="D45" s="347"/>
      <c r="E45" s="347"/>
      <c r="F45" s="347"/>
      <c r="G45" s="347"/>
      <c r="H45" s="347"/>
      <c r="I45" s="347"/>
      <c r="J45" s="347"/>
      <c r="K45" s="347"/>
      <c r="L45" s="347"/>
      <c r="M45" s="347"/>
      <c r="N45" s="348"/>
      <c r="O45" s="506"/>
      <c r="P45" s="506"/>
      <c r="Q45" s="506"/>
      <c r="R45" s="506"/>
      <c r="S45" s="506"/>
      <c r="T45" s="506"/>
      <c r="U45" s="506"/>
      <c r="V45" s="506"/>
      <c r="W45" s="506"/>
      <c r="X45" s="506"/>
      <c r="Y45" s="506"/>
    </row>
    <row r="46" spans="1:25">
      <c r="A46" s="506"/>
      <c r="B46" s="506"/>
      <c r="C46" s="346"/>
      <c r="D46" s="347"/>
      <c r="E46" s="347"/>
      <c r="F46" s="347"/>
      <c r="G46" s="347"/>
      <c r="H46" s="347"/>
      <c r="I46" s="347"/>
      <c r="J46" s="347"/>
      <c r="K46" s="347"/>
      <c r="L46" s="347"/>
      <c r="M46" s="347"/>
      <c r="N46" s="348"/>
      <c r="O46" s="506"/>
      <c r="P46" s="506"/>
      <c r="Q46" s="506"/>
      <c r="R46" s="506"/>
      <c r="S46" s="506"/>
      <c r="T46" s="506"/>
      <c r="U46" s="506"/>
      <c r="V46" s="506"/>
      <c r="W46" s="506"/>
      <c r="X46" s="506"/>
      <c r="Y46" s="506"/>
    </row>
    <row r="47" spans="1:25">
      <c r="A47" s="506"/>
      <c r="B47" s="506"/>
      <c r="C47" s="346"/>
      <c r="D47" s="347"/>
      <c r="E47" s="347"/>
      <c r="F47" s="347"/>
      <c r="G47" s="347"/>
      <c r="H47" s="347"/>
      <c r="I47" s="347"/>
      <c r="J47" s="347"/>
      <c r="K47" s="347"/>
      <c r="L47" s="347"/>
      <c r="M47" s="347"/>
      <c r="N47" s="348"/>
      <c r="O47" s="506"/>
      <c r="P47" s="506"/>
      <c r="Q47" s="506"/>
      <c r="R47" s="506"/>
      <c r="S47" s="506"/>
      <c r="T47" s="506"/>
      <c r="U47" s="506"/>
      <c r="V47" s="506"/>
      <c r="W47" s="506"/>
      <c r="X47" s="506"/>
      <c r="Y47" s="506"/>
    </row>
    <row r="48" spans="1:25">
      <c r="A48" s="506"/>
      <c r="B48" s="506"/>
      <c r="C48" s="346"/>
      <c r="D48" s="347"/>
      <c r="E48" s="347"/>
      <c r="F48" s="347"/>
      <c r="G48" s="347"/>
      <c r="H48" s="347"/>
      <c r="I48" s="347"/>
      <c r="J48" s="347"/>
      <c r="K48" s="347"/>
      <c r="L48" s="347"/>
      <c r="M48" s="347"/>
      <c r="N48" s="348"/>
      <c r="O48" s="506"/>
      <c r="P48" s="506"/>
      <c r="Q48" s="506"/>
      <c r="R48" s="506"/>
      <c r="S48" s="506"/>
      <c r="T48" s="506"/>
      <c r="U48" s="506"/>
      <c r="V48" s="506"/>
      <c r="W48" s="506"/>
      <c r="X48" s="506"/>
      <c r="Y48" s="506"/>
    </row>
    <row r="49" spans="1:14">
      <c r="C49" s="346"/>
      <c r="D49" s="347"/>
      <c r="E49" s="347"/>
      <c r="F49" s="347"/>
      <c r="G49" s="347"/>
      <c r="H49" s="347"/>
      <c r="I49" s="347"/>
      <c r="J49" s="347"/>
      <c r="K49" s="347"/>
      <c r="L49" s="347"/>
      <c r="M49" s="347"/>
      <c r="N49" s="348"/>
    </row>
    <row r="50" spans="1:14">
      <c r="C50" s="346"/>
      <c r="D50" s="347"/>
      <c r="E50" s="347"/>
      <c r="F50" s="347"/>
      <c r="G50" s="347"/>
      <c r="H50" s="347"/>
      <c r="I50" s="347"/>
      <c r="J50" s="347"/>
      <c r="K50" s="347"/>
      <c r="L50" s="347"/>
      <c r="M50" s="347"/>
      <c r="N50" s="348"/>
    </row>
    <row r="52" spans="1:14" ht="23.25">
      <c r="C52" s="185" t="s">
        <v>374</v>
      </c>
    </row>
    <row r="53" spans="1:14">
      <c r="C53" s="746" t="s">
        <v>375</v>
      </c>
    </row>
    <row r="54" spans="1:14" ht="34.5" customHeight="1">
      <c r="A54" s="745">
        <v>4</v>
      </c>
      <c r="C54" s="391" t="s">
        <v>376</v>
      </c>
      <c r="D54" s="391"/>
      <c r="E54" s="391"/>
      <c r="F54" s="391"/>
      <c r="G54" s="392" t="str">
        <f>IF($C$23="","Objekt 1",$C$23)</f>
        <v>Skola</v>
      </c>
      <c r="H54" s="392" t="str">
        <f>IF($C$24="","Objekt 2",$C$24)</f>
        <v>Objekt 2</v>
      </c>
      <c r="I54" s="392" t="str">
        <f>IF($C$25="","Objekt 3",$C$25)</f>
        <v>Objekt 3</v>
      </c>
      <c r="J54" s="392" t="str">
        <f>IF($C$26="","Objekt 4",$C$26)</f>
        <v>Objekt 4</v>
      </c>
      <c r="K54" s="392" t="str">
        <f>IF($C$27="","Objekt 5",$C$27)</f>
        <v>Objekt 5</v>
      </c>
      <c r="L54" s="392" t="s">
        <v>158</v>
      </c>
    </row>
    <row r="55" spans="1:14">
      <c r="A55" s="745"/>
      <c r="C55" s="627" t="s">
        <v>114</v>
      </c>
      <c r="D55" s="627"/>
      <c r="E55" s="627"/>
      <c r="F55" s="627"/>
      <c r="G55" s="616"/>
      <c r="H55" s="616"/>
      <c r="I55" s="616"/>
      <c r="J55" s="616"/>
      <c r="K55" s="616"/>
      <c r="L55" s="617">
        <f>SUM(G55:K55)</f>
        <v>0</v>
      </c>
    </row>
    <row r="56" spans="1:14">
      <c r="A56" s="745"/>
      <c r="C56" s="627" t="s">
        <v>117</v>
      </c>
      <c r="D56" s="627"/>
      <c r="E56" s="627"/>
      <c r="F56" s="627"/>
      <c r="G56" s="616"/>
      <c r="H56" s="616"/>
      <c r="I56" s="616"/>
      <c r="J56" s="616"/>
      <c r="K56" s="616"/>
      <c r="L56" s="617">
        <f>SUM(G56:K56)</f>
        <v>0</v>
      </c>
    </row>
    <row r="57" spans="1:14">
      <c r="A57" s="745"/>
      <c r="C57" s="627" t="s">
        <v>121</v>
      </c>
      <c r="D57" s="627"/>
      <c r="E57" s="627"/>
      <c r="F57" s="627"/>
      <c r="G57" s="616"/>
      <c r="H57" s="616"/>
      <c r="I57" s="616"/>
      <c r="J57" s="616"/>
      <c r="K57" s="616"/>
      <c r="L57" s="617">
        <f>SUM(G57:K57)</f>
        <v>0</v>
      </c>
    </row>
    <row r="58" spans="1:14">
      <c r="A58" s="745"/>
      <c r="C58" s="627" t="s">
        <v>126</v>
      </c>
      <c r="D58" s="627"/>
      <c r="E58" s="627"/>
      <c r="F58" s="627"/>
      <c r="G58" s="616">
        <v>240000000</v>
      </c>
      <c r="H58" s="616"/>
      <c r="I58" s="616"/>
      <c r="J58" s="616"/>
      <c r="K58" s="616"/>
      <c r="L58" s="617">
        <f>SUM(G58:K58)</f>
        <v>240000000</v>
      </c>
    </row>
    <row r="59" spans="1:14">
      <c r="A59" s="745"/>
      <c r="C59" s="627" t="s">
        <v>128</v>
      </c>
      <c r="D59" s="627"/>
      <c r="E59" s="627"/>
      <c r="F59" s="627"/>
      <c r="G59" s="616"/>
      <c r="H59" s="616"/>
      <c r="I59" s="616"/>
      <c r="J59" s="616"/>
      <c r="K59" s="616"/>
      <c r="L59" s="617">
        <f>SUM(G59:K59)</f>
        <v>0</v>
      </c>
    </row>
    <row r="60" spans="1:14">
      <c r="A60" s="745"/>
      <c r="C60" s="627" t="s">
        <v>132</v>
      </c>
      <c r="D60" s="627"/>
      <c r="E60" s="627"/>
      <c r="F60" s="627"/>
      <c r="G60" s="616"/>
      <c r="H60" s="616"/>
      <c r="I60" s="616"/>
      <c r="J60" s="616"/>
      <c r="K60" s="616"/>
      <c r="L60" s="617">
        <f>SUM(G60:K60)</f>
        <v>0</v>
      </c>
    </row>
    <row r="61" spans="1:14">
      <c r="A61" s="745"/>
      <c r="C61" s="627" t="s">
        <v>96</v>
      </c>
      <c r="D61" s="627"/>
      <c r="E61" s="627"/>
      <c r="F61" s="627"/>
      <c r="G61" s="616"/>
      <c r="H61" s="616"/>
      <c r="I61" s="616"/>
      <c r="J61" s="616"/>
      <c r="K61" s="616"/>
      <c r="L61" s="617">
        <f>SUM(G61:K61)</f>
        <v>0</v>
      </c>
    </row>
    <row r="62" spans="1:14">
      <c r="A62" s="745"/>
      <c r="C62" s="627" t="s">
        <v>138</v>
      </c>
      <c r="D62" s="627"/>
      <c r="E62" s="627"/>
      <c r="F62" s="627"/>
      <c r="G62" s="616"/>
      <c r="H62" s="616"/>
      <c r="I62" s="616"/>
      <c r="J62" s="616"/>
      <c r="K62" s="616"/>
      <c r="L62" s="617">
        <f>SUM(G62:K62)</f>
        <v>0</v>
      </c>
    </row>
    <row r="63" spans="1:14">
      <c r="A63" s="745"/>
      <c r="C63" s="627" t="s">
        <v>140</v>
      </c>
      <c r="D63" s="627"/>
      <c r="E63" s="627"/>
      <c r="F63" s="627"/>
      <c r="G63" s="616"/>
      <c r="H63" s="616"/>
      <c r="I63" s="616"/>
      <c r="J63" s="616"/>
      <c r="K63" s="616"/>
      <c r="L63" s="617">
        <f>SUM(G63:K63)</f>
        <v>0</v>
      </c>
    </row>
    <row r="64" spans="1:14">
      <c r="A64" s="745"/>
      <c r="C64" s="627" t="s">
        <v>145</v>
      </c>
      <c r="D64" s="627"/>
      <c r="E64" s="627"/>
      <c r="F64" s="627"/>
      <c r="G64" s="616"/>
      <c r="H64" s="616"/>
      <c r="I64" s="616"/>
      <c r="J64" s="616"/>
      <c r="K64" s="616"/>
      <c r="L64" s="617">
        <f>SUM(G64:K64)</f>
        <v>0</v>
      </c>
    </row>
    <row r="65" spans="1:22">
      <c r="A65" s="745"/>
      <c r="C65" s="627" t="s">
        <v>149</v>
      </c>
      <c r="D65" s="627"/>
      <c r="E65" s="627"/>
      <c r="F65" s="627"/>
      <c r="G65" s="616"/>
      <c r="H65" s="616"/>
      <c r="I65" s="616"/>
      <c r="J65" s="616"/>
      <c r="K65" s="616"/>
      <c r="L65" s="617">
        <f>SUM(G65:K65)</f>
        <v>0</v>
      </c>
    </row>
    <row r="66" spans="1:22">
      <c r="A66" s="745"/>
      <c r="C66" s="627" t="s">
        <v>154</v>
      </c>
      <c r="D66" s="627"/>
      <c r="E66" s="627"/>
      <c r="F66" s="627"/>
      <c r="G66" s="616"/>
      <c r="H66" s="616"/>
      <c r="I66" s="616"/>
      <c r="J66" s="616"/>
      <c r="K66" s="616"/>
      <c r="L66" s="617">
        <f>SUM(G66:K66)</f>
        <v>0</v>
      </c>
    </row>
    <row r="67" spans="1:22">
      <c r="A67" s="745"/>
      <c r="C67" s="627" t="s">
        <v>155</v>
      </c>
      <c r="D67" s="627"/>
      <c r="E67" s="627"/>
      <c r="F67" s="627"/>
      <c r="G67" s="616"/>
      <c r="H67" s="616"/>
      <c r="I67" s="616"/>
      <c r="J67" s="616"/>
      <c r="K67" s="616"/>
      <c r="L67" s="617">
        <f>SUM(G67:K67)</f>
        <v>0</v>
      </c>
    </row>
    <row r="68" spans="1:22">
      <c r="A68" s="745"/>
      <c r="C68" s="627" t="s">
        <v>156</v>
      </c>
      <c r="D68" s="627"/>
      <c r="E68" s="627"/>
      <c r="F68" s="627"/>
      <c r="G68" s="616"/>
      <c r="H68" s="616"/>
      <c r="I68" s="616"/>
      <c r="J68" s="616"/>
      <c r="K68" s="616"/>
      <c r="L68" s="617">
        <f>SUM(G68:K68)</f>
        <v>0</v>
      </c>
    </row>
    <row r="69" spans="1:22" ht="15">
      <c r="A69" s="745"/>
      <c r="C69" s="751" t="s">
        <v>38</v>
      </c>
      <c r="D69" s="751"/>
      <c r="E69" s="751"/>
      <c r="F69" s="751"/>
      <c r="G69" s="617">
        <f>SUM(G55:G68)</f>
        <v>240000000</v>
      </c>
      <c r="H69" s="617">
        <f>SUM(H55:H68)</f>
        <v>0</v>
      </c>
      <c r="I69" s="617">
        <f>SUM(I55:I68)</f>
        <v>0</v>
      </c>
      <c r="J69" s="617">
        <f>SUM(J55:J68)</f>
        <v>0</v>
      </c>
      <c r="K69" s="617">
        <f>SUM(K55:K68)</f>
        <v>0</v>
      </c>
      <c r="L69" s="617">
        <f>SUM(G69:K69)</f>
        <v>240000000</v>
      </c>
    </row>
    <row r="70" spans="1:22">
      <c r="A70" s="745"/>
      <c r="C70" s="627" t="s">
        <v>377</v>
      </c>
      <c r="D70" s="627"/>
      <c r="E70" s="627"/>
      <c r="F70" s="627"/>
      <c r="G70" s="617">
        <f>IFERROR(G69/$H23,0)</f>
        <v>39344.262295081964</v>
      </c>
      <c r="H70" s="617">
        <f>IFERROR(H69/$H24,0)</f>
        <v>0</v>
      </c>
      <c r="I70" s="617">
        <f>IFERROR(I69/$H25,0)</f>
        <v>0</v>
      </c>
      <c r="J70" s="617">
        <f>IFERROR(J69/$H26,0)</f>
        <v>0</v>
      </c>
      <c r="K70" s="617">
        <f>IFERROR(K69/$H27,0)</f>
        <v>0</v>
      </c>
      <c r="L70" s="617">
        <f>IFERROR(L69/$H$28,0)</f>
        <v>39344.262295081964</v>
      </c>
    </row>
    <row r="72" spans="1:22" ht="23.25">
      <c r="C72" s="185" t="s">
        <v>350</v>
      </c>
    </row>
    <row r="73" spans="1:22">
      <c r="C73" s="746" t="s">
        <v>355</v>
      </c>
    </row>
    <row r="74" spans="1:22" ht="34.5" customHeight="1">
      <c r="A74" s="745">
        <v>5</v>
      </c>
      <c r="C74" s="391" t="s">
        <v>351</v>
      </c>
      <c r="D74" s="391"/>
      <c r="E74" s="391"/>
      <c r="F74" s="391"/>
      <c r="G74" s="392" t="s">
        <v>352</v>
      </c>
      <c r="H74" s="392" t="s">
        <v>353</v>
      </c>
      <c r="I74" s="392" t="s">
        <v>354</v>
      </c>
      <c r="J74" s="392"/>
      <c r="K74" s="392"/>
      <c r="L74" s="392"/>
      <c r="M74" s="392"/>
      <c r="N74" s="392"/>
      <c r="O74" s="392"/>
      <c r="P74" s="392"/>
      <c r="Q74" s="392"/>
      <c r="R74" s="392"/>
      <c r="S74" s="392"/>
      <c r="T74" s="392"/>
      <c r="U74" s="392"/>
    </row>
    <row r="75" spans="1:22">
      <c r="A75" s="745"/>
      <c r="C75" s="627" t="s">
        <v>362</v>
      </c>
      <c r="D75" s="627"/>
      <c r="E75" s="627"/>
      <c r="F75" s="627"/>
      <c r="G75" s="482" t="s">
        <v>359</v>
      </c>
      <c r="H75" s="483">
        <f>IFERROR((MATCH(G75,$AC$5:$AC$9,0)-3)*0.0025,0)</f>
        <v>0</v>
      </c>
      <c r="I75" s="747"/>
      <c r="J75" s="748"/>
      <c r="K75" s="748"/>
      <c r="L75" s="748"/>
      <c r="M75" s="748"/>
      <c r="N75" s="748"/>
      <c r="O75" s="748"/>
      <c r="P75" s="748"/>
      <c r="Q75" s="748"/>
      <c r="R75" s="748"/>
      <c r="S75" s="748"/>
      <c r="T75" s="748"/>
      <c r="U75" s="748"/>
      <c r="V75" s="746" t="s">
        <v>363</v>
      </c>
    </row>
    <row r="76" spans="1:22">
      <c r="A76" s="745"/>
      <c r="C76" s="627" t="s">
        <v>364</v>
      </c>
      <c r="D76" s="627"/>
      <c r="E76" s="627"/>
      <c r="F76" s="627"/>
      <c r="G76" s="482" t="s">
        <v>359</v>
      </c>
      <c r="H76" s="483">
        <f>IFERROR((MATCH(G76,$AC$5:$AC$9,0)-3)*0.0025,0)</f>
        <v>0</v>
      </c>
      <c r="I76" s="749"/>
      <c r="J76" s="750"/>
      <c r="K76" s="750"/>
      <c r="L76" s="750"/>
      <c r="M76" s="750"/>
      <c r="N76" s="750"/>
      <c r="O76" s="750"/>
      <c r="P76" s="750"/>
      <c r="Q76" s="750"/>
      <c r="R76" s="750"/>
      <c r="S76" s="750"/>
      <c r="T76" s="750"/>
      <c r="U76" s="750"/>
      <c r="V76" s="746" t="s">
        <v>365</v>
      </c>
    </row>
    <row r="77" spans="1:22">
      <c r="A77" s="745"/>
      <c r="C77" s="627" t="s">
        <v>366</v>
      </c>
      <c r="D77" s="627"/>
      <c r="E77" s="627"/>
      <c r="F77" s="627"/>
      <c r="G77" s="482" t="s">
        <v>359</v>
      </c>
      <c r="H77" s="483">
        <f>IFERROR((MATCH(G77,$AC$5:$AC$9,0)-3)*0.0025,0)</f>
        <v>0</v>
      </c>
      <c r="I77" s="749"/>
      <c r="J77" s="750"/>
      <c r="K77" s="750"/>
      <c r="L77" s="750"/>
      <c r="M77" s="750"/>
      <c r="N77" s="750"/>
      <c r="O77" s="750"/>
      <c r="P77" s="750"/>
      <c r="Q77" s="750"/>
      <c r="R77" s="750"/>
      <c r="S77" s="750"/>
      <c r="T77" s="750"/>
      <c r="U77" s="750"/>
      <c r="V77" s="746" t="s">
        <v>367</v>
      </c>
    </row>
    <row r="78" spans="1:22">
      <c r="A78" s="745"/>
      <c r="C78" s="627" t="s">
        <v>368</v>
      </c>
      <c r="D78" s="627"/>
      <c r="E78" s="627"/>
      <c r="F78" s="627"/>
      <c r="G78" s="482" t="s">
        <v>359</v>
      </c>
      <c r="H78" s="483">
        <f>IFERROR((MATCH(G78,$AC$5:$AC$9,0)-3)*0.0025,0)</f>
        <v>0</v>
      </c>
      <c r="I78" s="749"/>
      <c r="J78" s="750"/>
      <c r="K78" s="750"/>
      <c r="L78" s="750"/>
      <c r="M78" s="750"/>
      <c r="N78" s="750"/>
      <c r="O78" s="750"/>
      <c r="P78" s="750"/>
      <c r="Q78" s="750"/>
      <c r="R78" s="750"/>
      <c r="S78" s="750"/>
      <c r="T78" s="750"/>
      <c r="U78" s="750"/>
      <c r="V78" s="746" t="s">
        <v>369</v>
      </c>
    </row>
    <row r="79" spans="1:22" ht="15">
      <c r="A79" s="745"/>
      <c r="C79" s="751" t="s">
        <v>370</v>
      </c>
      <c r="D79" s="627"/>
      <c r="E79" s="627"/>
      <c r="F79" s="627"/>
      <c r="H79" s="752">
        <f>SUM(H75:H78)</f>
        <v>0</v>
      </c>
    </row>
    <row r="80" spans="1:22">
      <c r="A80" s="745"/>
      <c r="C80" s="627" t="s">
        <v>371</v>
      </c>
      <c r="D80" s="627"/>
      <c r="E80" s="627"/>
      <c r="F80" s="627"/>
      <c r="H80" s="483">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40">
    <mergeCell ref="A54:A70"/>
    <mergeCell ref="I18:M18"/>
    <mergeCell ref="D17:E17"/>
    <mergeCell ref="G17:H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5E615C66-1995-4C21-87A3-2D54BF25B336}">
      <formula1>$AC$5:$AC$9</formula1>
    </dataValidation>
  </dataValidations>
  <pageMargins left="0.23622047244094491" right="0.23622047244094491" top="1.1811023622047245" bottom="0.74803149606299213" header="0.31496062992125984" footer="0.31496062992125984"/>
  <pageSetup paperSize="8" scale="94"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18" min="2" max="20" man="1"/>
    <brk id="30" min="2" max="20" man="1"/>
  </rowBreaks>
  <colBreaks count="1" manualBreakCount="1">
    <brk id="13" min="2" max="80" man="1"/>
  </colBreaks>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sheetPr>
  <dimension ref="A1:BI61"/>
  <sheetViews>
    <sheetView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53" width="12.875" style="11" customWidth="1"/>
    <col min="54" max="54" width="9" style="11"/>
    <col min="55" max="16384" width="9" style="12"/>
  </cols>
  <sheetData>
    <row r="1" spans="2:54" s="11" customFormat="1" hidden="1">
      <c r="B1" s="209" t="s">
        <v>203</v>
      </c>
      <c r="C1" s="211">
        <f ca="1">NOW()</f>
        <v>46295.951476273149</v>
      </c>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6"/>
      <c r="BA1" s="506"/>
      <c r="BB1" s="506"/>
    </row>
    <row r="2" spans="2:54" s="11" customFormat="1" hidden="1">
      <c r="B2" s="506"/>
      <c r="C2" s="638"/>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T2" s="506"/>
      <c r="AU2" s="506"/>
      <c r="AV2" s="506"/>
      <c r="AW2" s="506"/>
      <c r="AX2" s="506"/>
      <c r="AY2" s="506"/>
      <c r="AZ2" s="506"/>
      <c r="BA2" s="506"/>
      <c r="BB2" s="506"/>
    </row>
    <row r="3" spans="2:54" s="11" customFormat="1" ht="23.25">
      <c r="B3" s="185" t="s">
        <v>204</v>
      </c>
      <c r="C3" s="638"/>
      <c r="D3" s="506"/>
      <c r="E3" s="506"/>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c r="AS3" s="506"/>
      <c r="AT3" s="506"/>
      <c r="AU3" s="506"/>
      <c r="AV3" s="506"/>
      <c r="AW3" s="506"/>
      <c r="AX3" s="506"/>
      <c r="AY3" s="506"/>
      <c r="AZ3" s="506"/>
      <c r="BA3" s="506"/>
      <c r="BB3" s="506"/>
    </row>
    <row r="4" spans="2:54" s="11" customFormat="1" ht="53.25" customHeight="1">
      <c r="B4" s="739" t="s">
        <v>205</v>
      </c>
      <c r="C4" s="739"/>
      <c r="D4" s="739"/>
      <c r="E4" s="739"/>
      <c r="F4" s="739"/>
      <c r="G4" s="739"/>
      <c r="H4" s="739"/>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c r="AS4" s="506"/>
      <c r="AT4" s="506"/>
      <c r="AU4" s="506"/>
      <c r="AV4" s="506"/>
      <c r="AW4" s="506"/>
      <c r="AX4" s="506"/>
      <c r="AY4" s="506"/>
      <c r="AZ4" s="506"/>
      <c r="BA4" s="506"/>
      <c r="BB4" s="506"/>
    </row>
    <row r="5" spans="2:54" s="11" customFormat="1">
      <c r="B5" s="506"/>
      <c r="C5" s="638"/>
      <c r="D5" s="506"/>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T5" s="506"/>
      <c r="AU5" s="506"/>
      <c r="AV5" s="506"/>
      <c r="AW5" s="506"/>
      <c r="AX5" s="506"/>
      <c r="AY5" s="506"/>
      <c r="AZ5" s="506"/>
      <c r="BA5" s="506"/>
      <c r="BB5" s="506"/>
    </row>
    <row r="6" spans="2:54" s="11" customFormat="1" ht="15">
      <c r="B6" s="327" t="s">
        <v>96</v>
      </c>
      <c r="C6" s="352" t="s">
        <v>206</v>
      </c>
      <c r="D6" s="353"/>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06"/>
      <c r="AU6" s="506"/>
      <c r="AV6" s="506"/>
      <c r="AW6" s="506"/>
      <c r="AX6" s="506"/>
      <c r="AY6" s="506"/>
      <c r="AZ6" s="506"/>
      <c r="BA6" s="506"/>
      <c r="BB6" s="506"/>
    </row>
    <row r="7" spans="2:54" s="11" customFormat="1">
      <c r="B7" s="229" t="s">
        <v>207</v>
      </c>
      <c r="C7" s="484">
        <v>3.0700000000000002E-2</v>
      </c>
      <c r="D7" s="229"/>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06"/>
      <c r="AU7" s="506"/>
      <c r="AV7" s="506"/>
      <c r="AW7" s="506"/>
      <c r="AX7" s="506"/>
      <c r="AY7" s="506"/>
      <c r="AZ7" s="506"/>
      <c r="BA7" s="506"/>
      <c r="BB7" s="506"/>
    </row>
    <row r="8" spans="2:54" s="11" customFormat="1">
      <c r="B8" s="229" t="s">
        <v>74</v>
      </c>
      <c r="C8" s="484">
        <v>4.5499999999999999E-2</v>
      </c>
      <c r="D8" s="354" t="s">
        <v>208</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c r="AS8" s="506"/>
      <c r="AT8" s="506"/>
      <c r="AU8" s="506"/>
      <c r="AV8" s="506"/>
      <c r="AW8" s="506"/>
      <c r="AX8" s="506"/>
      <c r="AY8" s="506"/>
      <c r="AZ8" s="506"/>
      <c r="BA8" s="506"/>
      <c r="BB8" s="506"/>
    </row>
    <row r="9" spans="2:54" s="11" customFormat="1">
      <c r="B9" s="229" t="s">
        <v>75</v>
      </c>
      <c r="C9" s="484">
        <v>0.03</v>
      </c>
      <c r="D9" s="355">
        <f>(FLOOR(100%/C9,1))</f>
        <v>33</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c r="AS9" s="506"/>
      <c r="AT9" s="506"/>
      <c r="AU9" s="506"/>
      <c r="AV9" s="506"/>
      <c r="AW9" s="506"/>
      <c r="AX9" s="506"/>
      <c r="AY9" s="506"/>
      <c r="AZ9" s="506"/>
      <c r="BA9" s="506"/>
      <c r="BB9" s="506"/>
    </row>
    <row r="10" spans="2:54" s="11" customFormat="1">
      <c r="B10" s="229" t="s">
        <v>76</v>
      </c>
      <c r="C10" s="485">
        <v>0.37</v>
      </c>
      <c r="D10" s="229"/>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c r="AS10" s="506"/>
      <c r="AT10" s="506"/>
      <c r="AU10" s="506"/>
      <c r="AV10" s="506"/>
      <c r="AW10" s="506"/>
      <c r="AX10" s="506"/>
      <c r="AY10" s="506"/>
      <c r="AZ10" s="506"/>
      <c r="BA10" s="506"/>
      <c r="BB10" s="506"/>
    </row>
    <row r="11" spans="2:54" s="11" customFormat="1">
      <c r="B11" s="506"/>
      <c r="C11" s="619"/>
      <c r="D11" s="506"/>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c r="AS11" s="506"/>
      <c r="AT11" s="506"/>
      <c r="AU11" s="506"/>
      <c r="AV11" s="506"/>
      <c r="AW11" s="506"/>
      <c r="AX11" s="506"/>
      <c r="AY11" s="506"/>
      <c r="AZ11" s="506"/>
      <c r="BA11" s="506"/>
      <c r="BB11" s="506"/>
    </row>
    <row r="12" spans="2:54" s="212" customFormat="1">
      <c r="D12" s="212" t="str">
        <f>'4. NPV'!D3</f>
        <v>&lt;=2026</v>
      </c>
      <c r="E12" s="212" t="str">
        <f>'4. NPV'!E3</f>
        <v>&lt;=2027</v>
      </c>
      <c r="F12" s="212" t="str">
        <f>'4. NPV'!F3</f>
        <v>&lt;=2028</v>
      </c>
      <c r="G12" s="212" t="str">
        <f>'4. NPV'!G3</f>
        <v>&lt;=2029</v>
      </c>
      <c r="H12" s="212" t="str">
        <f>'4. NPV'!H3</f>
        <v>&lt;=2030</v>
      </c>
      <c r="I12" s="212" t="str">
        <f>'4. NPV'!I3</f>
        <v>&lt;=2031</v>
      </c>
      <c r="J12" s="212" t="str">
        <f>'4. NPV'!J3</f>
        <v>&lt;=2032</v>
      </c>
      <c r="K12" s="212" t="str">
        <f>'4. NPV'!K3</f>
        <v>&lt;=2033</v>
      </c>
      <c r="L12" s="212" t="str">
        <f>'4. NPV'!L3</f>
        <v>&lt;=2034</v>
      </c>
      <c r="M12" s="212" t="str">
        <f>'4. NPV'!M3</f>
        <v>&lt;=2035</v>
      </c>
      <c r="N12" s="212" t="str">
        <f>'4. NPV'!N3</f>
        <v>&lt;=2036</v>
      </c>
      <c r="O12" s="212" t="str">
        <f>'4. NPV'!O3</f>
        <v>&lt;=2037</v>
      </c>
      <c r="P12" s="212" t="str">
        <f>'4. NPV'!P3</f>
        <v>&lt;=2038</v>
      </c>
      <c r="Q12" s="212" t="str">
        <f>'4. NPV'!Q3</f>
        <v>&lt;=2039</v>
      </c>
      <c r="R12" s="212" t="str">
        <f>'4. NPV'!R3</f>
        <v>&lt;=2040</v>
      </c>
      <c r="S12" s="212" t="str">
        <f>'4. NPV'!S3</f>
        <v>&lt;=2041</v>
      </c>
      <c r="T12" s="212" t="str">
        <f>'4. NPV'!T3</f>
        <v>&lt;=2042</v>
      </c>
      <c r="U12" s="212" t="str">
        <f>'4. NPV'!U3</f>
        <v>&lt;=2043</v>
      </c>
      <c r="V12" s="212" t="str">
        <f>'4. NPV'!V3</f>
        <v>&lt;=2044</v>
      </c>
      <c r="W12" s="212" t="str">
        <f>'4. NPV'!W3</f>
        <v>&lt;=2045</v>
      </c>
      <c r="X12" s="212" t="str">
        <f>'4. NPV'!X3</f>
        <v>&lt;=2046</v>
      </c>
      <c r="Y12" s="212" t="str">
        <f>'4. NPV'!Y3</f>
        <v>&lt;=</v>
      </c>
      <c r="Z12" s="212" t="str">
        <f>'4. NPV'!Z3</f>
        <v>&lt;=</v>
      </c>
      <c r="AA12" s="212" t="str">
        <f>'4. NPV'!AA3</f>
        <v>&lt;=</v>
      </c>
      <c r="AB12" s="212" t="str">
        <f>'4. NPV'!AB3</f>
        <v>&lt;=</v>
      </c>
      <c r="AC12" s="212" t="str">
        <f>'4. NPV'!AC3</f>
        <v>&lt;=</v>
      </c>
      <c r="AD12" s="212" t="str">
        <f>'4. NPV'!AD3</f>
        <v>&lt;=</v>
      </c>
      <c r="AE12" s="212" t="str">
        <f>'4. NPV'!AE3</f>
        <v>&lt;=</v>
      </c>
      <c r="AF12" s="212" t="str">
        <f>'4. NPV'!AF3</f>
        <v>&lt;=</v>
      </c>
      <c r="AG12" s="212" t="str">
        <f>'4. NPV'!AG3</f>
        <v>&lt;=</v>
      </c>
      <c r="AH12" s="212" t="str">
        <f>'4. NPV'!AH3</f>
        <v>&lt;=</v>
      </c>
      <c r="AI12" s="212" t="str">
        <f>'4. NPV'!AI3</f>
        <v>&lt;=</v>
      </c>
      <c r="AJ12" s="212" t="str">
        <f>'4. NPV'!AJ3</f>
        <v>&lt;=</v>
      </c>
      <c r="AK12" s="212" t="str">
        <f>'4. NPV'!AK3</f>
        <v>&lt;=</v>
      </c>
      <c r="AL12" s="212" t="str">
        <f>'4. NPV'!AL3</f>
        <v>&lt;=</v>
      </c>
      <c r="AM12" s="212" t="str">
        <f>'4. NPV'!AM3</f>
        <v>&lt;=</v>
      </c>
      <c r="AN12" s="212" t="str">
        <f>'4. NPV'!AN3</f>
        <v>&lt;=</v>
      </c>
      <c r="AO12" s="212" t="str">
        <f>'4. NPV'!AO3</f>
        <v>&lt;=</v>
      </c>
      <c r="AP12" s="212" t="str">
        <f>'4. NPV'!AP3</f>
        <v>&lt;=</v>
      </c>
      <c r="AQ12" s="212" t="str">
        <f>'4. NPV'!AQ3</f>
        <v>&lt;=</v>
      </c>
      <c r="AR12" s="212" t="str">
        <f>'4. NPV'!AR3</f>
        <v>&lt;=</v>
      </c>
      <c r="AS12" s="212" t="str">
        <f>'4. NPV'!AS3</f>
        <v>&lt;=</v>
      </c>
      <c r="AT12" s="212" t="str">
        <f>'4. NPV'!AT3</f>
        <v>&lt;=</v>
      </c>
      <c r="AU12" s="212" t="str">
        <f>'4. NPV'!AU3</f>
        <v>&lt;=</v>
      </c>
      <c r="AV12" s="212" t="str">
        <f>'4. NPV'!AV3</f>
        <v>&lt;=</v>
      </c>
      <c r="AW12" s="212" t="str">
        <f>'4. NPV'!AW3</f>
        <v>&lt;=</v>
      </c>
      <c r="AX12" s="212" t="str">
        <f>'4. NPV'!AX3</f>
        <v>&lt;=</v>
      </c>
      <c r="AY12" s="212" t="str">
        <f>'4. NPV'!AY3</f>
        <v>&lt;=</v>
      </c>
      <c r="AZ12" s="212" t="str">
        <f>'4. NPV'!AZ3</f>
        <v>&lt;=</v>
      </c>
      <c r="BA12" s="212" t="str">
        <f>'4. NPV'!BA3</f>
        <v>&lt;=</v>
      </c>
    </row>
    <row r="13" spans="2:54" ht="15">
      <c r="B13" s="327" t="s">
        <v>192</v>
      </c>
      <c r="C13" s="327"/>
      <c r="D13" s="327">
        <f>IF(D14&lt;='2. Kalkyldata'!$P$17+1,'2. Kalkyldata'!$P$5+C14,"")</f>
        <v>2026</v>
      </c>
      <c r="E13" s="327">
        <f>IF(E14&lt;='2. Kalkyldata'!$P$17+1,'2. Kalkyldata'!$P$5+D14,"")</f>
        <v>2027</v>
      </c>
      <c r="F13" s="327">
        <f>IF(F14&lt;='2. Kalkyldata'!$P$17+1,'2. Kalkyldata'!$P$5+E14,"")</f>
        <v>2028</v>
      </c>
      <c r="G13" s="327">
        <f>IF(G14&lt;='2. Kalkyldata'!$P$17+1,'2. Kalkyldata'!$P$5+F14,"")</f>
        <v>2029</v>
      </c>
      <c r="H13" s="327">
        <f>IF(H14&lt;='2. Kalkyldata'!$P$17+1,'2. Kalkyldata'!$P$5+G14,"")</f>
        <v>2030</v>
      </c>
      <c r="I13" s="327">
        <f>IF(I14&lt;='2. Kalkyldata'!$P$17+1,'2. Kalkyldata'!$P$5+H14,"")</f>
        <v>2031</v>
      </c>
      <c r="J13" s="327">
        <f>IF(J14&lt;='2. Kalkyldata'!$P$17+1,'2. Kalkyldata'!$P$5+I14,"")</f>
        <v>2032</v>
      </c>
      <c r="K13" s="327">
        <f>IF(K14&lt;='2. Kalkyldata'!$P$17+1,'2. Kalkyldata'!$P$5+J14,"")</f>
        <v>2033</v>
      </c>
      <c r="L13" s="327">
        <f>IF(L14&lt;='2. Kalkyldata'!$P$17+1,'2. Kalkyldata'!$P$5+K14,"")</f>
        <v>2034</v>
      </c>
      <c r="M13" s="327">
        <f>IF(M14&lt;='2. Kalkyldata'!$P$17+1,'2. Kalkyldata'!$P$5+L14,"")</f>
        <v>2035</v>
      </c>
      <c r="N13" s="327">
        <f>IF(N14&lt;='2. Kalkyldata'!$P$17+1,'2. Kalkyldata'!$P$5+M14,"")</f>
        <v>2036</v>
      </c>
      <c r="O13" s="327">
        <f>IF(O14&lt;='2. Kalkyldata'!$P$17+1,'2. Kalkyldata'!$P$5+N14,"")</f>
        <v>2037</v>
      </c>
      <c r="P13" s="327">
        <f>IF(P14&lt;='2. Kalkyldata'!$P$17+1,'2. Kalkyldata'!$P$5+O14,"")</f>
        <v>2038</v>
      </c>
      <c r="Q13" s="327">
        <f>IF(Q14&lt;='2. Kalkyldata'!$P$17+1,'2. Kalkyldata'!$P$5+P14,"")</f>
        <v>2039</v>
      </c>
      <c r="R13" s="327">
        <f>IF(R14&lt;='2. Kalkyldata'!$P$17+1,'2. Kalkyldata'!$P$5+Q14,"")</f>
        <v>2040</v>
      </c>
      <c r="S13" s="327">
        <f>IF(S14&lt;='2. Kalkyldata'!$P$17+1,'2. Kalkyldata'!$P$5+R14,"")</f>
        <v>2041</v>
      </c>
      <c r="T13" s="327">
        <f>IF(T14&lt;='2. Kalkyldata'!$P$17+1,'2. Kalkyldata'!$P$5+S14,"")</f>
        <v>2042</v>
      </c>
      <c r="U13" s="327">
        <f>IF(U14&lt;='2. Kalkyldata'!$P$17+1,'2. Kalkyldata'!$P$5+T14,"")</f>
        <v>2043</v>
      </c>
      <c r="V13" s="327">
        <f>IF(V14&lt;='2. Kalkyldata'!$P$17+1,'2. Kalkyldata'!$P$5+U14,"")</f>
        <v>2044</v>
      </c>
      <c r="W13" s="327">
        <f>IF(W14&lt;='2. Kalkyldata'!$P$17+1,'2. Kalkyldata'!$P$5+V14,"")</f>
        <v>2045</v>
      </c>
      <c r="X13" s="327">
        <f>IF(X14&lt;='2. Kalkyldata'!$P$17+1,'2. Kalkyldata'!$P$5+W14,"")</f>
        <v>2046</v>
      </c>
      <c r="Y13" s="327" t="str">
        <f>IF(Y14&lt;='2. Kalkyldata'!$P$17+1,'2. Kalkyldata'!$P$5+X14,"")</f>
        <v/>
      </c>
      <c r="Z13" s="327" t="str">
        <f>IF(Z14&lt;='2. Kalkyldata'!$P$17+1,'2. Kalkyldata'!$P$5+Y14,"")</f>
        <v/>
      </c>
      <c r="AA13" s="327" t="str">
        <f>IF(AA14&lt;='2. Kalkyldata'!$P$17+1,'2. Kalkyldata'!$P$5+Z14,"")</f>
        <v/>
      </c>
      <c r="AB13" s="327" t="str">
        <f>IF(AB14&lt;='2. Kalkyldata'!$P$17+1,'2. Kalkyldata'!$P$5+AA14,"")</f>
        <v/>
      </c>
      <c r="AC13" s="327" t="str">
        <f>IF(AC14&lt;='2. Kalkyldata'!$P$17+1,'2. Kalkyldata'!$P$5+AB14,"")</f>
        <v/>
      </c>
      <c r="AD13" s="327" t="str">
        <f>IF(AD14&lt;='2. Kalkyldata'!$P$17+1,'2. Kalkyldata'!$P$5+AC14,"")</f>
        <v/>
      </c>
      <c r="AE13" s="327" t="str">
        <f>IF(AE14&lt;='2. Kalkyldata'!$P$17+1,'2. Kalkyldata'!$P$5+AD14,"")</f>
        <v/>
      </c>
      <c r="AF13" s="327" t="str">
        <f>IF(AF14&lt;='2. Kalkyldata'!$P$17+1,'2. Kalkyldata'!$P$5+AE14,"")</f>
        <v/>
      </c>
      <c r="AG13" s="327" t="str">
        <f>IF(AG14&lt;='2. Kalkyldata'!$P$17+1,'2. Kalkyldata'!$P$5+AF14,"")</f>
        <v/>
      </c>
      <c r="AH13" s="327" t="str">
        <f>IF(AH14&lt;='2. Kalkyldata'!$P$17+1,'2. Kalkyldata'!$P$5+AG14,"")</f>
        <v/>
      </c>
      <c r="AI13" s="327" t="str">
        <f>IF(AI14&lt;='2. Kalkyldata'!$P$17+1,'2. Kalkyldata'!$P$5+AH14,"")</f>
        <v/>
      </c>
      <c r="AJ13" s="327" t="str">
        <f>IF(AJ14&lt;='2. Kalkyldata'!$P$17+1,'2. Kalkyldata'!$P$5+AI14,"")</f>
        <v/>
      </c>
      <c r="AK13" s="327" t="str">
        <f>IF(AK14&lt;='2. Kalkyldata'!$P$17+1,'2. Kalkyldata'!$P$5+AJ14,"")</f>
        <v/>
      </c>
      <c r="AL13" s="327" t="str">
        <f>IF(AL14&lt;='2. Kalkyldata'!$P$17+1,'2. Kalkyldata'!$P$5+AK14,"")</f>
        <v/>
      </c>
      <c r="AM13" s="327" t="str">
        <f>IF(AM14&lt;='2. Kalkyldata'!$P$17+1,'2. Kalkyldata'!$P$5+AL14,"")</f>
        <v/>
      </c>
      <c r="AN13" s="327" t="str">
        <f>IF(AN14&lt;='2. Kalkyldata'!$P$17+1,'2. Kalkyldata'!$P$5+AM14,"")</f>
        <v/>
      </c>
      <c r="AO13" s="327" t="str">
        <f>IF(AO14&lt;='2. Kalkyldata'!$P$17+1,'2. Kalkyldata'!$P$5+AN14,"")</f>
        <v/>
      </c>
      <c r="AP13" s="327" t="str">
        <f>IF(AP14&lt;='2. Kalkyldata'!$P$17+1,'2. Kalkyldata'!$P$5+AO14,"")</f>
        <v/>
      </c>
      <c r="AQ13" s="327" t="str">
        <f>IF(AQ14&lt;='2. Kalkyldata'!$P$17+1,'2. Kalkyldata'!$P$5+AP14,"")</f>
        <v/>
      </c>
      <c r="AR13" s="327" t="str">
        <f>IF(AR14&lt;='2. Kalkyldata'!$P$17+1,'2. Kalkyldata'!$P$5+AQ14,"")</f>
        <v/>
      </c>
      <c r="AS13" s="327" t="str">
        <f>IF(AS14&lt;='2. Kalkyldata'!$P$17+1,'2. Kalkyldata'!$P$5+AR14,"")</f>
        <v/>
      </c>
      <c r="AT13" s="327" t="str">
        <f>IF(AT14&lt;='2. Kalkyldata'!$P$17+1,'2. Kalkyldata'!$P$5+AS14,"")</f>
        <v/>
      </c>
      <c r="AU13" s="327" t="str">
        <f>IF(AU14&lt;='2. Kalkyldata'!$P$17+1,'2. Kalkyldata'!$P$5+AT14,"")</f>
        <v/>
      </c>
      <c r="AV13" s="327" t="str">
        <f>IF(AV14&lt;='2. Kalkyldata'!$P$17+1,'2. Kalkyldata'!$P$5+AU14,"")</f>
        <v/>
      </c>
      <c r="AW13" s="327" t="str">
        <f>IF(AW14&lt;='2. Kalkyldata'!$P$17+1,'2. Kalkyldata'!$P$5+AV14,"")</f>
        <v/>
      </c>
      <c r="AX13" s="327" t="str">
        <f>IF(AX14&lt;='2. Kalkyldata'!$P$17+1,'2. Kalkyldata'!$P$5+AW14,"")</f>
        <v/>
      </c>
      <c r="AY13" s="327" t="str">
        <f>IF(AY14&lt;='2. Kalkyldata'!$P$17+1,'2. Kalkyldata'!$P$5+AX14,"")</f>
        <v/>
      </c>
      <c r="AZ13" s="327" t="str">
        <f>IF(AZ14&lt;='2. Kalkyldata'!$P$17+1,'2. Kalkyldata'!$P$5+AY14,"")</f>
        <v/>
      </c>
      <c r="BA13" s="327" t="str">
        <f>IF(BA14&lt;='2. Kalkyldata'!$P$17+1,'2. Kalkyldata'!$P$5+AZ14,"")</f>
        <v/>
      </c>
      <c r="BB13" s="525"/>
    </row>
    <row r="14" spans="2:54" ht="15">
      <c r="B14" s="448"/>
      <c r="C14" s="448"/>
      <c r="D14" s="448">
        <v>1</v>
      </c>
      <c r="E14" s="448">
        <v>2</v>
      </c>
      <c r="F14" s="448">
        <v>3</v>
      </c>
      <c r="G14" s="448">
        <v>4</v>
      </c>
      <c r="H14" s="448">
        <v>5</v>
      </c>
      <c r="I14" s="448">
        <v>6</v>
      </c>
      <c r="J14" s="448">
        <v>7</v>
      </c>
      <c r="K14" s="448">
        <v>8</v>
      </c>
      <c r="L14" s="448">
        <v>9</v>
      </c>
      <c r="M14" s="448">
        <v>10</v>
      </c>
      <c r="N14" s="448">
        <v>11</v>
      </c>
      <c r="O14" s="448">
        <v>12</v>
      </c>
      <c r="P14" s="448">
        <v>13</v>
      </c>
      <c r="Q14" s="448">
        <v>14</v>
      </c>
      <c r="R14" s="448">
        <v>15</v>
      </c>
      <c r="S14" s="448">
        <v>16</v>
      </c>
      <c r="T14" s="448">
        <v>17</v>
      </c>
      <c r="U14" s="448">
        <v>18</v>
      </c>
      <c r="V14" s="448">
        <v>19</v>
      </c>
      <c r="W14" s="448">
        <v>20</v>
      </c>
      <c r="X14" s="448">
        <v>21</v>
      </c>
      <c r="Y14" s="448">
        <v>22</v>
      </c>
      <c r="Z14" s="448">
        <v>23</v>
      </c>
      <c r="AA14" s="448">
        <v>24</v>
      </c>
      <c r="AB14" s="448">
        <v>25</v>
      </c>
      <c r="AC14" s="448">
        <v>26</v>
      </c>
      <c r="AD14" s="448">
        <v>27</v>
      </c>
      <c r="AE14" s="448">
        <v>28</v>
      </c>
      <c r="AF14" s="448">
        <v>29</v>
      </c>
      <c r="AG14" s="448">
        <v>30</v>
      </c>
      <c r="AH14" s="448">
        <v>31</v>
      </c>
      <c r="AI14" s="448">
        <v>32</v>
      </c>
      <c r="AJ14" s="448">
        <v>33</v>
      </c>
      <c r="AK14" s="448">
        <v>34</v>
      </c>
      <c r="AL14" s="448">
        <v>35</v>
      </c>
      <c r="AM14" s="448">
        <v>36</v>
      </c>
      <c r="AN14" s="448">
        <v>37</v>
      </c>
      <c r="AO14" s="448">
        <v>38</v>
      </c>
      <c r="AP14" s="448">
        <v>39</v>
      </c>
      <c r="AQ14" s="448">
        <v>40</v>
      </c>
      <c r="AR14" s="448">
        <v>41</v>
      </c>
      <c r="AS14" s="448">
        <v>42</v>
      </c>
      <c r="AT14" s="448">
        <v>43</v>
      </c>
      <c r="AU14" s="448">
        <v>44</v>
      </c>
      <c r="AV14" s="448">
        <v>45</v>
      </c>
      <c r="AW14" s="448">
        <v>46</v>
      </c>
      <c r="AX14" s="448">
        <v>47</v>
      </c>
      <c r="AY14" s="448">
        <v>48</v>
      </c>
      <c r="AZ14" s="448">
        <v>49</v>
      </c>
      <c r="BA14" s="448">
        <v>50</v>
      </c>
      <c r="BB14" s="525"/>
    </row>
    <row r="15" spans="2:54">
      <c r="B15" s="229" t="s">
        <v>80</v>
      </c>
      <c r="C15" s="229"/>
      <c r="D15" s="230">
        <f>-SUMIF('2. Kalkyldata'!AS$22,'3. Finansiering'!D13,'2. Kalkyldata'!AS$28)</f>
        <v>-239999999.99999997</v>
      </c>
      <c r="E15" s="230">
        <f>-SUMIF('2. Kalkyldata'!AT$22,'3. Finansiering'!E13,'2. Kalkyldata'!AT$28)</f>
        <v>0</v>
      </c>
      <c r="F15" s="230">
        <f>-SUMIF('2. Kalkyldata'!AU$22,'3. Finansiering'!F13,'2. Kalkyldata'!AU$28)</f>
        <v>0</v>
      </c>
      <c r="G15" s="230">
        <f>-SUMIF('2. Kalkyldata'!AV$22,'3. Finansiering'!G13,'2. Kalkyldata'!AV$28)</f>
        <v>0</v>
      </c>
      <c r="H15" s="230">
        <f>-SUMIF('2. Kalkyldata'!AW$22,'3. Finansiering'!H13,'2. Kalkyldata'!AW$28)</f>
        <v>0</v>
      </c>
      <c r="I15" s="230">
        <f>-SUMIF('2. Kalkyldata'!AX$22,'3. Finansiering'!I13,'2. Kalkyldata'!AX$28)</f>
        <v>0</v>
      </c>
      <c r="J15" s="230">
        <f>-SUMIF('2. Kalkyldata'!AY$22,'3. Finansiering'!J13,'2. Kalkyldata'!AY$28)</f>
        <v>0</v>
      </c>
      <c r="K15" s="230">
        <f>-SUMIF('2. Kalkyldata'!AZ$22,'3. Finansiering'!K13,'2. Kalkyldata'!AZ$28)</f>
        <v>0</v>
      </c>
      <c r="L15" s="230">
        <f>-SUMIF('2. Kalkyldata'!BA$22,'3. Finansiering'!L13,'2. Kalkyldata'!BA$28)</f>
        <v>0</v>
      </c>
      <c r="M15" s="230">
        <f>-SUMIF('2. Kalkyldata'!BB$22,'3. Finansiering'!M13,'2. Kalkyldata'!BB$28)</f>
        <v>0</v>
      </c>
      <c r="N15" s="230">
        <f>-SUMIF('2. Kalkyldata'!BC$22,'3. Finansiering'!N13,'2. Kalkyldata'!BC$28)</f>
        <v>0</v>
      </c>
      <c r="O15" s="230">
        <f>-SUMIF('2. Kalkyldata'!BD$22,'3. Finansiering'!O13,'2. Kalkyldata'!BD$28)</f>
        <v>0</v>
      </c>
      <c r="P15" s="230">
        <f>-SUMIF('2. Kalkyldata'!BE$22,'3. Finansiering'!P13,'2. Kalkyldata'!BE$28)</f>
        <v>0</v>
      </c>
      <c r="Q15" s="230">
        <f>-SUMIF('2. Kalkyldata'!BF$22,'3. Finansiering'!Q13,'2. Kalkyldata'!BF$28)</f>
        <v>0</v>
      </c>
      <c r="R15" s="230">
        <f>-SUMIF('2. Kalkyldata'!BG$22,'3. Finansiering'!R13,'2. Kalkyldata'!BG$28)</f>
        <v>0</v>
      </c>
      <c r="S15" s="230">
        <f>-SUMIF('2. Kalkyldata'!BH$22,'3. Finansiering'!S13,'2. Kalkyldata'!BH$28)</f>
        <v>0</v>
      </c>
      <c r="T15" s="230">
        <f>-SUMIF('2. Kalkyldata'!BI$22,'3. Finansiering'!T13,'2. Kalkyldata'!BI$28)</f>
        <v>0</v>
      </c>
      <c r="U15" s="230">
        <f>-SUMIF('2. Kalkyldata'!BJ$22,'3. Finansiering'!U13,'2. Kalkyldata'!BJ$28)</f>
        <v>0</v>
      </c>
      <c r="V15" s="230">
        <f>-SUMIF('2. Kalkyldata'!BK$22,'3. Finansiering'!V13,'2. Kalkyldata'!BK$28)</f>
        <v>0</v>
      </c>
      <c r="W15" s="230">
        <f>-SUMIF('2. Kalkyldata'!BL$22,'3. Finansiering'!W13,'2. Kalkyldata'!BL$28)</f>
        <v>0</v>
      </c>
      <c r="X15" s="230">
        <f>-SUMIF('2. Kalkyldata'!BM$22,'3. Finansiering'!X13,'2. Kalkyldata'!BM$28)</f>
        <v>0</v>
      </c>
      <c r="Y15" s="230">
        <f>-SUMIF('2. Kalkyldata'!BN$22,'3. Finansiering'!Y13,'2. Kalkyldata'!BN$28)</f>
        <v>0</v>
      </c>
      <c r="Z15" s="230">
        <f>-SUMIF('2. Kalkyldata'!BO$22,'3. Finansiering'!Z13,'2. Kalkyldata'!BO$28)</f>
        <v>0</v>
      </c>
      <c r="AA15" s="230">
        <f>-SUMIF('2. Kalkyldata'!BP$22,'3. Finansiering'!AA13,'2. Kalkyldata'!BP$28)</f>
        <v>0</v>
      </c>
      <c r="AB15" s="230">
        <f>-SUMIF('2. Kalkyldata'!BQ$22,'3. Finansiering'!AB13,'2. Kalkyldata'!BQ$28)</f>
        <v>0</v>
      </c>
      <c r="AC15" s="230">
        <f>-SUMIF('2. Kalkyldata'!BR$22,'3. Finansiering'!AC13,'2. Kalkyldata'!BR$28)</f>
        <v>0</v>
      </c>
      <c r="AD15" s="230">
        <f>-SUMIF('2. Kalkyldata'!BS$22,'3. Finansiering'!AD13,'2. Kalkyldata'!BS$28)</f>
        <v>0</v>
      </c>
      <c r="AE15" s="230">
        <f>-SUMIF('2. Kalkyldata'!BT$22,'3. Finansiering'!AE13,'2. Kalkyldata'!BT$28)</f>
        <v>0</v>
      </c>
      <c r="AF15" s="230">
        <f>-SUMIF('2. Kalkyldata'!BU$22,'3. Finansiering'!AF13,'2. Kalkyldata'!BU$28)</f>
        <v>0</v>
      </c>
      <c r="AG15" s="230">
        <f>-SUMIF('2. Kalkyldata'!BV$22,'3. Finansiering'!AG13,'2. Kalkyldata'!BV$28)</f>
        <v>0</v>
      </c>
      <c r="AH15" s="230">
        <f>-SUMIF('2. Kalkyldata'!BW$22,'3. Finansiering'!AH13,'2. Kalkyldata'!BW$28)</f>
        <v>0</v>
      </c>
      <c r="AI15" s="230">
        <f>-SUMIF('2. Kalkyldata'!BX$22,'3. Finansiering'!AI13,'2. Kalkyldata'!BX$28)</f>
        <v>0</v>
      </c>
      <c r="AJ15" s="230">
        <f>-SUMIF('2. Kalkyldata'!BY$22,'3. Finansiering'!AJ13,'2. Kalkyldata'!BY$28)</f>
        <v>0</v>
      </c>
      <c r="AK15" s="230">
        <f>-SUMIF('2. Kalkyldata'!BZ$22,'3. Finansiering'!AK13,'2. Kalkyldata'!BZ$28)</f>
        <v>0</v>
      </c>
      <c r="AL15" s="230">
        <f>-SUMIF('2. Kalkyldata'!CA$22,'3. Finansiering'!AL13,'2. Kalkyldata'!CA$28)</f>
        <v>0</v>
      </c>
      <c r="AM15" s="230">
        <f>-SUMIF('2. Kalkyldata'!CB$22,'3. Finansiering'!AM13,'2. Kalkyldata'!CB$28)</f>
        <v>0</v>
      </c>
      <c r="AN15" s="230">
        <f>-SUMIF('2. Kalkyldata'!CC$22,'3. Finansiering'!AN13,'2. Kalkyldata'!CC$28)</f>
        <v>0</v>
      </c>
      <c r="AO15" s="230">
        <f>-SUMIF('2. Kalkyldata'!CD$22,'3. Finansiering'!AO13,'2. Kalkyldata'!CD$28)</f>
        <v>0</v>
      </c>
      <c r="AP15" s="230">
        <f>-SUMIF('2. Kalkyldata'!CE$22,'3. Finansiering'!AP13,'2. Kalkyldata'!CE$28)</f>
        <v>0</v>
      </c>
      <c r="AQ15" s="230">
        <f>-SUMIF('2. Kalkyldata'!CF$22,'3. Finansiering'!AQ13,'2. Kalkyldata'!CF$28)</f>
        <v>0</v>
      </c>
      <c r="AR15" s="230">
        <f>-SUMIF('2. Kalkyldata'!CG$22,'3. Finansiering'!AR13,'2. Kalkyldata'!CG$28)</f>
        <v>0</v>
      </c>
      <c r="AS15" s="230">
        <f>-SUMIF('2. Kalkyldata'!CH$22,'3. Finansiering'!AS13,'2. Kalkyldata'!CH$28)</f>
        <v>0</v>
      </c>
      <c r="AT15" s="230">
        <f>-SUMIF('2. Kalkyldata'!CI$22,'3. Finansiering'!AT13,'2. Kalkyldata'!CI$28)</f>
        <v>0</v>
      </c>
      <c r="AU15" s="230">
        <f>-SUMIF('2. Kalkyldata'!CJ$22,'3. Finansiering'!AU13,'2. Kalkyldata'!CJ$28)</f>
        <v>0</v>
      </c>
      <c r="AV15" s="230">
        <f>-SUMIF('2. Kalkyldata'!CK$22,'3. Finansiering'!AV13,'2. Kalkyldata'!CK$28)</f>
        <v>0</v>
      </c>
      <c r="AW15" s="230">
        <f>-SUMIF('2. Kalkyldata'!CL$22,'3. Finansiering'!AW13,'2. Kalkyldata'!CL$28)</f>
        <v>0</v>
      </c>
      <c r="AX15" s="230">
        <f>-SUMIF('2. Kalkyldata'!CM$22,'3. Finansiering'!AX13,'2. Kalkyldata'!CM$28)</f>
        <v>0</v>
      </c>
      <c r="AY15" s="230">
        <f>-SUMIF('2. Kalkyldata'!CN$22,'3. Finansiering'!AY13,'2. Kalkyldata'!CN$28)</f>
        <v>0</v>
      </c>
      <c r="AZ15" s="230">
        <f>-SUMIF('2. Kalkyldata'!CO$22,'3. Finansiering'!AZ13,'2. Kalkyldata'!CO$28)</f>
        <v>0</v>
      </c>
      <c r="BA15" s="230">
        <f>-SUMIF('2. Kalkyldata'!CP$22,'3. Finansiering'!BA13,'2. Kalkyldata'!CP$28)</f>
        <v>0</v>
      </c>
      <c r="BB15" s="525"/>
    </row>
    <row r="16" spans="2:54">
      <c r="B16" s="229" t="s">
        <v>209</v>
      </c>
      <c r="C16" s="229"/>
      <c r="D16" s="230">
        <f>-D$15*(1-'3. Finansiering'!$C$10)</f>
        <v>151199999.99999997</v>
      </c>
      <c r="E16" s="230">
        <f>-E$15*(1-'3. Finansiering'!$C$10)</f>
        <v>0</v>
      </c>
      <c r="F16" s="230">
        <f>-F$15*(1-'3. Finansiering'!$C$10)</f>
        <v>0</v>
      </c>
      <c r="G16" s="230">
        <f>-G$15*(1-'3. Finansiering'!$C$10)</f>
        <v>0</v>
      </c>
      <c r="H16" s="230">
        <f>-H$15*(1-'3. Finansiering'!$C$10)</f>
        <v>0</v>
      </c>
      <c r="I16" s="230">
        <f>-I$15*(1-'3. Finansiering'!$C$10)</f>
        <v>0</v>
      </c>
      <c r="J16" s="230">
        <f>-J$15*(1-'3. Finansiering'!$C$10)</f>
        <v>0</v>
      </c>
      <c r="K16" s="230">
        <f>-K$15*(1-'3. Finansiering'!$C$10)</f>
        <v>0</v>
      </c>
      <c r="L16" s="230">
        <f>-L$15*(1-'3. Finansiering'!$C$10)</f>
        <v>0</v>
      </c>
      <c r="M16" s="230">
        <f>-M$15*(1-'3. Finansiering'!$C$10)</f>
        <v>0</v>
      </c>
      <c r="N16" s="230">
        <f>-N$15*(1-'3. Finansiering'!$C$10)</f>
        <v>0</v>
      </c>
      <c r="O16" s="230">
        <f>-O$15*(1-'3. Finansiering'!$C$10)</f>
        <v>0</v>
      </c>
      <c r="P16" s="230">
        <f>-P$15*(1-'3. Finansiering'!$C$10)</f>
        <v>0</v>
      </c>
      <c r="Q16" s="230">
        <f>-Q$15*(1-'3. Finansiering'!$C$10)</f>
        <v>0</v>
      </c>
      <c r="R16" s="230">
        <f>-R$15*(1-'3. Finansiering'!$C$10)</f>
        <v>0</v>
      </c>
      <c r="S16" s="230">
        <f>-S$15*(1-'3. Finansiering'!$C$10)</f>
        <v>0</v>
      </c>
      <c r="T16" s="230">
        <f>-T$15*(1-'3. Finansiering'!$C$10)</f>
        <v>0</v>
      </c>
      <c r="U16" s="230">
        <f>-U$15*(1-'3. Finansiering'!$C$10)</f>
        <v>0</v>
      </c>
      <c r="V16" s="230">
        <f>-V$15*(1-'3. Finansiering'!$C$10)</f>
        <v>0</v>
      </c>
      <c r="W16" s="230">
        <f>-W$15*(1-'3. Finansiering'!$C$10)</f>
        <v>0</v>
      </c>
      <c r="X16" s="230">
        <f>-X$15*(1-'3. Finansiering'!$C$10)</f>
        <v>0</v>
      </c>
      <c r="Y16" s="230">
        <f>-Y$15*(1-'3. Finansiering'!$C$10)</f>
        <v>0</v>
      </c>
      <c r="Z16" s="230">
        <f>-Z$15*(1-'3. Finansiering'!$C$10)</f>
        <v>0</v>
      </c>
      <c r="AA16" s="230">
        <f>-AA$15*(1-'3. Finansiering'!$C$10)</f>
        <v>0</v>
      </c>
      <c r="AB16" s="230">
        <f>-AB$15*(1-'3. Finansiering'!$C$10)</f>
        <v>0</v>
      </c>
      <c r="AC16" s="230">
        <f>-AC$15*(1-'3. Finansiering'!$C$10)</f>
        <v>0</v>
      </c>
      <c r="AD16" s="230">
        <f>-AD$15*(1-'3. Finansiering'!$C$10)</f>
        <v>0</v>
      </c>
      <c r="AE16" s="230">
        <f>-AE$15*(1-'3. Finansiering'!$C$10)</f>
        <v>0</v>
      </c>
      <c r="AF16" s="230">
        <f>-AF$15*(1-'3. Finansiering'!$C$10)</f>
        <v>0</v>
      </c>
      <c r="AG16" s="230">
        <f>-AG$15*(1-'3. Finansiering'!$C$10)</f>
        <v>0</v>
      </c>
      <c r="AH16" s="230">
        <f>-AH$15*(1-'3. Finansiering'!$C$10)</f>
        <v>0</v>
      </c>
      <c r="AI16" s="230">
        <f>-AI$15*(1-'3. Finansiering'!$C$10)</f>
        <v>0</v>
      </c>
      <c r="AJ16" s="230">
        <f>-AJ$15*(1-'3. Finansiering'!$C$10)</f>
        <v>0</v>
      </c>
      <c r="AK16" s="230">
        <f>-AK$15*(1-'3. Finansiering'!$C$10)</f>
        <v>0</v>
      </c>
      <c r="AL16" s="230">
        <f>-AL$15*(1-'3. Finansiering'!$C$10)</f>
        <v>0</v>
      </c>
      <c r="AM16" s="230">
        <f>-AM$15*(1-'3. Finansiering'!$C$10)</f>
        <v>0</v>
      </c>
      <c r="AN16" s="230">
        <f>-AN$15*(1-'3. Finansiering'!$C$10)</f>
        <v>0</v>
      </c>
      <c r="AO16" s="230">
        <f>-AO$15*(1-'3. Finansiering'!$C$10)</f>
        <v>0</v>
      </c>
      <c r="AP16" s="230">
        <f>-AP$15*(1-'3. Finansiering'!$C$10)</f>
        <v>0</v>
      </c>
      <c r="AQ16" s="230">
        <f>-AQ$15*(1-'3. Finansiering'!$C$10)</f>
        <v>0</v>
      </c>
      <c r="AR16" s="230">
        <f>-AR$15*(1-'3. Finansiering'!$C$10)</f>
        <v>0</v>
      </c>
      <c r="AS16" s="230">
        <f>-AS$15*(1-'3. Finansiering'!$C$10)</f>
        <v>0</v>
      </c>
      <c r="AT16" s="230">
        <f>-AT$15*(1-'3. Finansiering'!$C$10)</f>
        <v>0</v>
      </c>
      <c r="AU16" s="230">
        <f>-AU$15*(1-'3. Finansiering'!$C$10)</f>
        <v>0</v>
      </c>
      <c r="AV16" s="230">
        <f>-AV$15*(1-'3. Finansiering'!$C$10)</f>
        <v>0</v>
      </c>
      <c r="AW16" s="230">
        <f>-AW$15*(1-'3. Finansiering'!$C$10)</f>
        <v>0</v>
      </c>
      <c r="AX16" s="230">
        <f>-AX$15*(1-'3. Finansiering'!$C$10)</f>
        <v>0</v>
      </c>
      <c r="AY16" s="230">
        <f>-AY$15*(1-'3. Finansiering'!$C$10)</f>
        <v>0</v>
      </c>
      <c r="AZ16" s="230">
        <f>-AZ$15*(1-'3. Finansiering'!$C$10)</f>
        <v>0</v>
      </c>
      <c r="BA16" s="230">
        <f>-BA$15*(1-'3. Finansiering'!$C$10)</f>
        <v>0</v>
      </c>
      <c r="BB16" s="525"/>
    </row>
    <row r="17" spans="1:54">
      <c r="A17" s="506"/>
      <c r="B17" s="229" t="s">
        <v>210</v>
      </c>
      <c r="C17" s="229"/>
      <c r="D17" s="230">
        <f>-'3. Finansiering'!$C$10*D$15</f>
        <v>88799999.999999985</v>
      </c>
      <c r="E17" s="230">
        <f>-'3. Finansiering'!$C$10*E$15</f>
        <v>0</v>
      </c>
      <c r="F17" s="230">
        <f>-'3. Finansiering'!$C$10*F$15</f>
        <v>0</v>
      </c>
      <c r="G17" s="230">
        <f>-'3. Finansiering'!$C$10*G$15</f>
        <v>0</v>
      </c>
      <c r="H17" s="230">
        <f>-'3. Finansiering'!$C$10*H$15</f>
        <v>0</v>
      </c>
      <c r="I17" s="230">
        <f>-'3. Finansiering'!$C$10*I$15</f>
        <v>0</v>
      </c>
      <c r="J17" s="230">
        <f>-'3. Finansiering'!$C$10*J$15</f>
        <v>0</v>
      </c>
      <c r="K17" s="230">
        <f>-'3. Finansiering'!$C$10*K$15</f>
        <v>0</v>
      </c>
      <c r="L17" s="230">
        <f>-'3. Finansiering'!$C$10*L$15</f>
        <v>0</v>
      </c>
      <c r="M17" s="230">
        <f>-'3. Finansiering'!$C$10*M$15</f>
        <v>0</v>
      </c>
      <c r="N17" s="230">
        <f>-'3. Finansiering'!$C$10*N$15</f>
        <v>0</v>
      </c>
      <c r="O17" s="230">
        <f>-'3. Finansiering'!$C$10*O$15</f>
        <v>0</v>
      </c>
      <c r="P17" s="230">
        <f>-'3. Finansiering'!$C$10*P$15</f>
        <v>0</v>
      </c>
      <c r="Q17" s="230">
        <f>-'3. Finansiering'!$C$10*Q$15</f>
        <v>0</v>
      </c>
      <c r="R17" s="230">
        <f>-'3. Finansiering'!$C$10*R$15</f>
        <v>0</v>
      </c>
      <c r="S17" s="230">
        <f>-'3. Finansiering'!$C$10*S$15</f>
        <v>0</v>
      </c>
      <c r="T17" s="230">
        <f>-'3. Finansiering'!$C$10*T$15</f>
        <v>0</v>
      </c>
      <c r="U17" s="230">
        <f>-'3. Finansiering'!$C$10*U$15</f>
        <v>0</v>
      </c>
      <c r="V17" s="230">
        <f>-'3. Finansiering'!$C$10*V$15</f>
        <v>0</v>
      </c>
      <c r="W17" s="230">
        <f>-'3. Finansiering'!$C$10*W$15</f>
        <v>0</v>
      </c>
      <c r="X17" s="230">
        <f>-'3. Finansiering'!$C$10*X$15</f>
        <v>0</v>
      </c>
      <c r="Y17" s="230">
        <f>-'3. Finansiering'!$C$10*Y$15</f>
        <v>0</v>
      </c>
      <c r="Z17" s="230">
        <f>-'3. Finansiering'!$C$10*Z$15</f>
        <v>0</v>
      </c>
      <c r="AA17" s="230">
        <f>-'3. Finansiering'!$C$10*AA$15</f>
        <v>0</v>
      </c>
      <c r="AB17" s="230">
        <f>-'3. Finansiering'!$C$10*AB$15</f>
        <v>0</v>
      </c>
      <c r="AC17" s="230">
        <f>-'3. Finansiering'!$C$10*AC$15</f>
        <v>0</v>
      </c>
      <c r="AD17" s="230">
        <f>-'3. Finansiering'!$C$10*AD$15</f>
        <v>0</v>
      </c>
      <c r="AE17" s="230">
        <f>-'3. Finansiering'!$C$10*AE$15</f>
        <v>0</v>
      </c>
      <c r="AF17" s="230">
        <f>-'3. Finansiering'!$C$10*AF$15</f>
        <v>0</v>
      </c>
      <c r="AG17" s="230">
        <f>-'3. Finansiering'!$C$10*AG$15</f>
        <v>0</v>
      </c>
      <c r="AH17" s="230">
        <f>-'3. Finansiering'!$C$10*AH$15</f>
        <v>0</v>
      </c>
      <c r="AI17" s="230">
        <f>-'3. Finansiering'!$C$10*AI$15</f>
        <v>0</v>
      </c>
      <c r="AJ17" s="230">
        <f>-'3. Finansiering'!$C$10*AJ$15</f>
        <v>0</v>
      </c>
      <c r="AK17" s="230">
        <f>-'3. Finansiering'!$C$10*AK$15</f>
        <v>0</v>
      </c>
      <c r="AL17" s="230">
        <f>-'3. Finansiering'!$C$10*AL$15</f>
        <v>0</v>
      </c>
      <c r="AM17" s="230">
        <f>-'3. Finansiering'!$C$10*AM$15</f>
        <v>0</v>
      </c>
      <c r="AN17" s="230">
        <f>-'3. Finansiering'!$C$10*AN$15</f>
        <v>0</v>
      </c>
      <c r="AO17" s="230">
        <f>-'3. Finansiering'!$C$10*AO$15</f>
        <v>0</v>
      </c>
      <c r="AP17" s="230">
        <f>-'3. Finansiering'!$C$10*AP$15</f>
        <v>0</v>
      </c>
      <c r="AQ17" s="230">
        <f>-'3. Finansiering'!$C$10*AQ$15</f>
        <v>0</v>
      </c>
      <c r="AR17" s="230">
        <f>-'3. Finansiering'!$C$10*AR$15</f>
        <v>0</v>
      </c>
      <c r="AS17" s="230">
        <f>-'3. Finansiering'!$C$10*AS$15</f>
        <v>0</v>
      </c>
      <c r="AT17" s="230">
        <f>-'3. Finansiering'!$C$10*AT$15</f>
        <v>0</v>
      </c>
      <c r="AU17" s="230">
        <f>-'3. Finansiering'!$C$10*AU$15</f>
        <v>0</v>
      </c>
      <c r="AV17" s="230">
        <f>-'3. Finansiering'!$C$10*AV$15</f>
        <v>0</v>
      </c>
      <c r="AW17" s="230">
        <f>-'3. Finansiering'!$C$10*AW$15</f>
        <v>0</v>
      </c>
      <c r="AX17" s="230">
        <f>-'3. Finansiering'!$C$10*AX$15</f>
        <v>0</v>
      </c>
      <c r="AY17" s="230">
        <f>-'3. Finansiering'!$C$10*AY$15</f>
        <v>0</v>
      </c>
      <c r="AZ17" s="230">
        <f>-'3. Finansiering'!$C$10*AZ$15</f>
        <v>0</v>
      </c>
      <c r="BA17" s="230">
        <f>-'3. Finansiering'!$C$10*BA$15</f>
        <v>0</v>
      </c>
      <c r="BB17" s="525"/>
    </row>
    <row r="18" spans="1:54">
      <c r="A18" s="506"/>
      <c r="B18" s="229"/>
      <c r="C18" s="229"/>
      <c r="D18" s="230"/>
      <c r="E18" s="230"/>
      <c r="F18" s="230"/>
      <c r="G18" s="230"/>
      <c r="H18" s="230"/>
      <c r="I18" s="230"/>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c r="AM18" s="230"/>
      <c r="AN18" s="230"/>
      <c r="AO18" s="230"/>
      <c r="AP18" s="230"/>
      <c r="AQ18" s="230"/>
      <c r="AR18" s="230"/>
      <c r="AS18" s="230"/>
      <c r="AT18" s="230"/>
      <c r="AU18" s="230"/>
      <c r="AV18" s="230"/>
      <c r="AW18" s="230"/>
      <c r="AX18" s="230"/>
      <c r="AY18" s="230"/>
      <c r="AZ18" s="230"/>
      <c r="BA18" s="230"/>
      <c r="BB18" s="525"/>
    </row>
    <row r="19" spans="1:54">
      <c r="A19" s="506"/>
      <c r="B19" s="229" t="s">
        <v>211</v>
      </c>
      <c r="C19" s="229"/>
      <c r="D19" s="230">
        <f>SUM($D$17:D$17)</f>
        <v>88799999.999999985</v>
      </c>
      <c r="E19" s="230">
        <f>SUM($D$17:E$17)</f>
        <v>88799999.999999985</v>
      </c>
      <c r="F19" s="230">
        <f>SUM($D$17:F$17)</f>
        <v>88799999.999999985</v>
      </c>
      <c r="G19" s="230">
        <f>SUM($D$17:G$17)</f>
        <v>88799999.999999985</v>
      </c>
      <c r="H19" s="230">
        <f>SUM($D$17:H$17)</f>
        <v>88799999.999999985</v>
      </c>
      <c r="I19" s="230">
        <f>SUM($D$17:I$17)</f>
        <v>88799999.999999985</v>
      </c>
      <c r="J19" s="230">
        <f>SUM($D$17:J$17)</f>
        <v>88799999.999999985</v>
      </c>
      <c r="K19" s="230">
        <f>SUM($D$17:K$17)</f>
        <v>88799999.999999985</v>
      </c>
      <c r="L19" s="230">
        <f>SUM($D$17:L$17)</f>
        <v>88799999.999999985</v>
      </c>
      <c r="M19" s="230">
        <f>SUM($D$17:M$17)</f>
        <v>88799999.999999985</v>
      </c>
      <c r="N19" s="230">
        <f>SUM($D$17:N$17)</f>
        <v>88799999.999999985</v>
      </c>
      <c r="O19" s="230">
        <f>SUM($D$17:O$17)</f>
        <v>88799999.999999985</v>
      </c>
      <c r="P19" s="230">
        <f>SUM($D$17:P$17)</f>
        <v>88799999.999999985</v>
      </c>
      <c r="Q19" s="230">
        <f>SUM($D$17:Q$17)</f>
        <v>88799999.999999985</v>
      </c>
      <c r="R19" s="230">
        <f>SUM($D$17:R$17)</f>
        <v>88799999.999999985</v>
      </c>
      <c r="S19" s="230">
        <f>SUM($D$17:S$17)</f>
        <v>88799999.999999985</v>
      </c>
      <c r="T19" s="230">
        <f>SUM($D$17:T$17)</f>
        <v>88799999.999999985</v>
      </c>
      <c r="U19" s="230">
        <f>SUM($D$17:U$17)</f>
        <v>88799999.999999985</v>
      </c>
      <c r="V19" s="230">
        <f>SUM($D$17:V$17)</f>
        <v>88799999.999999985</v>
      </c>
      <c r="W19" s="230">
        <f>SUM($D$17:W$17)</f>
        <v>88799999.999999985</v>
      </c>
      <c r="X19" s="230">
        <f>SUM($D$17:X$17)</f>
        <v>88799999.999999985</v>
      </c>
      <c r="Y19" s="230">
        <f>SUM($D$17:Y$17)</f>
        <v>88799999.999999985</v>
      </c>
      <c r="Z19" s="230">
        <f>SUM($D$17:Z$17)</f>
        <v>88799999.999999985</v>
      </c>
      <c r="AA19" s="230">
        <f>SUM($D$17:AA$17)</f>
        <v>88799999.999999985</v>
      </c>
      <c r="AB19" s="230">
        <f>SUM($D$17:AB$17)</f>
        <v>88799999.999999985</v>
      </c>
      <c r="AC19" s="230">
        <f>SUM($D$17:AC$17)</f>
        <v>88799999.999999985</v>
      </c>
      <c r="AD19" s="230">
        <f>SUM($D$17:AD$17)</f>
        <v>88799999.999999985</v>
      </c>
      <c r="AE19" s="230">
        <f>SUM($D$17:AE$17)</f>
        <v>88799999.999999985</v>
      </c>
      <c r="AF19" s="230">
        <f>SUM($D$17:AF$17)</f>
        <v>88799999.999999985</v>
      </c>
      <c r="AG19" s="230">
        <f>SUM($D$17:AG$17)</f>
        <v>88799999.999999985</v>
      </c>
      <c r="AH19" s="230">
        <f>SUM($D$17:AH$17)</f>
        <v>88799999.999999985</v>
      </c>
      <c r="AI19" s="230">
        <f>SUM($D$17:AI$17)</f>
        <v>88799999.999999985</v>
      </c>
      <c r="AJ19" s="230">
        <f>SUM($D$17:AJ$17)</f>
        <v>88799999.999999985</v>
      </c>
      <c r="AK19" s="230">
        <f>SUM($D$17:AK$17)</f>
        <v>88799999.999999985</v>
      </c>
      <c r="AL19" s="230">
        <f>SUM($D$17:AL$17)</f>
        <v>88799999.999999985</v>
      </c>
      <c r="AM19" s="230">
        <f>SUM($D$17:AM$17)</f>
        <v>88799999.999999985</v>
      </c>
      <c r="AN19" s="230">
        <f>SUM($D$17:AN$17)</f>
        <v>88799999.999999985</v>
      </c>
      <c r="AO19" s="230">
        <f>SUM($D$17:AO$17)</f>
        <v>88799999.999999985</v>
      </c>
      <c r="AP19" s="230">
        <f>SUM($D$17:AP$17)</f>
        <v>88799999.999999985</v>
      </c>
      <c r="AQ19" s="230">
        <f>SUM($D$17:AQ$17)</f>
        <v>88799999.999999985</v>
      </c>
      <c r="AR19" s="230">
        <f>SUM($D$17:AR$17)</f>
        <v>88799999.999999985</v>
      </c>
      <c r="AS19" s="230">
        <f>SUM($D$17:AS$17)</f>
        <v>88799999.999999985</v>
      </c>
      <c r="AT19" s="230">
        <f>SUM($D$17:AT$17)</f>
        <v>88799999.999999985</v>
      </c>
      <c r="AU19" s="230">
        <f>SUM($D$17:AU$17)</f>
        <v>88799999.999999985</v>
      </c>
      <c r="AV19" s="230">
        <f>SUM($D$17:AV$17)</f>
        <v>88799999.999999985</v>
      </c>
      <c r="AW19" s="230">
        <f>SUM($D$17:AW$17)</f>
        <v>88799999.999999985</v>
      </c>
      <c r="AX19" s="230">
        <f>SUM($D$17:AX$17)</f>
        <v>88799999.999999985</v>
      </c>
      <c r="AY19" s="230">
        <f>SUM($D$17:AY$17)</f>
        <v>88799999.999999985</v>
      </c>
      <c r="AZ19" s="230">
        <f>SUM($D$17:AZ$17)</f>
        <v>88799999.999999985</v>
      </c>
      <c r="BA19" s="230">
        <f>SUM($D$17:BA$17)</f>
        <v>88799999.999999985</v>
      </c>
      <c r="BB19" s="525"/>
    </row>
    <row r="20" spans="1:54">
      <c r="A20" s="506"/>
      <c r="B20" s="229" t="s">
        <v>75</v>
      </c>
      <c r="C20" s="229"/>
      <c r="D20" s="230">
        <f>IF(D19&gt;=0,D19*-'3. Finansiering'!$C$9,0)</f>
        <v>-2663999.9999999995</v>
      </c>
      <c r="E20" s="230">
        <f>IF(E19&gt;=0,E19*-'3. Finansiering'!$C$9,0)</f>
        <v>-2663999.9999999995</v>
      </c>
      <c r="F20" s="230">
        <f>IF(F19&gt;=0,F19*-'3. Finansiering'!$C$9,0)</f>
        <v>-2663999.9999999995</v>
      </c>
      <c r="G20" s="230">
        <f>IF(G19&gt;=0,G19*-'3. Finansiering'!$C$9,0)</f>
        <v>-2663999.9999999995</v>
      </c>
      <c r="H20" s="230">
        <f>IF(H19&gt;=0,H19*-'3. Finansiering'!$C$9,0)</f>
        <v>-2663999.9999999995</v>
      </c>
      <c r="I20" s="230">
        <f>IF(I19&gt;=0,I19*-'3. Finansiering'!$C$9,0)</f>
        <v>-2663999.9999999995</v>
      </c>
      <c r="J20" s="230">
        <f>IF(J19&gt;=0,J19*-'3. Finansiering'!$C$9,0)</f>
        <v>-2663999.9999999995</v>
      </c>
      <c r="K20" s="230">
        <f>IF(K19&gt;=0,K19*-'3. Finansiering'!$C$9,0)</f>
        <v>-2663999.9999999995</v>
      </c>
      <c r="L20" s="230">
        <f>IF(L19&gt;=0,L19*-'3. Finansiering'!$C$9,0)</f>
        <v>-2663999.9999999995</v>
      </c>
      <c r="M20" s="230">
        <f>IF(M19&gt;=0,M19*-'3. Finansiering'!$C$9,0)</f>
        <v>-2663999.9999999995</v>
      </c>
      <c r="N20" s="230">
        <f>IF(N19&gt;=0,N19*-'3. Finansiering'!$C$9,0)</f>
        <v>-2663999.9999999995</v>
      </c>
      <c r="O20" s="230">
        <f>IF(O19&gt;=0,O19*-'3. Finansiering'!$C$9,0)</f>
        <v>-2663999.9999999995</v>
      </c>
      <c r="P20" s="230">
        <f>IF(P19&gt;=0,P19*-'3. Finansiering'!$C$9,0)</f>
        <v>-2663999.9999999995</v>
      </c>
      <c r="Q20" s="230">
        <f>IF(Q19&gt;=0,Q19*-'3. Finansiering'!$C$9,0)</f>
        <v>-2663999.9999999995</v>
      </c>
      <c r="R20" s="230">
        <f>IF(R19&gt;=0,R19*-'3. Finansiering'!$C$9,0)</f>
        <v>-2663999.9999999995</v>
      </c>
      <c r="S20" s="230">
        <f>IF(S19&gt;=0,S19*-'3. Finansiering'!$C$9,0)</f>
        <v>-2663999.9999999995</v>
      </c>
      <c r="T20" s="230">
        <f>IF(T19&gt;=0,T19*-'3. Finansiering'!$C$9,0)</f>
        <v>-2663999.9999999995</v>
      </c>
      <c r="U20" s="230">
        <f>IF(U19&gt;=0,U19*-'3. Finansiering'!$C$9,0)</f>
        <v>-2663999.9999999995</v>
      </c>
      <c r="V20" s="230">
        <f>IF(V19&gt;=0,V19*-'3. Finansiering'!$C$9,0)</f>
        <v>-2663999.9999999995</v>
      </c>
      <c r="W20" s="230">
        <f>IF(W19&gt;=0,W19*-'3. Finansiering'!$C$9,0)</f>
        <v>-2663999.9999999995</v>
      </c>
      <c r="X20" s="230">
        <f>IF(X19&gt;=0,X19*-'3. Finansiering'!$C$9,0)</f>
        <v>-2663999.9999999995</v>
      </c>
      <c r="Y20" s="230">
        <f>IF(Y19&gt;=0,Y19*-'3. Finansiering'!$C$9,0)</f>
        <v>-2663999.9999999995</v>
      </c>
      <c r="Z20" s="230">
        <f>IF(Z19&gt;=0,Z19*-'3. Finansiering'!$C$9,0)</f>
        <v>-2663999.9999999995</v>
      </c>
      <c r="AA20" s="230">
        <f>IF(AA19&gt;=0,AA19*-'3. Finansiering'!$C$9,0)</f>
        <v>-2663999.9999999995</v>
      </c>
      <c r="AB20" s="230">
        <f>IF(AB19&gt;=0,AB19*-'3. Finansiering'!$C$9,0)</f>
        <v>-2663999.9999999995</v>
      </c>
      <c r="AC20" s="230">
        <f>IF(AC19&gt;=0,AC19*-'3. Finansiering'!$C$9,0)</f>
        <v>-2663999.9999999995</v>
      </c>
      <c r="AD20" s="230">
        <f>IF(AD19&gt;=0,AD19*-'3. Finansiering'!$C$9,0)</f>
        <v>-2663999.9999999995</v>
      </c>
      <c r="AE20" s="230">
        <f>IF(AE19&gt;=0,AE19*-'3. Finansiering'!$C$9,0)</f>
        <v>-2663999.9999999995</v>
      </c>
      <c r="AF20" s="230">
        <f>IF(AF19&gt;=0,AF19*-'3. Finansiering'!$C$9,0)</f>
        <v>-2663999.9999999995</v>
      </c>
      <c r="AG20" s="230">
        <f>IF(AG19&gt;=0,AG19*-'3. Finansiering'!$C$9,0)</f>
        <v>-2663999.9999999995</v>
      </c>
      <c r="AH20" s="230">
        <f>IF(AH19&gt;=0,AH19*-'3. Finansiering'!$C$9,0)</f>
        <v>-2663999.9999999995</v>
      </c>
      <c r="AI20" s="230">
        <f>IF(AI19&gt;=0,AI19*-'3. Finansiering'!$C$9,0)</f>
        <v>-2663999.9999999995</v>
      </c>
      <c r="AJ20" s="230">
        <f>IF(AJ19&gt;=0,AJ19*-'3. Finansiering'!$C$9,0)</f>
        <v>-2663999.9999999995</v>
      </c>
      <c r="AK20" s="230">
        <f>IF(AK19&gt;=0,AK19*-'3. Finansiering'!$C$9,0)</f>
        <v>-2663999.9999999995</v>
      </c>
      <c r="AL20" s="230">
        <f>IF(AL19&gt;=0,AL19*-'3. Finansiering'!$C$9,0)</f>
        <v>-2663999.9999999995</v>
      </c>
      <c r="AM20" s="230">
        <f>IF(AM19&gt;=0,AM19*-'3. Finansiering'!$C$9,0)</f>
        <v>-2663999.9999999995</v>
      </c>
      <c r="AN20" s="230">
        <f>IF(AN19&gt;=0,AN19*-'3. Finansiering'!$C$9,0)</f>
        <v>-2663999.9999999995</v>
      </c>
      <c r="AO20" s="230">
        <f>IF(AO19&gt;=0,AO19*-'3. Finansiering'!$C$9,0)</f>
        <v>-2663999.9999999995</v>
      </c>
      <c r="AP20" s="230">
        <f>IF(AP19&gt;=0,AP19*-'3. Finansiering'!$C$9,0)</f>
        <v>-2663999.9999999995</v>
      </c>
      <c r="AQ20" s="230">
        <f>IF(AQ19&gt;=0,AQ19*-'3. Finansiering'!$C$9,0)</f>
        <v>-2663999.9999999995</v>
      </c>
      <c r="AR20" s="230">
        <f>IF(AR19&gt;=0,AR19*-'3. Finansiering'!$C$9,0)</f>
        <v>-2663999.9999999995</v>
      </c>
      <c r="AS20" s="230">
        <f>IF(AS19&gt;=0,AS19*-'3. Finansiering'!$C$9,0)</f>
        <v>-2663999.9999999995</v>
      </c>
      <c r="AT20" s="230">
        <f>IF(AT19&gt;=0,AT19*-'3. Finansiering'!$C$9,0)</f>
        <v>-2663999.9999999995</v>
      </c>
      <c r="AU20" s="230">
        <f>IF(AU19&gt;=0,AU19*-'3. Finansiering'!$C$9,0)</f>
        <v>-2663999.9999999995</v>
      </c>
      <c r="AV20" s="230">
        <f>IF(AV19&gt;=0,AV19*-'3. Finansiering'!$C$9,0)</f>
        <v>-2663999.9999999995</v>
      </c>
      <c r="AW20" s="230">
        <f>IF(AW19&gt;=0,AW19*-'3. Finansiering'!$C$9,0)</f>
        <v>-2663999.9999999995</v>
      </c>
      <c r="AX20" s="230">
        <f>IF(AX19&gt;=0,AX19*-'3. Finansiering'!$C$9,0)</f>
        <v>-2663999.9999999995</v>
      </c>
      <c r="AY20" s="230">
        <f>IF(AY19&gt;=0,AY19*-'3. Finansiering'!$C$9,0)</f>
        <v>-2663999.9999999995</v>
      </c>
      <c r="AZ20" s="230">
        <f>IF(AZ19&gt;=0,AZ19*-'3. Finansiering'!$C$9,0)</f>
        <v>-2663999.9999999995</v>
      </c>
      <c r="BA20" s="230">
        <f>IF(BA19&gt;=0,BA19*-'3. Finansiering'!$C$9,0)</f>
        <v>-2663999.9999999995</v>
      </c>
      <c r="BB20" s="525"/>
    </row>
    <row r="21" spans="1:54">
      <c r="A21" s="506"/>
      <c r="B21" s="229" t="s">
        <v>212</v>
      </c>
      <c r="C21" s="229"/>
      <c r="D21" s="230">
        <f>IF(IF(-SUM($D$20:D$20)&gt;D19,D19,SUM($D$20:D$20))&gt;=D19,0,(IF(-SUM($D$20:D$20)&gt;D19,D19,SUM($D$20:D$20))))</f>
        <v>-2663999.9999999995</v>
      </c>
      <c r="E21" s="230">
        <f>IF(IF(-SUM($D$20:E$20)&gt;E19,E19,SUM($D$20:E$20))&gt;=E19,0,(IF(-SUM($D$20:E$20)&gt;E19,E19,SUM($D$20:E$20))))</f>
        <v>-5327999.9999999991</v>
      </c>
      <c r="F21" s="230">
        <f>IF(IF(-SUM($D$20:F$20)&gt;F19,F19,SUM($D$20:F$20))&gt;=F19,0,(IF(-SUM($D$20:F$20)&gt;F19,F19,SUM($D$20:F$20))))</f>
        <v>-7991999.9999999981</v>
      </c>
      <c r="G21" s="230">
        <f>IF(IF(-SUM($D$20:G$20)&gt;G19,G19,SUM($D$20:G$20))&gt;=G19,0,(IF(-SUM($D$20:G$20)&gt;G19,G19,SUM($D$20:G$20))))</f>
        <v>-10655999.999999998</v>
      </c>
      <c r="H21" s="230">
        <f>IF(IF(-SUM($D$20:H$20)&gt;H19,H19,SUM($D$20:H$20))&gt;=H19,0,(IF(-SUM($D$20:H$20)&gt;H19,H19,SUM($D$20:H$20))))</f>
        <v>-13319999.999999998</v>
      </c>
      <c r="I21" s="230">
        <f>IF(IF(-SUM($D$20:I$20)&gt;I19,I19,SUM($D$20:I$20))&gt;=I19,0,(IF(-SUM($D$20:I$20)&gt;I19,I19,SUM($D$20:I$20))))</f>
        <v>-15983999.999999998</v>
      </c>
      <c r="J21" s="230">
        <f>IF(IF(-SUM($D$20:J$20)&gt;J19,J19,SUM($D$20:J$20))&gt;=J19,0,(IF(-SUM($D$20:J$20)&gt;J19,J19,SUM($D$20:J$20))))</f>
        <v>-18647999.999999996</v>
      </c>
      <c r="K21" s="230">
        <f>IF(IF(-SUM($D$20:K$20)&gt;K19,K19,SUM($D$20:K$20))&gt;=K19,0,(IF(-SUM($D$20:K$20)&gt;K19,K19,SUM($D$20:K$20))))</f>
        <v>-21311999.999999996</v>
      </c>
      <c r="L21" s="230">
        <f>IF(IF(-SUM($D$20:L$20)&gt;L19,L19,SUM($D$20:L$20))&gt;=L19,0,(IF(-SUM($D$20:L$20)&gt;L19,L19,SUM($D$20:L$20))))</f>
        <v>-23975999.999999996</v>
      </c>
      <c r="M21" s="230">
        <f>IF(IF(-SUM($D$20:M$20)&gt;M19,M19,SUM($D$20:M$20))&gt;=M19,0,(IF(-SUM($D$20:M$20)&gt;M19,M19,SUM($D$20:M$20))))</f>
        <v>-26639999.999999996</v>
      </c>
      <c r="N21" s="230">
        <f>IF(IF(-SUM($D$20:N$20)&gt;N19,N19,SUM($D$20:N$20))&gt;=N19,0,(IF(-SUM($D$20:N$20)&gt;N19,N19,SUM($D$20:N$20))))</f>
        <v>-29303999.999999996</v>
      </c>
      <c r="O21" s="230">
        <f>IF(IF(-SUM($D$20:O$20)&gt;O19,O19,SUM($D$20:O$20))&gt;=O19,0,(IF(-SUM($D$20:O$20)&gt;O19,O19,SUM($D$20:O$20))))</f>
        <v>-31967999.999999996</v>
      </c>
      <c r="P21" s="230">
        <f>IF(IF(-SUM($D$20:P$20)&gt;P19,P19,SUM($D$20:P$20))&gt;=P19,0,(IF(-SUM($D$20:P$20)&gt;P19,P19,SUM($D$20:P$20))))</f>
        <v>-34631999.999999993</v>
      </c>
      <c r="Q21" s="230">
        <f>IF(IF(-SUM($D$20:Q$20)&gt;Q19,Q19,SUM($D$20:Q$20))&gt;=Q19,0,(IF(-SUM($D$20:Q$20)&gt;Q19,Q19,SUM($D$20:Q$20))))</f>
        <v>-37295999.999999993</v>
      </c>
      <c r="R21" s="230">
        <f>IF(IF(-SUM($D$20:R$20)&gt;R19,R19,SUM($D$20:R$20))&gt;=R19,0,(IF(-SUM($D$20:R$20)&gt;R19,R19,SUM($D$20:R$20))))</f>
        <v>-39959999.999999993</v>
      </c>
      <c r="S21" s="230">
        <f>IF(IF(-SUM($D$20:S$20)&gt;S19,S19,SUM($D$20:S$20))&gt;=S19,0,(IF(-SUM($D$20:S$20)&gt;S19,S19,SUM($D$20:S$20))))</f>
        <v>-42623999.999999993</v>
      </c>
      <c r="T21" s="230">
        <f>IF(IF(-SUM($D$20:T$20)&gt;T19,T19,SUM($D$20:T$20))&gt;=T19,0,(IF(-SUM($D$20:T$20)&gt;T19,T19,SUM($D$20:T$20))))</f>
        <v>-45287999.999999993</v>
      </c>
      <c r="U21" s="230">
        <f>IF(IF(-SUM($D$20:U$20)&gt;U19,U19,SUM($D$20:U$20))&gt;=U19,0,(IF(-SUM($D$20:U$20)&gt;U19,U19,SUM($D$20:U$20))))</f>
        <v>-47951999.999999993</v>
      </c>
      <c r="V21" s="230">
        <f>IF(IF(-SUM($D$20:V$20)&gt;V19,V19,SUM($D$20:V$20))&gt;=V19,0,(IF(-SUM($D$20:V$20)&gt;V19,V19,SUM($D$20:V$20))))</f>
        <v>-50615999.999999993</v>
      </c>
      <c r="W21" s="230">
        <f>IF(IF(-SUM($D$20:W$20)&gt;W19,W19,SUM($D$20:W$20))&gt;=W19,0,(IF(-SUM($D$20:W$20)&gt;W19,W19,SUM($D$20:W$20))))</f>
        <v>-53279999.999999993</v>
      </c>
      <c r="X21" s="230">
        <f>IF(IF(-SUM($D$20:X$20)&gt;X19,X19,SUM($D$20:X$20))&gt;=X19,0,(IF(-SUM($D$20:X$20)&gt;X19,X19,SUM($D$20:X$20))))</f>
        <v>-55943999.999999993</v>
      </c>
      <c r="Y21" s="230">
        <f>IF(IF(-SUM($D$20:Y$20)&gt;Y19,Y19,SUM($D$20:Y$20))&gt;=Y19,0,(IF(-SUM($D$20:Y$20)&gt;Y19,Y19,SUM($D$20:Y$20))))</f>
        <v>-58607999.999999993</v>
      </c>
      <c r="Z21" s="230">
        <f>IF(IF(-SUM($D$20:Z$20)&gt;Z19,Z19,SUM($D$20:Z$20))&gt;=Z19,0,(IF(-SUM($D$20:Z$20)&gt;Z19,Z19,SUM($D$20:Z$20))))</f>
        <v>-61271999.999999993</v>
      </c>
      <c r="AA21" s="230">
        <f>IF(IF(-SUM($D$20:AA$20)&gt;AA19,AA19,SUM($D$20:AA$20))&gt;=AA19,0,(IF(-SUM($D$20:AA$20)&gt;AA19,AA19,SUM($D$20:AA$20))))</f>
        <v>-63935999.999999993</v>
      </c>
      <c r="AB21" s="230">
        <f>IF(IF(-SUM($D$20:AB$20)&gt;AB19,AB19,SUM($D$20:AB$20))&gt;=AB19,0,(IF(-SUM($D$20:AB$20)&gt;AB19,AB19,SUM($D$20:AB$20))))</f>
        <v>-66599999.999999993</v>
      </c>
      <c r="AC21" s="230">
        <f>IF(IF(-SUM($D$20:AC$20)&gt;AC19,AC19,SUM($D$20:AC$20))&gt;=AC19,0,(IF(-SUM($D$20:AC$20)&gt;AC19,AC19,SUM($D$20:AC$20))))</f>
        <v>-69263999.999999985</v>
      </c>
      <c r="AD21" s="230">
        <f>IF(IF(-SUM($D$20:AD$20)&gt;AD19,AD19,SUM($D$20:AD$20))&gt;=AD19,0,(IF(-SUM($D$20:AD$20)&gt;AD19,AD19,SUM($D$20:AD$20))))</f>
        <v>-71927999.999999985</v>
      </c>
      <c r="AE21" s="230">
        <f>IF(IF(-SUM($D$20:AE$20)&gt;AE19,AE19,SUM($D$20:AE$20))&gt;=AE19,0,(IF(-SUM($D$20:AE$20)&gt;AE19,AE19,SUM($D$20:AE$20))))</f>
        <v>-74591999.999999985</v>
      </c>
      <c r="AF21" s="230">
        <f>IF(IF(-SUM($D$20:AF$20)&gt;AF19,AF19,SUM($D$20:AF$20))&gt;=AF19,0,(IF(-SUM($D$20:AF$20)&gt;AF19,AF19,SUM($D$20:AF$20))))</f>
        <v>-77255999.999999985</v>
      </c>
      <c r="AG21" s="230">
        <f>IF(IF(-SUM($D$20:AG$20)&gt;AG19,AG19,SUM($D$20:AG$20))&gt;=AG19,0,(IF(-SUM($D$20:AG$20)&gt;AG19,AG19,SUM($D$20:AG$20))))</f>
        <v>-79919999.999999985</v>
      </c>
      <c r="AH21" s="230">
        <f>IF(IF(-SUM($D$20:AH$20)&gt;AH19,AH19,SUM($D$20:AH$20))&gt;=AH19,0,(IF(-SUM($D$20:AH$20)&gt;AH19,AH19,SUM($D$20:AH$20))))</f>
        <v>-82583999.999999985</v>
      </c>
      <c r="AI21" s="230">
        <f>IF(IF(-SUM($D$20:AI$20)&gt;AI19,AI19,SUM($D$20:AI$20))&gt;=AI19,0,(IF(-SUM($D$20:AI$20)&gt;AI19,AI19,SUM($D$20:AI$20))))</f>
        <v>-85247999.999999985</v>
      </c>
      <c r="AJ21" s="230">
        <f>IF(IF(-SUM($D$20:AJ$20)&gt;AJ19,AJ19,SUM($D$20:AJ$20))&gt;=AJ19,0,(IF(-SUM($D$20:AJ$20)&gt;AJ19,AJ19,SUM($D$20:AJ$20))))</f>
        <v>-87911999.999999985</v>
      </c>
      <c r="AK21" s="230">
        <f>IF(IF(-SUM($D$20:AK$20)&gt;AK19,AK19,SUM($D$20:AK$20))&gt;=AK19,0,(IF(-SUM($D$20:AK$20)&gt;AK19,AK19,SUM($D$20:AK$20))))</f>
        <v>0</v>
      </c>
      <c r="AL21" s="230">
        <f>IF(IF(-SUM($D$20:AL$20)&gt;AL19,AL19,SUM($D$20:AL$20))&gt;=AL19,0,(IF(-SUM($D$20:AL$20)&gt;AL19,AL19,SUM($D$20:AL$20))))</f>
        <v>0</v>
      </c>
      <c r="AM21" s="230">
        <f>IF(IF(-SUM($D$20:AM$20)&gt;AM19,AM19,SUM($D$20:AM$20))&gt;=AM19,0,(IF(-SUM($D$20:AM$20)&gt;AM19,AM19,SUM($D$20:AM$20))))</f>
        <v>0</v>
      </c>
      <c r="AN21" s="230">
        <f>IF(IF(-SUM($D$20:AN$20)&gt;AN19,AN19,SUM($D$20:AN$20))&gt;=AN19,0,(IF(-SUM($D$20:AN$20)&gt;AN19,AN19,SUM($D$20:AN$20))))</f>
        <v>0</v>
      </c>
      <c r="AO21" s="230">
        <f>IF(IF(-SUM($D$20:AO$20)&gt;AO19,AO19,SUM($D$20:AO$20))&gt;=AO19,0,(IF(-SUM($D$20:AO$20)&gt;AO19,AO19,SUM($D$20:AO$20))))</f>
        <v>0</v>
      </c>
      <c r="AP21" s="230">
        <f>IF(IF(-SUM($D$20:AP$20)&gt;AP19,AP19,SUM($D$20:AP$20))&gt;=AP19,0,(IF(-SUM($D$20:AP$20)&gt;AP19,AP19,SUM($D$20:AP$20))))</f>
        <v>0</v>
      </c>
      <c r="AQ21" s="230">
        <f>IF(IF(-SUM($D$20:AQ$20)&gt;AQ19,AQ19,SUM($D$20:AQ$20))&gt;=AQ19,0,(IF(-SUM($D$20:AQ$20)&gt;AQ19,AQ19,SUM($D$20:AQ$20))))</f>
        <v>0</v>
      </c>
      <c r="AR21" s="230">
        <f>IF(IF(-SUM($D$20:AR$20)&gt;AR19,AR19,SUM($D$20:AR$20))&gt;=AR19,0,(IF(-SUM($D$20:AR$20)&gt;AR19,AR19,SUM($D$20:AR$20))))</f>
        <v>0</v>
      </c>
      <c r="AS21" s="230">
        <f>IF(IF(-SUM($D$20:AS$20)&gt;AS19,AS19,SUM($D$20:AS$20))&gt;=AS19,0,(IF(-SUM($D$20:AS$20)&gt;AS19,AS19,SUM($D$20:AS$20))))</f>
        <v>0</v>
      </c>
      <c r="AT21" s="230">
        <f>IF(IF(-SUM($D$20:AT$20)&gt;AT19,AT19,SUM($D$20:AT$20))&gt;=AT19,0,(IF(-SUM($D$20:AT$20)&gt;AT19,AT19,SUM($D$20:AT$20))))</f>
        <v>0</v>
      </c>
      <c r="AU21" s="230">
        <f>IF(IF(-SUM($D$20:AU$20)&gt;AU19,AU19,SUM($D$20:AU$20))&gt;=AU19,0,(IF(-SUM($D$20:AU$20)&gt;AU19,AU19,SUM($D$20:AU$20))))</f>
        <v>0</v>
      </c>
      <c r="AV21" s="230">
        <f>IF(IF(-SUM($D$20:AV$20)&gt;AV19,AV19,SUM($D$20:AV$20))&gt;=AV19,0,(IF(-SUM($D$20:AV$20)&gt;AV19,AV19,SUM($D$20:AV$20))))</f>
        <v>0</v>
      </c>
      <c r="AW21" s="230">
        <f>IF(IF(-SUM($D$20:AW$20)&gt;AW19,AW19,SUM($D$20:AW$20))&gt;=AW19,0,(IF(-SUM($D$20:AW$20)&gt;AW19,AW19,SUM($D$20:AW$20))))</f>
        <v>0</v>
      </c>
      <c r="AX21" s="230">
        <f>IF(IF(-SUM($D$20:AX$20)&gt;AX19,AX19,SUM($D$20:AX$20))&gt;=AX19,0,(IF(-SUM($D$20:AX$20)&gt;AX19,AX19,SUM($D$20:AX$20))))</f>
        <v>0</v>
      </c>
      <c r="AY21" s="230">
        <f>IF(IF(-SUM($D$20:AY$20)&gt;AY19,AY19,SUM($D$20:AY$20))&gt;=AY19,0,(IF(-SUM($D$20:AY$20)&gt;AY19,AY19,SUM($D$20:AY$20))))</f>
        <v>0</v>
      </c>
      <c r="AZ21" s="230">
        <f>IF(IF(-SUM($D$20:AZ$20)&gt;AZ19,AZ19,SUM($D$20:AZ$20))&gt;=AZ19,0,(IF(-SUM($D$20:AZ$20)&gt;AZ19,AZ19,SUM($D$20:AZ$20))))</f>
        <v>0</v>
      </c>
      <c r="BA21" s="230">
        <f>IF(IF(-SUM($D$20:BA$20)&gt;BA19,BA19,SUM($D$20:BA$20))&gt;=BA19,0,(IF(-SUM($D$20:BA$20)&gt;BA19,BA19,SUM($D$20:BA$20))))</f>
        <v>0</v>
      </c>
      <c r="BB21" s="525"/>
    </row>
    <row r="22" spans="1:54">
      <c r="A22" s="506"/>
      <c r="B22" s="328" t="s">
        <v>213</v>
      </c>
      <c r="C22" s="328"/>
      <c r="D22" s="444">
        <f>IF(D$21&gt;0,0,D$19+D$21)</f>
        <v>86135999.999999985</v>
      </c>
      <c r="E22" s="444">
        <f t="shared" ref="E22:BA22" si="0">IF(E$21&gt;0,0,E$19+E$21)</f>
        <v>83471999.999999985</v>
      </c>
      <c r="F22" s="444">
        <f t="shared" si="0"/>
        <v>80807999.999999985</v>
      </c>
      <c r="G22" s="444">
        <f t="shared" si="0"/>
        <v>78143999.999999985</v>
      </c>
      <c r="H22" s="444">
        <f t="shared" si="0"/>
        <v>75479999.999999985</v>
      </c>
      <c r="I22" s="444">
        <f t="shared" si="0"/>
        <v>72815999.999999985</v>
      </c>
      <c r="J22" s="444">
        <f t="shared" si="0"/>
        <v>70151999.999999985</v>
      </c>
      <c r="K22" s="444">
        <f t="shared" si="0"/>
        <v>67487999.999999985</v>
      </c>
      <c r="L22" s="444">
        <f t="shared" si="0"/>
        <v>64823999.999999985</v>
      </c>
      <c r="M22" s="444">
        <f t="shared" si="0"/>
        <v>62159999.999999985</v>
      </c>
      <c r="N22" s="444">
        <f t="shared" si="0"/>
        <v>59495999.999999985</v>
      </c>
      <c r="O22" s="444">
        <f t="shared" si="0"/>
        <v>56831999.999999985</v>
      </c>
      <c r="P22" s="444">
        <f t="shared" si="0"/>
        <v>54167999.999999993</v>
      </c>
      <c r="Q22" s="444">
        <f t="shared" si="0"/>
        <v>51503999.999999993</v>
      </c>
      <c r="R22" s="444">
        <f t="shared" si="0"/>
        <v>48839999.999999993</v>
      </c>
      <c r="S22" s="444">
        <f t="shared" si="0"/>
        <v>46175999.999999993</v>
      </c>
      <c r="T22" s="444">
        <f t="shared" si="0"/>
        <v>43511999.999999993</v>
      </c>
      <c r="U22" s="444">
        <f t="shared" si="0"/>
        <v>40847999.999999993</v>
      </c>
      <c r="V22" s="444">
        <f t="shared" si="0"/>
        <v>38183999.999999993</v>
      </c>
      <c r="W22" s="444">
        <f t="shared" si="0"/>
        <v>35519999.999999993</v>
      </c>
      <c r="X22" s="444">
        <f t="shared" si="0"/>
        <v>32855999.999999993</v>
      </c>
      <c r="Y22" s="444">
        <f t="shared" si="0"/>
        <v>30191999.999999993</v>
      </c>
      <c r="Z22" s="444">
        <f t="shared" si="0"/>
        <v>27527999.999999993</v>
      </c>
      <c r="AA22" s="444">
        <f t="shared" si="0"/>
        <v>24863999.999999993</v>
      </c>
      <c r="AB22" s="444">
        <f t="shared" si="0"/>
        <v>22199999.999999993</v>
      </c>
      <c r="AC22" s="444">
        <f t="shared" si="0"/>
        <v>19536000</v>
      </c>
      <c r="AD22" s="444">
        <f t="shared" si="0"/>
        <v>16872000</v>
      </c>
      <c r="AE22" s="444">
        <f t="shared" si="0"/>
        <v>14208000</v>
      </c>
      <c r="AF22" s="444">
        <f t="shared" si="0"/>
        <v>11544000</v>
      </c>
      <c r="AG22" s="444">
        <f t="shared" si="0"/>
        <v>8880000</v>
      </c>
      <c r="AH22" s="444">
        <f t="shared" si="0"/>
        <v>6216000</v>
      </c>
      <c r="AI22" s="444">
        <f t="shared" si="0"/>
        <v>3552000</v>
      </c>
      <c r="AJ22" s="444">
        <f t="shared" si="0"/>
        <v>888000</v>
      </c>
      <c r="AK22" s="444">
        <f t="shared" si="0"/>
        <v>88799999.999999985</v>
      </c>
      <c r="AL22" s="444">
        <f t="shared" si="0"/>
        <v>88799999.999999985</v>
      </c>
      <c r="AM22" s="444">
        <f t="shared" si="0"/>
        <v>88799999.999999985</v>
      </c>
      <c r="AN22" s="444">
        <f t="shared" si="0"/>
        <v>88799999.999999985</v>
      </c>
      <c r="AO22" s="444">
        <f t="shared" si="0"/>
        <v>88799999.999999985</v>
      </c>
      <c r="AP22" s="444">
        <f t="shared" si="0"/>
        <v>88799999.999999985</v>
      </c>
      <c r="AQ22" s="444">
        <f t="shared" si="0"/>
        <v>88799999.999999985</v>
      </c>
      <c r="AR22" s="444">
        <f t="shared" si="0"/>
        <v>88799999.999999985</v>
      </c>
      <c r="AS22" s="444">
        <f t="shared" si="0"/>
        <v>88799999.999999985</v>
      </c>
      <c r="AT22" s="444">
        <f t="shared" si="0"/>
        <v>88799999.999999985</v>
      </c>
      <c r="AU22" s="444">
        <f t="shared" si="0"/>
        <v>88799999.999999985</v>
      </c>
      <c r="AV22" s="444">
        <f t="shared" si="0"/>
        <v>88799999.999999985</v>
      </c>
      <c r="AW22" s="444">
        <f t="shared" si="0"/>
        <v>88799999.999999985</v>
      </c>
      <c r="AX22" s="444">
        <f t="shared" si="0"/>
        <v>88799999.999999985</v>
      </c>
      <c r="AY22" s="444">
        <f t="shared" si="0"/>
        <v>88799999.999999985</v>
      </c>
      <c r="AZ22" s="444">
        <f t="shared" si="0"/>
        <v>88799999.999999985</v>
      </c>
      <c r="BA22" s="444">
        <f t="shared" si="0"/>
        <v>88799999.999999985</v>
      </c>
      <c r="BB22" s="525"/>
    </row>
    <row r="23" spans="1:54">
      <c r="A23" s="506"/>
      <c r="B23" s="229" t="s">
        <v>214</v>
      </c>
      <c r="C23" s="445"/>
      <c r="D23" s="446">
        <f>'3. Finansiering'!C7</f>
        <v>3.0700000000000002E-2</v>
      </c>
      <c r="E23" s="445">
        <f>IF('3. Finansiering'!$C$7+(('3. Finansiering'!$C$8-'3. Finansiering'!$C$7)*(D14/$M$14))&gt;'3. Finansiering'!$C$8,'3. Finansiering'!$C$8,('3. Finansiering'!$C$7+(('3. Finansiering'!$C$8-'3. Finansiering'!$C$7)*(D14/$M$14))))</f>
        <v>3.218E-2</v>
      </c>
      <c r="F23" s="445">
        <f>IF('3. Finansiering'!$C$7+(('3. Finansiering'!$C$8-'3. Finansiering'!$C$7)*(E14/$M$14))&gt;'3. Finansiering'!$C$8,'3. Finansiering'!$C$8,('3. Finansiering'!$C$7+(('3. Finansiering'!$C$8-'3. Finansiering'!$C$7)*(E14/$M$14))))</f>
        <v>3.3660000000000002E-2</v>
      </c>
      <c r="G23" s="445">
        <f>IF('3. Finansiering'!$C$7+(('3. Finansiering'!$C$8-'3. Finansiering'!$C$7)*(F14/$M$14))&gt;'3. Finansiering'!$C$8,'3. Finansiering'!$C$8,('3. Finansiering'!$C$7+(('3. Finansiering'!$C$8-'3. Finansiering'!$C$7)*(F14/$M$14))))</f>
        <v>3.5139999999999998E-2</v>
      </c>
      <c r="H23" s="445">
        <f>IF('3. Finansiering'!$C$7+(('3. Finansiering'!$C$8-'3. Finansiering'!$C$7)*(G14/$M$14))&gt;'3. Finansiering'!$C$8,'3. Finansiering'!$C$8,('3. Finansiering'!$C$7+(('3. Finansiering'!$C$8-'3. Finansiering'!$C$7)*(G14/$M$14))))</f>
        <v>3.662E-2</v>
      </c>
      <c r="I23" s="445">
        <f>IF('3. Finansiering'!$C$7+(('3. Finansiering'!$C$8-'3. Finansiering'!$C$7)*(H14/$M$14))&gt;'3. Finansiering'!$C$8,'3. Finansiering'!$C$8,('3. Finansiering'!$C$7+(('3. Finansiering'!$C$8-'3. Finansiering'!$C$7)*(H14/$M$14))))</f>
        <v>3.8100000000000002E-2</v>
      </c>
      <c r="J23" s="445">
        <f>IF('3. Finansiering'!$C$7+(('3. Finansiering'!$C$8-'3. Finansiering'!$C$7)*(I14/$M$14))&gt;'3. Finansiering'!$C$8,'3. Finansiering'!$C$8,('3. Finansiering'!$C$7+(('3. Finansiering'!$C$8-'3. Finansiering'!$C$7)*(I14/$M$14))))</f>
        <v>3.9579999999999997E-2</v>
      </c>
      <c r="K23" s="445">
        <f>IF('3. Finansiering'!$C$7+(('3. Finansiering'!$C$8-'3. Finansiering'!$C$7)*(J14/$M$14))&gt;'3. Finansiering'!$C$8,'3. Finansiering'!$C$8,('3. Finansiering'!$C$7+(('3. Finansiering'!$C$8-'3. Finansiering'!$C$7)*(J14/$M$14))))</f>
        <v>4.1059999999999999E-2</v>
      </c>
      <c r="L23" s="445">
        <f>IF('3. Finansiering'!$C$7+(('3. Finansiering'!$C$8-'3. Finansiering'!$C$7)*(K14/$M$14))&gt;'3. Finansiering'!$C$8,'3. Finansiering'!$C$8,('3. Finansiering'!$C$7+(('3. Finansiering'!$C$8-'3. Finansiering'!$C$7)*(K14/$M$14))))</f>
        <v>4.2540000000000001E-2</v>
      </c>
      <c r="M23" s="445">
        <f>IF('3. Finansiering'!$C$7+(('3. Finansiering'!$C$8-'3. Finansiering'!$C$7)*(L14/$M$14))&gt;'3. Finansiering'!$C$8,'3. Finansiering'!$C$8,('3. Finansiering'!$C$7+(('3. Finansiering'!$C$8-'3. Finansiering'!$C$7)*(L14/$M$14))))</f>
        <v>4.4020000000000004E-2</v>
      </c>
      <c r="N23" s="445">
        <f>IF('3. Finansiering'!$C$7+(('3. Finansiering'!$C$8-'3. Finansiering'!$C$7)*(M14/$M$14))&gt;'3. Finansiering'!$C$8,'3. Finansiering'!$C$8,('3. Finansiering'!$C$7+(('3. Finansiering'!$C$8-'3. Finansiering'!$C$7)*(M14/$M$14))))</f>
        <v>4.5499999999999999E-2</v>
      </c>
      <c r="O23" s="445">
        <f>IF('3. Finansiering'!$C$7+(('3. Finansiering'!$C$8-'3. Finansiering'!$C$7)*(N14/$M$14))&gt;'3. Finansiering'!$C$8,'3. Finansiering'!$C$8,('3. Finansiering'!$C$7+(('3. Finansiering'!$C$8-'3. Finansiering'!$C$7)*(N14/$M$14))))</f>
        <v>4.5499999999999999E-2</v>
      </c>
      <c r="P23" s="445">
        <f>IF('3. Finansiering'!$C$7+(('3. Finansiering'!$C$8-'3. Finansiering'!$C$7)*(O14/$M$14))&gt;'3. Finansiering'!$C$8,'3. Finansiering'!$C$8,('3. Finansiering'!$C$7+(('3. Finansiering'!$C$8-'3. Finansiering'!$C$7)*(O14/$M$14))))</f>
        <v>4.5499999999999999E-2</v>
      </c>
      <c r="Q23" s="445">
        <f>IF('3. Finansiering'!$C$7+(('3. Finansiering'!$C$8-'3. Finansiering'!$C$7)*(P14/$M$14))&gt;'3. Finansiering'!$C$8,'3. Finansiering'!$C$8,('3. Finansiering'!$C$7+(('3. Finansiering'!$C$8-'3. Finansiering'!$C$7)*(P14/$M$14))))</f>
        <v>4.5499999999999999E-2</v>
      </c>
      <c r="R23" s="445">
        <f>IF('3. Finansiering'!$C$7+(('3. Finansiering'!$C$8-'3. Finansiering'!$C$7)*(Q14/$M$14))&gt;'3. Finansiering'!$C$8,'3. Finansiering'!$C$8,('3. Finansiering'!$C$7+(('3. Finansiering'!$C$8-'3. Finansiering'!$C$7)*(Q14/$M$14))))</f>
        <v>4.5499999999999999E-2</v>
      </c>
      <c r="S23" s="445">
        <f>IF('3. Finansiering'!$C$7+(('3. Finansiering'!$C$8-'3. Finansiering'!$C$7)*(R14/$M$14))&gt;'3. Finansiering'!$C$8,'3. Finansiering'!$C$8,('3. Finansiering'!$C$7+(('3. Finansiering'!$C$8-'3. Finansiering'!$C$7)*(R14/$M$14))))</f>
        <v>4.5499999999999999E-2</v>
      </c>
      <c r="T23" s="445">
        <f>IF('3. Finansiering'!$C$7+(('3. Finansiering'!$C$8-'3. Finansiering'!$C$7)*(S14/$M$14))&gt;'3. Finansiering'!$C$8,'3. Finansiering'!$C$8,('3. Finansiering'!$C$7+(('3. Finansiering'!$C$8-'3. Finansiering'!$C$7)*(S14/$M$14))))</f>
        <v>4.5499999999999999E-2</v>
      </c>
      <c r="U23" s="445">
        <f>IF('3. Finansiering'!$C$7+(('3. Finansiering'!$C$8-'3. Finansiering'!$C$7)*(T14/$M$14))&gt;'3. Finansiering'!$C$8,'3. Finansiering'!$C$8,('3. Finansiering'!$C$7+(('3. Finansiering'!$C$8-'3. Finansiering'!$C$7)*(T14/$M$14))))</f>
        <v>4.5499999999999999E-2</v>
      </c>
      <c r="V23" s="445">
        <f>IF('3. Finansiering'!$C$7+(('3. Finansiering'!$C$8-'3. Finansiering'!$C$7)*(U14/$M$14))&gt;'3. Finansiering'!$C$8,'3. Finansiering'!$C$8,('3. Finansiering'!$C$7+(('3. Finansiering'!$C$8-'3. Finansiering'!$C$7)*(U14/$M$14))))</f>
        <v>4.5499999999999999E-2</v>
      </c>
      <c r="W23" s="445">
        <f>IF('3. Finansiering'!$C$7+(('3. Finansiering'!$C$8-'3. Finansiering'!$C$7)*(V14/$M$14))&gt;'3. Finansiering'!$C$8,'3. Finansiering'!$C$8,('3. Finansiering'!$C$7+(('3. Finansiering'!$C$8-'3. Finansiering'!$C$7)*(V14/$M$14))))</f>
        <v>4.5499999999999999E-2</v>
      </c>
      <c r="X23" s="445">
        <f>IF('3. Finansiering'!$C$7+(('3. Finansiering'!$C$8-'3. Finansiering'!$C$7)*(W14/$M$14))&gt;'3. Finansiering'!$C$8,'3. Finansiering'!$C$8,('3. Finansiering'!$C$7+(('3. Finansiering'!$C$8-'3. Finansiering'!$C$7)*(W14/$M$14))))</f>
        <v>4.5499999999999999E-2</v>
      </c>
      <c r="Y23" s="445">
        <f>IF('3. Finansiering'!$C$7+(('3. Finansiering'!$C$8-'3. Finansiering'!$C$7)*(X14/$M$14))&gt;'3. Finansiering'!$C$8,'3. Finansiering'!$C$8,('3. Finansiering'!$C$7+(('3. Finansiering'!$C$8-'3. Finansiering'!$C$7)*(X14/$M$14))))</f>
        <v>4.5499999999999999E-2</v>
      </c>
      <c r="Z23" s="445">
        <f>IF('3. Finansiering'!$C$7+(('3. Finansiering'!$C$8-'3. Finansiering'!$C$7)*(Y14/$M$14))&gt;'3. Finansiering'!$C$8,'3. Finansiering'!$C$8,('3. Finansiering'!$C$7+(('3. Finansiering'!$C$8-'3. Finansiering'!$C$7)*(Y14/$M$14))))</f>
        <v>4.5499999999999999E-2</v>
      </c>
      <c r="AA23" s="445">
        <f>IF('3. Finansiering'!$C$7+(('3. Finansiering'!$C$8-'3. Finansiering'!$C$7)*(Z14/$M$14))&gt;'3. Finansiering'!$C$8,'3. Finansiering'!$C$8,('3. Finansiering'!$C$7+(('3. Finansiering'!$C$8-'3. Finansiering'!$C$7)*(Z14/$M$14))))</f>
        <v>4.5499999999999999E-2</v>
      </c>
      <c r="AB23" s="445">
        <f>IF('3. Finansiering'!$C$7+(('3. Finansiering'!$C$8-'3. Finansiering'!$C$7)*(AA14/$M$14))&gt;'3. Finansiering'!$C$8,'3. Finansiering'!$C$8,('3. Finansiering'!$C$7+(('3. Finansiering'!$C$8-'3. Finansiering'!$C$7)*(AA14/$M$14))))</f>
        <v>4.5499999999999999E-2</v>
      </c>
      <c r="AC23" s="445">
        <f>IF('3. Finansiering'!$C$7+(('3. Finansiering'!$C$8-'3. Finansiering'!$C$7)*(AB14/$M$14))&gt;'3. Finansiering'!$C$8,'3. Finansiering'!$C$8,('3. Finansiering'!$C$7+(('3. Finansiering'!$C$8-'3. Finansiering'!$C$7)*(AB14/$M$14))))</f>
        <v>4.5499999999999999E-2</v>
      </c>
      <c r="AD23" s="445">
        <f>IF('3. Finansiering'!$C$7+(('3. Finansiering'!$C$8-'3. Finansiering'!$C$7)*(AC14/$M$14))&gt;'3. Finansiering'!$C$8,'3. Finansiering'!$C$8,('3. Finansiering'!$C$7+(('3. Finansiering'!$C$8-'3. Finansiering'!$C$7)*(AC14/$M$14))))</f>
        <v>4.5499999999999999E-2</v>
      </c>
      <c r="AE23" s="445">
        <f>IF('3. Finansiering'!$C$7+(('3. Finansiering'!$C$8-'3. Finansiering'!$C$7)*(AD14/$M$14))&gt;'3. Finansiering'!$C$8,'3. Finansiering'!$C$8,('3. Finansiering'!$C$7+(('3. Finansiering'!$C$8-'3. Finansiering'!$C$7)*(AD14/$M$14))))</f>
        <v>4.5499999999999999E-2</v>
      </c>
      <c r="AF23" s="445">
        <f>IF('3. Finansiering'!$C$7+(('3. Finansiering'!$C$8-'3. Finansiering'!$C$7)*(AE14/$M$14))&gt;'3. Finansiering'!$C$8,'3. Finansiering'!$C$8,('3. Finansiering'!$C$7+(('3. Finansiering'!$C$8-'3. Finansiering'!$C$7)*(AE14/$M$14))))</f>
        <v>4.5499999999999999E-2</v>
      </c>
      <c r="AG23" s="445">
        <f>IF('3. Finansiering'!$C$7+(('3. Finansiering'!$C$8-'3. Finansiering'!$C$7)*(AF14/$M$14))&gt;'3. Finansiering'!$C$8,'3. Finansiering'!$C$8,('3. Finansiering'!$C$7+(('3. Finansiering'!$C$8-'3. Finansiering'!$C$7)*(AF14/$M$14))))</f>
        <v>4.5499999999999999E-2</v>
      </c>
      <c r="AH23" s="445">
        <f>IF('3. Finansiering'!$C$7+(('3. Finansiering'!$C$8-'3. Finansiering'!$C$7)*(AG14/$M$14))&gt;'3. Finansiering'!$C$8,'3. Finansiering'!$C$8,('3. Finansiering'!$C$7+(('3. Finansiering'!$C$8-'3. Finansiering'!$C$7)*(AG14/$M$14))))</f>
        <v>4.5499999999999999E-2</v>
      </c>
      <c r="AI23" s="445">
        <f>IF('3. Finansiering'!$C$7+(('3. Finansiering'!$C$8-'3. Finansiering'!$C$7)*(AH14/$M$14))&gt;'3. Finansiering'!$C$8,'3. Finansiering'!$C$8,('3. Finansiering'!$C$7+(('3. Finansiering'!$C$8-'3. Finansiering'!$C$7)*(AH14/$M$14))))</f>
        <v>4.5499999999999999E-2</v>
      </c>
      <c r="AJ23" s="445">
        <f>IF('3. Finansiering'!$C$7+(('3. Finansiering'!$C$8-'3. Finansiering'!$C$7)*(AI14/$M$14))&gt;'3. Finansiering'!$C$8,'3. Finansiering'!$C$8,('3. Finansiering'!$C$7+(('3. Finansiering'!$C$8-'3. Finansiering'!$C$7)*(AI14/$M$14))))</f>
        <v>4.5499999999999999E-2</v>
      </c>
      <c r="AK23" s="445">
        <f>IF('3. Finansiering'!$C$7+(('3. Finansiering'!$C$8-'3. Finansiering'!$C$7)*(AJ14/$M$14))&gt;'3. Finansiering'!$C$8,'3. Finansiering'!$C$8,('3. Finansiering'!$C$7+(('3. Finansiering'!$C$8-'3. Finansiering'!$C$7)*(AJ14/$M$14))))</f>
        <v>4.5499999999999999E-2</v>
      </c>
      <c r="AL23" s="445">
        <f>IF('3. Finansiering'!$C$7+(('3. Finansiering'!$C$8-'3. Finansiering'!$C$7)*(AK14/$M$14))&gt;'3. Finansiering'!$C$8,'3. Finansiering'!$C$8,('3. Finansiering'!$C$7+(('3. Finansiering'!$C$8-'3. Finansiering'!$C$7)*(AK14/$M$14))))</f>
        <v>4.5499999999999999E-2</v>
      </c>
      <c r="AM23" s="445">
        <f>IF('3. Finansiering'!$C$7+(('3. Finansiering'!$C$8-'3. Finansiering'!$C$7)*(AL14/$M$14))&gt;'3. Finansiering'!$C$8,'3. Finansiering'!$C$8,('3. Finansiering'!$C$7+(('3. Finansiering'!$C$8-'3. Finansiering'!$C$7)*(AL14/$M$14))))</f>
        <v>4.5499999999999999E-2</v>
      </c>
      <c r="AN23" s="445">
        <f>IF('3. Finansiering'!$C$7+(('3. Finansiering'!$C$8-'3. Finansiering'!$C$7)*(AM14/$M$14))&gt;'3. Finansiering'!$C$8,'3. Finansiering'!$C$8,('3. Finansiering'!$C$7+(('3. Finansiering'!$C$8-'3. Finansiering'!$C$7)*(AM14/$M$14))))</f>
        <v>4.5499999999999999E-2</v>
      </c>
      <c r="AO23" s="445">
        <f>IF('3. Finansiering'!$C$7+(('3. Finansiering'!$C$8-'3. Finansiering'!$C$7)*(AN14/$M$14))&gt;'3. Finansiering'!$C$8,'3. Finansiering'!$C$8,('3. Finansiering'!$C$7+(('3. Finansiering'!$C$8-'3. Finansiering'!$C$7)*(AN14/$M$14))))</f>
        <v>4.5499999999999999E-2</v>
      </c>
      <c r="AP23" s="445">
        <f>IF('3. Finansiering'!$C$7+(('3. Finansiering'!$C$8-'3. Finansiering'!$C$7)*(AO14/$M$14))&gt;'3. Finansiering'!$C$8,'3. Finansiering'!$C$8,('3. Finansiering'!$C$7+(('3. Finansiering'!$C$8-'3. Finansiering'!$C$7)*(AO14/$M$14))))</f>
        <v>4.5499999999999999E-2</v>
      </c>
      <c r="AQ23" s="445">
        <f>IF('3. Finansiering'!$C$7+(('3. Finansiering'!$C$8-'3. Finansiering'!$C$7)*(AP14/$M$14))&gt;'3. Finansiering'!$C$8,'3. Finansiering'!$C$8,('3. Finansiering'!$C$7+(('3. Finansiering'!$C$8-'3. Finansiering'!$C$7)*(AP14/$M$14))))</f>
        <v>4.5499999999999999E-2</v>
      </c>
      <c r="AR23" s="445">
        <f>IF('3. Finansiering'!$C$7+(('3. Finansiering'!$C$8-'3. Finansiering'!$C$7)*(AQ14/$M$14))&gt;'3. Finansiering'!$C$8,'3. Finansiering'!$C$8,('3. Finansiering'!$C$7+(('3. Finansiering'!$C$8-'3. Finansiering'!$C$7)*(AQ14/$M$14))))</f>
        <v>4.5499999999999999E-2</v>
      </c>
      <c r="AS23" s="445">
        <f>IF('3. Finansiering'!$C$7+(('3. Finansiering'!$C$8-'3. Finansiering'!$C$7)*(AR14/$M$14))&gt;'3. Finansiering'!$C$8,'3. Finansiering'!$C$8,('3. Finansiering'!$C$7+(('3. Finansiering'!$C$8-'3. Finansiering'!$C$7)*(AR14/$M$14))))</f>
        <v>4.5499999999999999E-2</v>
      </c>
      <c r="AT23" s="445">
        <f>IF('3. Finansiering'!$C$7+(('3. Finansiering'!$C$8-'3. Finansiering'!$C$7)*(AS14/$M$14))&gt;'3. Finansiering'!$C$8,'3. Finansiering'!$C$8,('3. Finansiering'!$C$7+(('3. Finansiering'!$C$8-'3. Finansiering'!$C$7)*(AS14/$M$14))))</f>
        <v>4.5499999999999999E-2</v>
      </c>
      <c r="AU23" s="445">
        <f>IF('3. Finansiering'!$C$7+(('3. Finansiering'!$C$8-'3. Finansiering'!$C$7)*(AT14/$M$14))&gt;'3. Finansiering'!$C$8,'3. Finansiering'!$C$8,('3. Finansiering'!$C$7+(('3. Finansiering'!$C$8-'3. Finansiering'!$C$7)*(AT14/$M$14))))</f>
        <v>4.5499999999999999E-2</v>
      </c>
      <c r="AV23" s="445">
        <f>IF('3. Finansiering'!$C$7+(('3. Finansiering'!$C$8-'3. Finansiering'!$C$7)*(AU14/$M$14))&gt;'3. Finansiering'!$C$8,'3. Finansiering'!$C$8,('3. Finansiering'!$C$7+(('3. Finansiering'!$C$8-'3. Finansiering'!$C$7)*(AU14/$M$14))))</f>
        <v>4.5499999999999999E-2</v>
      </c>
      <c r="AW23" s="445">
        <f>IF('3. Finansiering'!$C$7+(('3. Finansiering'!$C$8-'3. Finansiering'!$C$7)*(AV14/$M$14))&gt;'3. Finansiering'!$C$8,'3. Finansiering'!$C$8,('3. Finansiering'!$C$7+(('3. Finansiering'!$C$8-'3. Finansiering'!$C$7)*(AV14/$M$14))))</f>
        <v>4.5499999999999999E-2</v>
      </c>
      <c r="AX23" s="445">
        <f>IF('3. Finansiering'!$C$7+(('3. Finansiering'!$C$8-'3. Finansiering'!$C$7)*(AW14/$M$14))&gt;'3. Finansiering'!$C$8,'3. Finansiering'!$C$8,('3. Finansiering'!$C$7+(('3. Finansiering'!$C$8-'3. Finansiering'!$C$7)*(AW14/$M$14))))</f>
        <v>4.5499999999999999E-2</v>
      </c>
      <c r="AY23" s="445">
        <f>IF('3. Finansiering'!$C$7+(('3. Finansiering'!$C$8-'3. Finansiering'!$C$7)*(AX14/$M$14))&gt;'3. Finansiering'!$C$8,'3. Finansiering'!$C$8,('3. Finansiering'!$C$7+(('3. Finansiering'!$C$8-'3. Finansiering'!$C$7)*(AX14/$M$14))))</f>
        <v>4.5499999999999999E-2</v>
      </c>
      <c r="AZ23" s="445">
        <f>IF('3. Finansiering'!$C$7+(('3. Finansiering'!$C$8-'3. Finansiering'!$C$7)*(AY14/$M$14))&gt;'3. Finansiering'!$C$8,'3. Finansiering'!$C$8,('3. Finansiering'!$C$7+(('3. Finansiering'!$C$8-'3. Finansiering'!$C$7)*(AY14/$M$14))))</f>
        <v>4.5499999999999999E-2</v>
      </c>
      <c r="BA23" s="445">
        <f>IF('3. Finansiering'!$C$7+(('3. Finansiering'!$C$8-'3. Finansiering'!$C$7)*(AZ14/$M$14))&gt;'3. Finansiering'!$C$8,'3. Finansiering'!$C$8,('3. Finansiering'!$C$7+(('3. Finansiering'!$C$8-'3. Finansiering'!$C$7)*(AZ14/$M$14))))</f>
        <v>4.5499999999999999E-2</v>
      </c>
      <c r="BB23" s="525"/>
    </row>
    <row r="24" spans="1:54">
      <c r="A24" s="506"/>
      <c r="B24" s="229" t="s">
        <v>215</v>
      </c>
      <c r="C24" s="229"/>
      <c r="D24" s="230">
        <f t="shared" ref="D24:AI24" si="1">-D23*D22</f>
        <v>-2644375.1999999997</v>
      </c>
      <c r="E24" s="230">
        <f t="shared" si="1"/>
        <v>-2686128.9599999995</v>
      </c>
      <c r="F24" s="230">
        <f t="shared" si="1"/>
        <v>-2719997.28</v>
      </c>
      <c r="G24" s="230">
        <f t="shared" si="1"/>
        <v>-2745980.1599999992</v>
      </c>
      <c r="H24" s="230">
        <f t="shared" si="1"/>
        <v>-2764077.5999999996</v>
      </c>
      <c r="I24" s="230">
        <f t="shared" si="1"/>
        <v>-2774289.5999999996</v>
      </c>
      <c r="J24" s="230">
        <f t="shared" si="1"/>
        <v>-2776616.1599999992</v>
      </c>
      <c r="K24" s="230">
        <f t="shared" si="1"/>
        <v>-2771057.2799999993</v>
      </c>
      <c r="L24" s="230">
        <f t="shared" si="1"/>
        <v>-2757612.9599999995</v>
      </c>
      <c r="M24" s="230">
        <f t="shared" si="1"/>
        <v>-2736283.1999999997</v>
      </c>
      <c r="N24" s="230">
        <f t="shared" si="1"/>
        <v>-2707067.9999999991</v>
      </c>
      <c r="O24" s="230">
        <f t="shared" si="1"/>
        <v>-2585855.9999999991</v>
      </c>
      <c r="P24" s="230">
        <f t="shared" si="1"/>
        <v>-2464643.9999999995</v>
      </c>
      <c r="Q24" s="230">
        <f t="shared" si="1"/>
        <v>-2343431.9999999995</v>
      </c>
      <c r="R24" s="230">
        <f t="shared" si="1"/>
        <v>-2222219.9999999995</v>
      </c>
      <c r="S24" s="230">
        <f t="shared" si="1"/>
        <v>-2101007.9999999995</v>
      </c>
      <c r="T24" s="230">
        <f t="shared" si="1"/>
        <v>-1979795.9999999995</v>
      </c>
      <c r="U24" s="230">
        <f t="shared" si="1"/>
        <v>-1858583.9999999995</v>
      </c>
      <c r="V24" s="230">
        <f t="shared" si="1"/>
        <v>-1737371.9999999995</v>
      </c>
      <c r="W24" s="230">
        <f t="shared" si="1"/>
        <v>-1616159.9999999995</v>
      </c>
      <c r="X24" s="230">
        <f t="shared" si="1"/>
        <v>-1494947.9999999995</v>
      </c>
      <c r="Y24" s="230">
        <f t="shared" si="1"/>
        <v>-1373735.9999999995</v>
      </c>
      <c r="Z24" s="230">
        <f t="shared" si="1"/>
        <v>-1252523.9999999995</v>
      </c>
      <c r="AA24" s="230">
        <f t="shared" si="1"/>
        <v>-1131311.9999999995</v>
      </c>
      <c r="AB24" s="230">
        <f t="shared" si="1"/>
        <v>-1010099.9999999997</v>
      </c>
      <c r="AC24" s="230">
        <f t="shared" si="1"/>
        <v>-888888</v>
      </c>
      <c r="AD24" s="230">
        <f t="shared" si="1"/>
        <v>-767676</v>
      </c>
      <c r="AE24" s="230">
        <f t="shared" si="1"/>
        <v>-646464</v>
      </c>
      <c r="AF24" s="230">
        <f t="shared" si="1"/>
        <v>-525252</v>
      </c>
      <c r="AG24" s="230">
        <f t="shared" si="1"/>
        <v>-404040</v>
      </c>
      <c r="AH24" s="230">
        <f t="shared" si="1"/>
        <v>-282828</v>
      </c>
      <c r="AI24" s="230">
        <f t="shared" si="1"/>
        <v>-161616</v>
      </c>
      <c r="AJ24" s="230">
        <f t="shared" ref="AJ24:BA24" si="2">-AJ23*AJ22</f>
        <v>-40404</v>
      </c>
      <c r="AK24" s="230">
        <f t="shared" si="2"/>
        <v>-4040399.9999999991</v>
      </c>
      <c r="AL24" s="230">
        <f t="shared" si="2"/>
        <v>-4040399.9999999991</v>
      </c>
      <c r="AM24" s="230">
        <f t="shared" si="2"/>
        <v>-4040399.9999999991</v>
      </c>
      <c r="AN24" s="230">
        <f t="shared" si="2"/>
        <v>-4040399.9999999991</v>
      </c>
      <c r="AO24" s="230">
        <f t="shared" si="2"/>
        <v>-4040399.9999999991</v>
      </c>
      <c r="AP24" s="230">
        <f t="shared" si="2"/>
        <v>-4040399.9999999991</v>
      </c>
      <c r="AQ24" s="230">
        <f t="shared" si="2"/>
        <v>-4040399.9999999991</v>
      </c>
      <c r="AR24" s="230">
        <f t="shared" si="2"/>
        <v>-4040399.9999999991</v>
      </c>
      <c r="AS24" s="230">
        <f t="shared" si="2"/>
        <v>-4040399.9999999991</v>
      </c>
      <c r="AT24" s="230">
        <f t="shared" si="2"/>
        <v>-4040399.9999999991</v>
      </c>
      <c r="AU24" s="230">
        <f t="shared" si="2"/>
        <v>-4040399.9999999991</v>
      </c>
      <c r="AV24" s="230">
        <f t="shared" si="2"/>
        <v>-4040399.9999999991</v>
      </c>
      <c r="AW24" s="230">
        <f t="shared" si="2"/>
        <v>-4040399.9999999991</v>
      </c>
      <c r="AX24" s="230">
        <f t="shared" si="2"/>
        <v>-4040399.9999999991</v>
      </c>
      <c r="AY24" s="230">
        <f t="shared" si="2"/>
        <v>-4040399.9999999991</v>
      </c>
      <c r="AZ24" s="230">
        <f t="shared" si="2"/>
        <v>-4040399.9999999991</v>
      </c>
      <c r="BA24" s="230">
        <f t="shared" si="2"/>
        <v>-4040399.9999999991</v>
      </c>
      <c r="BB24" s="525"/>
    </row>
    <row r="25" spans="1:54">
      <c r="A25" s="506"/>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29"/>
      <c r="AO25" s="229"/>
      <c r="AP25" s="229"/>
      <c r="AQ25" s="229"/>
      <c r="AR25" s="229"/>
      <c r="AS25" s="229"/>
      <c r="AT25" s="229"/>
      <c r="AU25" s="229"/>
      <c r="AV25" s="229"/>
      <c r="AW25" s="229"/>
      <c r="AX25" s="229"/>
      <c r="AY25" s="229"/>
      <c r="AZ25" s="229"/>
      <c r="BA25" s="229"/>
      <c r="BB25" s="525"/>
    </row>
    <row r="26" spans="1:54" s="115" customFormat="1" ht="15">
      <c r="A26" s="19"/>
      <c r="B26" s="447" t="s">
        <v>216</v>
      </c>
      <c r="C26" s="447"/>
      <c r="D26" s="447">
        <f t="shared" ref="D26:AI26" si="3">IF(D24=0,0,D24+D20)</f>
        <v>-5308375.1999999993</v>
      </c>
      <c r="E26" s="447">
        <f t="shared" si="3"/>
        <v>-5350128.959999999</v>
      </c>
      <c r="F26" s="447">
        <f t="shared" si="3"/>
        <v>-5383997.2799999993</v>
      </c>
      <c r="G26" s="447">
        <f t="shared" si="3"/>
        <v>-5409980.1599999983</v>
      </c>
      <c r="H26" s="447">
        <f t="shared" si="3"/>
        <v>-5428077.5999999996</v>
      </c>
      <c r="I26" s="447">
        <f t="shared" si="3"/>
        <v>-5438289.5999999996</v>
      </c>
      <c r="J26" s="447">
        <f t="shared" si="3"/>
        <v>-5440616.1599999983</v>
      </c>
      <c r="K26" s="447">
        <f t="shared" si="3"/>
        <v>-5435057.2799999993</v>
      </c>
      <c r="L26" s="447">
        <f t="shared" si="3"/>
        <v>-5421612.959999999</v>
      </c>
      <c r="M26" s="447">
        <f t="shared" si="3"/>
        <v>-5400283.1999999993</v>
      </c>
      <c r="N26" s="447">
        <f t="shared" si="3"/>
        <v>-5371067.9999999981</v>
      </c>
      <c r="O26" s="447">
        <f t="shared" si="3"/>
        <v>-5249855.9999999981</v>
      </c>
      <c r="P26" s="447">
        <f t="shared" si="3"/>
        <v>-5128643.9999999991</v>
      </c>
      <c r="Q26" s="447">
        <f t="shared" si="3"/>
        <v>-5007431.9999999991</v>
      </c>
      <c r="R26" s="447">
        <f t="shared" si="3"/>
        <v>-4886219.9999999991</v>
      </c>
      <c r="S26" s="447">
        <f t="shared" si="3"/>
        <v>-4765007.9999999991</v>
      </c>
      <c r="T26" s="447">
        <f t="shared" si="3"/>
        <v>-4643795.9999999991</v>
      </c>
      <c r="U26" s="447">
        <f t="shared" si="3"/>
        <v>-4522583.9999999991</v>
      </c>
      <c r="V26" s="447">
        <f t="shared" si="3"/>
        <v>-4401371.9999999991</v>
      </c>
      <c r="W26" s="447">
        <f t="shared" si="3"/>
        <v>-4280159.9999999991</v>
      </c>
      <c r="X26" s="447">
        <f t="shared" si="3"/>
        <v>-4158947.9999999991</v>
      </c>
      <c r="Y26" s="447">
        <f t="shared" si="3"/>
        <v>-4037735.9999999991</v>
      </c>
      <c r="Z26" s="447">
        <f t="shared" si="3"/>
        <v>-3916523.9999999991</v>
      </c>
      <c r="AA26" s="447">
        <f t="shared" si="3"/>
        <v>-3795311.9999999991</v>
      </c>
      <c r="AB26" s="447">
        <f t="shared" si="3"/>
        <v>-3674099.9999999991</v>
      </c>
      <c r="AC26" s="447">
        <f t="shared" si="3"/>
        <v>-3552887.9999999995</v>
      </c>
      <c r="AD26" s="447">
        <f t="shared" si="3"/>
        <v>-3431675.9999999995</v>
      </c>
      <c r="AE26" s="447">
        <f t="shared" si="3"/>
        <v>-3310463.9999999995</v>
      </c>
      <c r="AF26" s="447">
        <f t="shared" si="3"/>
        <v>-3189251.9999999995</v>
      </c>
      <c r="AG26" s="447">
        <f t="shared" si="3"/>
        <v>-3068039.9999999995</v>
      </c>
      <c r="AH26" s="447">
        <f t="shared" si="3"/>
        <v>-2946827.9999999995</v>
      </c>
      <c r="AI26" s="447">
        <f t="shared" si="3"/>
        <v>-2825615.9999999995</v>
      </c>
      <c r="AJ26" s="447">
        <f t="shared" ref="AJ26:BA26" si="4">IF(AJ24=0,0,AJ24+AJ20)</f>
        <v>-2704403.9999999995</v>
      </c>
      <c r="AK26" s="447">
        <f t="shared" si="4"/>
        <v>-6704399.9999999981</v>
      </c>
      <c r="AL26" s="447">
        <f t="shared" si="4"/>
        <v>-6704399.9999999981</v>
      </c>
      <c r="AM26" s="447">
        <f t="shared" si="4"/>
        <v>-6704399.9999999981</v>
      </c>
      <c r="AN26" s="447">
        <f t="shared" si="4"/>
        <v>-6704399.9999999981</v>
      </c>
      <c r="AO26" s="447">
        <f t="shared" si="4"/>
        <v>-6704399.9999999981</v>
      </c>
      <c r="AP26" s="447">
        <f t="shared" si="4"/>
        <v>-6704399.9999999981</v>
      </c>
      <c r="AQ26" s="447">
        <f t="shared" si="4"/>
        <v>-6704399.9999999981</v>
      </c>
      <c r="AR26" s="447">
        <f t="shared" si="4"/>
        <v>-6704399.9999999981</v>
      </c>
      <c r="AS26" s="447">
        <f t="shared" si="4"/>
        <v>-6704399.9999999981</v>
      </c>
      <c r="AT26" s="447">
        <f t="shared" si="4"/>
        <v>-6704399.9999999981</v>
      </c>
      <c r="AU26" s="447">
        <f t="shared" si="4"/>
        <v>-6704399.9999999981</v>
      </c>
      <c r="AV26" s="447">
        <f t="shared" si="4"/>
        <v>-6704399.9999999981</v>
      </c>
      <c r="AW26" s="447">
        <f t="shared" si="4"/>
        <v>-6704399.9999999981</v>
      </c>
      <c r="AX26" s="447">
        <f t="shared" si="4"/>
        <v>-6704399.9999999981</v>
      </c>
      <c r="AY26" s="447">
        <f t="shared" si="4"/>
        <v>-6704399.9999999981</v>
      </c>
      <c r="AZ26" s="447">
        <f t="shared" si="4"/>
        <v>-6704399.9999999981</v>
      </c>
      <c r="BA26" s="447">
        <f t="shared" si="4"/>
        <v>-6704399.9999999981</v>
      </c>
    </row>
    <row r="27" spans="1:54">
      <c r="A27" s="506"/>
      <c r="B27" s="444" t="s">
        <v>76</v>
      </c>
      <c r="C27" s="444"/>
      <c r="D27" s="351">
        <f>D22/(ABS(SUM($D$15:D$15)))</f>
        <v>0.3589</v>
      </c>
      <c r="E27" s="351">
        <f>E22/(ABS(SUM($D$15:E$15)))</f>
        <v>0.3478</v>
      </c>
      <c r="F27" s="351">
        <f>F22/(ABS(SUM($D$15:F$15)))</f>
        <v>0.3367</v>
      </c>
      <c r="G27" s="351">
        <f>G22/(ABS(SUM($D$15:G$15)))</f>
        <v>0.3256</v>
      </c>
      <c r="H27" s="351">
        <f>H22/(ABS(SUM($D$15:H$15)))</f>
        <v>0.3145</v>
      </c>
      <c r="I27" s="351">
        <f>I22/(ABS(SUM($D$15:I$15)))</f>
        <v>0.3034</v>
      </c>
      <c r="J27" s="351">
        <f>J22/(ABS(SUM($D$15:J$15)))</f>
        <v>0.29229999999999995</v>
      </c>
      <c r="K27" s="351">
        <f>K22/(ABS(SUM($D$15:K$15)))</f>
        <v>0.28119999999999995</v>
      </c>
      <c r="L27" s="351">
        <f>L22/(ABS(SUM($D$15:L$15)))</f>
        <v>0.27009999999999995</v>
      </c>
      <c r="M27" s="351">
        <f>M22/(ABS(SUM($D$15:M$15)))</f>
        <v>0.25899999999999995</v>
      </c>
      <c r="N27" s="351">
        <f>N22/(ABS(SUM($D$15:N$15)))</f>
        <v>0.24789999999999998</v>
      </c>
      <c r="O27" s="351">
        <f>O22/(ABS(SUM($D$15:O$15)))</f>
        <v>0.23679999999999995</v>
      </c>
      <c r="P27" s="351">
        <f>P22/(ABS(SUM($D$15:P$15)))</f>
        <v>0.22569999999999998</v>
      </c>
      <c r="Q27" s="351">
        <f>Q22/(ABS(SUM($D$15:Q$15)))</f>
        <v>0.21459999999999999</v>
      </c>
      <c r="R27" s="351">
        <f>R22/(ABS(SUM($D$15:R$15)))</f>
        <v>0.20349999999999999</v>
      </c>
      <c r="S27" s="351">
        <f>S22/(ABS(SUM($D$15:S$15)))</f>
        <v>0.19239999999999999</v>
      </c>
      <c r="T27" s="351">
        <f>T22/(ABS(SUM($D$15:T$15)))</f>
        <v>0.18129999999999999</v>
      </c>
      <c r="U27" s="351">
        <f>U22/(ABS(SUM($D$15:U$15)))</f>
        <v>0.17019999999999999</v>
      </c>
      <c r="V27" s="351">
        <f>V22/(ABS(SUM($D$15:V$15)))</f>
        <v>0.15909999999999999</v>
      </c>
      <c r="W27" s="351">
        <f>W22/(ABS(SUM($D$15:W$15)))</f>
        <v>0.14799999999999999</v>
      </c>
      <c r="X27" s="351">
        <f>X22/(ABS(SUM($D$15:X$15)))</f>
        <v>0.13689999999999999</v>
      </c>
      <c r="Y27" s="351">
        <f>Y22/(ABS(SUM($D$15:Y$15)))</f>
        <v>0.1258</v>
      </c>
      <c r="Z27" s="351">
        <f>Z22/(ABS(SUM($D$15:Z$15)))</f>
        <v>0.11469999999999998</v>
      </c>
      <c r="AA27" s="351">
        <f>AA22/(ABS(SUM($D$15:AA$15)))</f>
        <v>0.10359999999999998</v>
      </c>
      <c r="AB27" s="351">
        <f>AB22/(ABS(SUM($D$15:AB$15)))</f>
        <v>9.2499999999999985E-2</v>
      </c>
      <c r="AC27" s="351">
        <f>AC22/(ABS(SUM($D$15:AC$15)))</f>
        <v>8.1400000000000014E-2</v>
      </c>
      <c r="AD27" s="351">
        <f>AD22/(ABS(SUM($D$15:AD$15)))</f>
        <v>7.0300000000000015E-2</v>
      </c>
      <c r="AE27" s="351">
        <f>AE22/(ABS(SUM($D$15:AE$15)))</f>
        <v>5.920000000000001E-2</v>
      </c>
      <c r="AF27" s="351">
        <f>AF22/(ABS(SUM($D$15:AF$15)))</f>
        <v>4.8100000000000004E-2</v>
      </c>
      <c r="AG27" s="351">
        <f>AG22/(ABS(SUM($D$15:AG$15)))</f>
        <v>3.7000000000000005E-2</v>
      </c>
      <c r="AH27" s="351">
        <f>AH22/(ABS(SUM($D$15:AH$15)))</f>
        <v>2.5900000000000003E-2</v>
      </c>
      <c r="AI27" s="351">
        <f>AI22/(ABS(SUM($D$15:AI$15)))</f>
        <v>1.4800000000000002E-2</v>
      </c>
      <c r="AJ27" s="351">
        <f>AJ22/(ABS(SUM($D$15:AJ$15)))</f>
        <v>3.7000000000000006E-3</v>
      </c>
      <c r="AK27" s="351">
        <f>AK22/(ABS(SUM($D$15:AK$15)))</f>
        <v>0.37</v>
      </c>
      <c r="AL27" s="351">
        <f>AL22/(ABS(SUM($D$15:AL$15)))</f>
        <v>0.37</v>
      </c>
      <c r="AM27" s="351">
        <f>AM22/(ABS(SUM($D$15:AM$15)))</f>
        <v>0.37</v>
      </c>
      <c r="AN27" s="351">
        <f>AN22/(ABS(SUM($D$15:AN$15)))</f>
        <v>0.37</v>
      </c>
      <c r="AO27" s="351">
        <f>AO22/(ABS(SUM($D$15:AO$15)))</f>
        <v>0.37</v>
      </c>
      <c r="AP27" s="351">
        <f>AP22/(ABS(SUM($D$15:AP$15)))</f>
        <v>0.37</v>
      </c>
      <c r="AQ27" s="351">
        <f>AQ22/(ABS(SUM($D$15:AQ$15)))</f>
        <v>0.37</v>
      </c>
      <c r="AR27" s="351">
        <f>AR22/(ABS(SUM($D$15:AR$15)))</f>
        <v>0.37</v>
      </c>
      <c r="AS27" s="351">
        <f>AS22/(ABS(SUM($D$15:AS$15)))</f>
        <v>0.37</v>
      </c>
      <c r="AT27" s="351">
        <f>AT22/(ABS(SUM($D$15:AT$15)))</f>
        <v>0.37</v>
      </c>
      <c r="AU27" s="351">
        <f>AU22/(ABS(SUM($D$15:AU$15)))</f>
        <v>0.37</v>
      </c>
      <c r="AV27" s="351">
        <f>AV22/(ABS(SUM($D$15:AV$15)))</f>
        <v>0.37</v>
      </c>
      <c r="AW27" s="351">
        <f>AW22/(ABS(SUM($D$15:AW$15)))</f>
        <v>0.37</v>
      </c>
      <c r="AX27" s="351">
        <f>AX22/(ABS(SUM($D$15:AX$15)))</f>
        <v>0.37</v>
      </c>
      <c r="AY27" s="351">
        <f>AY22/(ABS(SUM($D$15:AY$15)))</f>
        <v>0.37</v>
      </c>
      <c r="AZ27" s="351">
        <f>AZ22/(ABS(SUM($D$15:AZ$15)))</f>
        <v>0.37</v>
      </c>
      <c r="BA27" s="351">
        <f>BA22/(ABS(SUM($D$15:BA$15)))</f>
        <v>0.37</v>
      </c>
      <c r="BB27" s="525"/>
    </row>
    <row r="28" spans="1:54" s="11" customFormat="1">
      <c r="A28" s="506"/>
      <c r="B28" s="506"/>
      <c r="C28" s="506"/>
      <c r="D28" s="506"/>
      <c r="E28" s="506"/>
      <c r="F28" s="506"/>
      <c r="G28" s="506"/>
      <c r="H28" s="506"/>
      <c r="I28" s="506"/>
      <c r="J28" s="506"/>
      <c r="K28" s="506"/>
      <c r="L28" s="506"/>
      <c r="M28" s="506"/>
      <c r="N28" s="506"/>
      <c r="O28" s="506"/>
      <c r="P28" s="506"/>
      <c r="Q28" s="506"/>
      <c r="R28" s="506"/>
      <c r="S28" s="506"/>
      <c r="T28" s="506"/>
      <c r="U28" s="506"/>
      <c r="V28" s="506"/>
      <c r="W28" s="506"/>
      <c r="X28" s="506"/>
      <c r="Y28" s="506"/>
      <c r="Z28" s="506"/>
      <c r="AA28" s="506"/>
      <c r="AB28" s="506"/>
      <c r="AC28" s="506"/>
      <c r="AD28" s="506"/>
      <c r="AE28" s="506"/>
      <c r="AF28" s="506"/>
      <c r="AG28" s="506"/>
      <c r="AH28" s="506"/>
      <c r="AI28" s="506"/>
      <c r="AJ28" s="506"/>
      <c r="AK28" s="506"/>
      <c r="AL28" s="506"/>
      <c r="AM28" s="506"/>
      <c r="AN28" s="506"/>
      <c r="AO28" s="506"/>
      <c r="AP28" s="506"/>
      <c r="AQ28" s="506"/>
      <c r="AR28" s="506"/>
      <c r="AS28" s="506"/>
      <c r="AT28" s="506"/>
      <c r="AU28" s="506"/>
      <c r="AV28" s="506"/>
      <c r="AW28" s="506"/>
      <c r="AX28" s="506"/>
      <c r="AY28" s="506"/>
      <c r="AZ28" s="506"/>
      <c r="BA28" s="506"/>
      <c r="BB28" s="506"/>
    </row>
    <row r="29" spans="1:54" ht="15">
      <c r="A29" s="506"/>
      <c r="B29" s="327" t="s">
        <v>217</v>
      </c>
      <c r="C29" s="532"/>
      <c r="D29" s="506">
        <f>IF(D14&lt;='2. Kalkyldata'!$P$16,'3. Finansiering'!D13,"")</f>
        <v>2026</v>
      </c>
      <c r="E29" s="506">
        <f>IF(E14&lt;='2. Kalkyldata'!$P$16,'3. Finansiering'!E13,"")</f>
        <v>2027</v>
      </c>
      <c r="F29" s="506">
        <f>IF(F14&lt;='2. Kalkyldata'!$P$16,'3. Finansiering'!F13,"")</f>
        <v>2028</v>
      </c>
      <c r="G29" s="506">
        <f>IF(G14&lt;='2. Kalkyldata'!$P$16,'3. Finansiering'!G13,"")</f>
        <v>2029</v>
      </c>
      <c r="H29" s="506">
        <f>IF(H14&lt;='2. Kalkyldata'!$P$16,'3. Finansiering'!H13,"")</f>
        <v>2030</v>
      </c>
      <c r="I29" s="506">
        <f>IF(I14&lt;='2. Kalkyldata'!$P$16,'3. Finansiering'!I13,"")</f>
        <v>2031</v>
      </c>
      <c r="J29" s="506">
        <f>IF(J14&lt;='2. Kalkyldata'!$P$16,'3. Finansiering'!J13,"")</f>
        <v>2032</v>
      </c>
      <c r="K29" s="506">
        <f>IF(K14&lt;='2. Kalkyldata'!$P$16,'3. Finansiering'!K13,"")</f>
        <v>2033</v>
      </c>
      <c r="L29" s="506">
        <f>IF(L14&lt;='2. Kalkyldata'!$P$16,'3. Finansiering'!L13,"")</f>
        <v>2034</v>
      </c>
      <c r="M29" s="506">
        <f>IF(M14&lt;='2. Kalkyldata'!$P$16,'3. Finansiering'!M13,"")</f>
        <v>2035</v>
      </c>
      <c r="N29" s="506">
        <f>IF(N14&lt;='2. Kalkyldata'!$P$16,'3. Finansiering'!N13,"")</f>
        <v>2036</v>
      </c>
      <c r="O29" s="506">
        <f>IF(O14&lt;='2. Kalkyldata'!$P$16,'3. Finansiering'!O13,"")</f>
        <v>2037</v>
      </c>
      <c r="P29" s="506">
        <f>IF(P14&lt;='2. Kalkyldata'!$P$16,'3. Finansiering'!P13,"")</f>
        <v>2038</v>
      </c>
      <c r="Q29" s="506">
        <f>IF(Q14&lt;='2. Kalkyldata'!$P$16,'3. Finansiering'!Q13,"")</f>
        <v>2039</v>
      </c>
      <c r="R29" s="506">
        <f>IF(R14&lt;='2. Kalkyldata'!$P$16,'3. Finansiering'!R13,"")</f>
        <v>2040</v>
      </c>
      <c r="S29" s="506">
        <f>IF(S14&lt;='2. Kalkyldata'!$P$16,'3. Finansiering'!S13,"")</f>
        <v>2041</v>
      </c>
      <c r="T29" s="506">
        <f>IF(T14&lt;='2. Kalkyldata'!$P$16,'3. Finansiering'!T13,"")</f>
        <v>2042</v>
      </c>
      <c r="U29" s="506">
        <f>IF(U14&lt;='2. Kalkyldata'!$P$16,'3. Finansiering'!U13,"")</f>
        <v>2043</v>
      </c>
      <c r="V29" s="506">
        <f>IF(V14&lt;='2. Kalkyldata'!$P$16,'3. Finansiering'!V13,"")</f>
        <v>2044</v>
      </c>
      <c r="W29" s="506">
        <f>IF(W14&lt;='2. Kalkyldata'!$P$16,'3. Finansiering'!W13,"")</f>
        <v>2045</v>
      </c>
      <c r="X29" s="506">
        <f>IF(X14&lt;='2. Kalkyldata'!$P$16,'3. Finansiering'!X13,"")</f>
        <v>2046</v>
      </c>
      <c r="Y29" s="506" t="str">
        <f>IF(Y14&lt;='2. Kalkyldata'!$P$16,'3. Finansiering'!Y13,"")</f>
        <v/>
      </c>
      <c r="Z29" s="506" t="str">
        <f>IF(Z14&lt;='2. Kalkyldata'!$P$16,'3. Finansiering'!Z13,"")</f>
        <v/>
      </c>
      <c r="AA29" s="506" t="str">
        <f>IF(AA14&lt;='2. Kalkyldata'!$P$16,'3. Finansiering'!AA13,"")</f>
        <v/>
      </c>
      <c r="AB29" s="506" t="str">
        <f>IF(AB14&lt;='2. Kalkyldata'!$P$16,'3. Finansiering'!AB13,"")</f>
        <v/>
      </c>
      <c r="AC29" s="506" t="str">
        <f>IF(AC14&lt;='2. Kalkyldata'!$P$16,'3. Finansiering'!AC13,"")</f>
        <v/>
      </c>
      <c r="AD29" s="506" t="str">
        <f>IF(AD14&lt;='2. Kalkyldata'!$P$16,'3. Finansiering'!AD13,"")</f>
        <v/>
      </c>
      <c r="AE29" s="506" t="str">
        <f>IF(AE14&lt;='2. Kalkyldata'!$P$16,'3. Finansiering'!AE13,"")</f>
        <v/>
      </c>
      <c r="AF29" s="506" t="str">
        <f>IF(AF14&lt;='2. Kalkyldata'!$P$16,'3. Finansiering'!AF13,"")</f>
        <v/>
      </c>
      <c r="AG29" s="506" t="str">
        <f>IF(AG14&lt;='2. Kalkyldata'!$P$16,'3. Finansiering'!AG13,"")</f>
        <v/>
      </c>
      <c r="AH29" s="506" t="str">
        <f>IF(AH14&lt;='2. Kalkyldata'!$P$16,'3. Finansiering'!AH13,"")</f>
        <v/>
      </c>
      <c r="AI29" s="506" t="str">
        <f>IF(AI14&lt;='2. Kalkyldata'!$P$16,'3. Finansiering'!AI13,"")</f>
        <v/>
      </c>
      <c r="AJ29" s="506" t="str">
        <f>IF(AJ14&lt;='2. Kalkyldata'!$P$16,'3. Finansiering'!AJ13,"")</f>
        <v/>
      </c>
      <c r="AK29" s="506" t="str">
        <f>IF(AK14&lt;='2. Kalkyldata'!$P$16,'3. Finansiering'!AK13,"")</f>
        <v/>
      </c>
      <c r="AL29" s="506" t="str">
        <f>IF(AL14&lt;='2. Kalkyldata'!$P$16,'3. Finansiering'!AL13,"")</f>
        <v/>
      </c>
      <c r="AM29" s="506" t="str">
        <f>IF(AM14&lt;='2. Kalkyldata'!$P$16,'3. Finansiering'!AM13,"")</f>
        <v/>
      </c>
      <c r="AN29" s="506" t="str">
        <f>IF(AN14&lt;='2. Kalkyldata'!$P$16,'3. Finansiering'!AN13,"")</f>
        <v/>
      </c>
      <c r="AO29" s="506" t="str">
        <f>IF(AO14&lt;='2. Kalkyldata'!$P$16,'3. Finansiering'!AO13,"")</f>
        <v/>
      </c>
      <c r="AP29" s="506" t="str">
        <f>IF(AP14&lt;='2. Kalkyldata'!$P$16,'3. Finansiering'!AP13,"")</f>
        <v/>
      </c>
      <c r="AQ29" s="506" t="str">
        <f>IF(AQ14&lt;='2. Kalkyldata'!$P$16,'3. Finansiering'!AQ13,"")</f>
        <v/>
      </c>
      <c r="AR29" s="506" t="str">
        <f>IF(AR14&lt;='2. Kalkyldata'!$P$16,'3. Finansiering'!AR13,"")</f>
        <v/>
      </c>
      <c r="AS29" s="506" t="str">
        <f>IF(AS14&lt;='2. Kalkyldata'!$P$16,'3. Finansiering'!AS13,"")</f>
        <v/>
      </c>
      <c r="AT29" s="506" t="str">
        <f>IF(AT14&lt;='2. Kalkyldata'!$P$16,'3. Finansiering'!AT13,"")</f>
        <v/>
      </c>
      <c r="AU29" s="506" t="str">
        <f>IF(AU14&lt;='2. Kalkyldata'!$P$16,'3. Finansiering'!AU13,"")</f>
        <v/>
      </c>
      <c r="AV29" s="506" t="str">
        <f>IF(AV14&lt;='2. Kalkyldata'!$P$16,'3. Finansiering'!AV13,"")</f>
        <v/>
      </c>
      <c r="AW29" s="506" t="str">
        <f>IF(AW14&lt;='2. Kalkyldata'!$P$16,'3. Finansiering'!AW13,"")</f>
        <v/>
      </c>
      <c r="AX29" s="506" t="str">
        <f>IF(AX14&lt;='2. Kalkyldata'!$P$16,'3. Finansiering'!AX13,"")</f>
        <v/>
      </c>
      <c r="AY29" s="506" t="str">
        <f>IF(AY14&lt;='2. Kalkyldata'!$P$16,'3. Finansiering'!AY13,"")</f>
        <v/>
      </c>
      <c r="AZ29" s="506" t="str">
        <f>IF(AZ14&lt;='2. Kalkyldata'!$P$16,'3. Finansiering'!AZ13,"")</f>
        <v/>
      </c>
      <c r="BA29" s="506" t="str">
        <f>IF(BA14&lt;='2. Kalkyldata'!$P$16,'3. Finansiering'!BA13,"")</f>
        <v/>
      </c>
      <c r="BB29" s="506">
        <f>IF(BB13&gt;=BB13+'2. Kalkyldata'!$P$16,"",'3. Finansiering'!BB13)</f>
        <v>0</v>
      </c>
    </row>
    <row r="30" spans="1:54" outlineLevel="1">
      <c r="A30" s="506"/>
      <c r="B30" s="328" t="s">
        <v>218</v>
      </c>
      <c r="C30" s="619"/>
      <c r="D30" s="619">
        <f>IF(D$29="",0,('2. Kalkyldata'!$P$9-SUMIF('2. Kalkyldata'!$R$23:$R$27,'3. Finansiering'!D$12,'2. Kalkyldata'!$AA$23:$AA$27)))</f>
        <v>0</v>
      </c>
      <c r="E30" s="619">
        <f>IF(E$29="",0,('2. Kalkyldata'!$P$9-SUMIF('2. Kalkyldata'!$R$23:$R$27,'3. Finansiering'!E$12,'2. Kalkyldata'!$AA$23:$AA$27)))</f>
        <v>0</v>
      </c>
      <c r="F30" s="619">
        <f>IF(F$29="",0,('2. Kalkyldata'!$P$9-SUMIF('2. Kalkyldata'!$R$23:$R$27,'3. Finansiering'!F$12,'2. Kalkyldata'!$AA$23:$AA$27)))</f>
        <v>0</v>
      </c>
      <c r="G30" s="619">
        <f>IF(G$29="",0,('2. Kalkyldata'!$P$9-SUMIF('2. Kalkyldata'!$R$23:$R$27,'3. Finansiering'!G$12,'2. Kalkyldata'!$AA$23:$AA$27)))</f>
        <v>0</v>
      </c>
      <c r="H30" s="619">
        <f>IF(H$29="",0,('2. Kalkyldata'!$P$9-SUMIF('2. Kalkyldata'!$R$23:$R$27,'3. Finansiering'!H$12,'2. Kalkyldata'!$AA$23:$AA$27)))</f>
        <v>0</v>
      </c>
      <c r="I30" s="619">
        <f>IF(I$29="",0,('2. Kalkyldata'!$P$9-SUMIF('2. Kalkyldata'!$R$23:$R$27,'3. Finansiering'!I$12,'2. Kalkyldata'!$AA$23:$AA$27)))</f>
        <v>0</v>
      </c>
      <c r="J30" s="619">
        <f>IF(J$29="",0,('2. Kalkyldata'!$P$9-SUMIF('2. Kalkyldata'!$R$23:$R$27,'3. Finansiering'!J$12,'2. Kalkyldata'!$AA$23:$AA$27)))</f>
        <v>0</v>
      </c>
      <c r="K30" s="619">
        <f>IF(K$29="",0,('2. Kalkyldata'!$P$9-SUMIF('2. Kalkyldata'!$R$23:$R$27,'3. Finansiering'!K$12,'2. Kalkyldata'!$AA$23:$AA$27)))</f>
        <v>0</v>
      </c>
      <c r="L30" s="619">
        <f>IF(L$29="",0,('2. Kalkyldata'!$P$9-SUMIF('2. Kalkyldata'!$R$23:$R$27,'3. Finansiering'!L$12,'2. Kalkyldata'!$AA$23:$AA$27)))</f>
        <v>0</v>
      </c>
      <c r="M30" s="619">
        <f>IF(M$29="",0,('2. Kalkyldata'!$P$9-SUMIF('2. Kalkyldata'!$R$23:$R$27,'3. Finansiering'!M$12,'2. Kalkyldata'!$AA$23:$AA$27)))</f>
        <v>0</v>
      </c>
      <c r="N30" s="619">
        <f>IF(N$29="",0,('2. Kalkyldata'!$P$9-SUMIF('2. Kalkyldata'!$R$23:$R$27,'3. Finansiering'!N$12,'2. Kalkyldata'!$AA$23:$AA$27)))</f>
        <v>0</v>
      </c>
      <c r="O30" s="619">
        <f>IF(O$29="",0,('2. Kalkyldata'!$P$9-SUMIF('2. Kalkyldata'!$R$23:$R$27,'3. Finansiering'!O$12,'2. Kalkyldata'!$AA$23:$AA$27)))</f>
        <v>0</v>
      </c>
      <c r="P30" s="619">
        <f>IF(P$29="",0,('2. Kalkyldata'!$P$9-SUMIF('2. Kalkyldata'!$R$23:$R$27,'3. Finansiering'!P$12,'2. Kalkyldata'!$AA$23:$AA$27)))</f>
        <v>0</v>
      </c>
      <c r="Q30" s="619">
        <f>IF(Q$29="",0,('2. Kalkyldata'!$P$9-SUMIF('2. Kalkyldata'!$R$23:$R$27,'3. Finansiering'!Q$12,'2. Kalkyldata'!$AA$23:$AA$27)))</f>
        <v>0</v>
      </c>
      <c r="R30" s="619">
        <f>IF(R$29="",0,('2. Kalkyldata'!$P$9-SUMIF('2. Kalkyldata'!$R$23:$R$27,'3. Finansiering'!R$12,'2. Kalkyldata'!$AA$23:$AA$27)))</f>
        <v>0</v>
      </c>
      <c r="S30" s="619">
        <f>IF(S$29="",0,('2. Kalkyldata'!$P$9-SUMIF('2. Kalkyldata'!$R$23:$R$27,'3. Finansiering'!S$12,'2. Kalkyldata'!$AA$23:$AA$27)))</f>
        <v>0</v>
      </c>
      <c r="T30" s="619">
        <f>IF(T$29="",0,('2. Kalkyldata'!$P$9-SUMIF('2. Kalkyldata'!$R$23:$R$27,'3. Finansiering'!T$12,'2. Kalkyldata'!$AA$23:$AA$27)))</f>
        <v>0</v>
      </c>
      <c r="U30" s="619">
        <f>IF(U$29="",0,('2. Kalkyldata'!$P$9-SUMIF('2. Kalkyldata'!$R$23:$R$27,'3. Finansiering'!U$12,'2. Kalkyldata'!$AA$23:$AA$27)))</f>
        <v>0</v>
      </c>
      <c r="V30" s="619">
        <f>IF(V$29="",0,('2. Kalkyldata'!$P$9-SUMIF('2. Kalkyldata'!$R$23:$R$27,'3. Finansiering'!V$12,'2. Kalkyldata'!$AA$23:$AA$27)))</f>
        <v>0</v>
      </c>
      <c r="W30" s="619">
        <f>IF(W$29="",0,('2. Kalkyldata'!$P$9-SUMIF('2. Kalkyldata'!$R$23:$R$27,'3. Finansiering'!W$12,'2. Kalkyldata'!$AA$23:$AA$27)))</f>
        <v>0</v>
      </c>
      <c r="X30" s="619">
        <f>IF(X$29="",0,('2. Kalkyldata'!$P$9-SUMIF('2. Kalkyldata'!$R$23:$R$27,'3. Finansiering'!X$12,'2. Kalkyldata'!$AA$23:$AA$27)))</f>
        <v>0</v>
      </c>
      <c r="Y30" s="619">
        <f>IF(Y$29="",0,('2. Kalkyldata'!$P$9-SUMIF('2. Kalkyldata'!$R$23:$R$27,'3. Finansiering'!Y$12,'2. Kalkyldata'!$AA$23:$AA$27)))</f>
        <v>0</v>
      </c>
      <c r="Z30" s="619">
        <f>IF(Z$29="",0,('2. Kalkyldata'!$P$9-SUMIF('2. Kalkyldata'!$R$23:$R$27,'3. Finansiering'!Z$12,'2. Kalkyldata'!$AA$23:$AA$27)))</f>
        <v>0</v>
      </c>
      <c r="AA30" s="619">
        <f>IF(AA$29="",0,('2. Kalkyldata'!$P$9-SUMIF('2. Kalkyldata'!$R$23:$R$27,'3. Finansiering'!AA$12,'2. Kalkyldata'!$AA$23:$AA$27)))</f>
        <v>0</v>
      </c>
      <c r="AB30" s="619">
        <f>IF(AB$29="",0,('2. Kalkyldata'!$P$9-SUMIF('2. Kalkyldata'!$R$23:$R$27,'3. Finansiering'!AB$12,'2. Kalkyldata'!$AA$23:$AA$27)))</f>
        <v>0</v>
      </c>
      <c r="AC30" s="619">
        <f>IF(AC$29="",0,('2. Kalkyldata'!$P$9-SUMIF('2. Kalkyldata'!$R$23:$R$27,'3. Finansiering'!AC$12,'2. Kalkyldata'!$AA$23:$AA$27)))</f>
        <v>0</v>
      </c>
      <c r="AD30" s="619">
        <f>IF(AD$29="",0,('2. Kalkyldata'!$P$9-SUMIF('2. Kalkyldata'!$R$23:$R$27,'3. Finansiering'!AD$12,'2. Kalkyldata'!$AA$23:$AA$27)))</f>
        <v>0</v>
      </c>
      <c r="AE30" s="619">
        <f>IF(AE$29="",0,('2. Kalkyldata'!$P$9-SUMIF('2. Kalkyldata'!$R$23:$R$27,'3. Finansiering'!AE$12,'2. Kalkyldata'!$AA$23:$AA$27)))</f>
        <v>0</v>
      </c>
      <c r="AF30" s="619">
        <f>IF(AF$29="",0,('2. Kalkyldata'!$P$9-SUMIF('2. Kalkyldata'!$R$23:$R$27,'3. Finansiering'!AF$12,'2. Kalkyldata'!$AA$23:$AA$27)))</f>
        <v>0</v>
      </c>
      <c r="AG30" s="619">
        <f>IF(AG$29="",0,('2. Kalkyldata'!$P$9-SUMIF('2. Kalkyldata'!$R$23:$R$27,'3. Finansiering'!AG$12,'2. Kalkyldata'!$AA$23:$AA$27)))</f>
        <v>0</v>
      </c>
      <c r="AH30" s="619">
        <f>IF(AH$29="",0,('2. Kalkyldata'!$P$9-SUMIF('2. Kalkyldata'!$R$23:$R$27,'3. Finansiering'!AH$12,'2. Kalkyldata'!$AA$23:$AA$27)))</f>
        <v>0</v>
      </c>
      <c r="AI30" s="619">
        <f>IF(AI$29="",0,('2. Kalkyldata'!$P$9-SUMIF('2. Kalkyldata'!$R$23:$R$27,'3. Finansiering'!AI$12,'2. Kalkyldata'!$AA$23:$AA$27)))</f>
        <v>0</v>
      </c>
      <c r="AJ30" s="619">
        <f>IF(AJ$29="",0,('2. Kalkyldata'!$P$9-SUMIF('2. Kalkyldata'!$R$23:$R$27,'3. Finansiering'!AJ$12,'2. Kalkyldata'!$AA$23:$AA$27)))</f>
        <v>0</v>
      </c>
      <c r="AK30" s="619">
        <f>IF(AK$29="",0,('2. Kalkyldata'!$P$9-SUMIF('2. Kalkyldata'!$R$23:$R$27,'3. Finansiering'!AK$12,'2. Kalkyldata'!$AA$23:$AA$27)))</f>
        <v>0</v>
      </c>
      <c r="AL30" s="619">
        <f>IF(AL$29="",0,('2. Kalkyldata'!$P$9-SUMIF('2. Kalkyldata'!$R$23:$R$27,'3. Finansiering'!AL$12,'2. Kalkyldata'!$AA$23:$AA$27)))</f>
        <v>0</v>
      </c>
      <c r="AM30" s="619">
        <f>IF(AM$29="",0,('2. Kalkyldata'!$P$9-SUMIF('2. Kalkyldata'!$R$23:$R$27,'3. Finansiering'!AM$12,'2. Kalkyldata'!$AA$23:$AA$27)))</f>
        <v>0</v>
      </c>
      <c r="AN30" s="619">
        <f>IF(AN$29="",0,('2. Kalkyldata'!$P$9-SUMIF('2. Kalkyldata'!$R$23:$R$27,'3. Finansiering'!AN$12,'2. Kalkyldata'!$AA$23:$AA$27)))</f>
        <v>0</v>
      </c>
      <c r="AO30" s="619">
        <f>IF(AO$29="",0,('2. Kalkyldata'!$P$9-SUMIF('2. Kalkyldata'!$R$23:$R$27,'3. Finansiering'!AO$12,'2. Kalkyldata'!$AA$23:$AA$27)))</f>
        <v>0</v>
      </c>
      <c r="AP30" s="619">
        <f>IF(AP$29="",0,('2. Kalkyldata'!$P$9-SUMIF('2. Kalkyldata'!$R$23:$R$27,'3. Finansiering'!AP$12,'2. Kalkyldata'!$AA$23:$AA$27)))</f>
        <v>0</v>
      </c>
      <c r="AQ30" s="619">
        <f>IF(AQ$29="",0,('2. Kalkyldata'!$P$9-SUMIF('2. Kalkyldata'!$R$23:$R$27,'3. Finansiering'!AQ$12,'2. Kalkyldata'!$AA$23:$AA$27)))</f>
        <v>0</v>
      </c>
      <c r="AR30" s="619">
        <f>IF(AR$29="",0,('2. Kalkyldata'!$P$9-SUMIF('2. Kalkyldata'!$R$23:$R$27,'3. Finansiering'!AR$12,'2. Kalkyldata'!$AA$23:$AA$27)))</f>
        <v>0</v>
      </c>
      <c r="AS30" s="619">
        <f>IF(AS$29="",0,('2. Kalkyldata'!$P$9-SUMIF('2. Kalkyldata'!$R$23:$R$27,'3. Finansiering'!AS$12,'2. Kalkyldata'!$AA$23:$AA$27)))</f>
        <v>0</v>
      </c>
      <c r="AT30" s="619">
        <f>IF(AT$29="",0,('2. Kalkyldata'!$P$9-SUMIF('2. Kalkyldata'!$R$23:$R$27,'3. Finansiering'!AT$12,'2. Kalkyldata'!$AA$23:$AA$27)))</f>
        <v>0</v>
      </c>
      <c r="AU30" s="619">
        <f>IF(AU$29="",0,('2. Kalkyldata'!$P$9-SUMIF('2. Kalkyldata'!$R$23:$R$27,'3. Finansiering'!AU$12,'2. Kalkyldata'!$AA$23:$AA$27)))</f>
        <v>0</v>
      </c>
      <c r="AV30" s="619">
        <f>IF(AV$29="",0,('2. Kalkyldata'!$P$9-SUMIF('2. Kalkyldata'!$R$23:$R$27,'3. Finansiering'!AV$12,'2. Kalkyldata'!$AA$23:$AA$27)))</f>
        <v>0</v>
      </c>
      <c r="AW30" s="619">
        <f>IF(AW$29="",0,('2. Kalkyldata'!$P$9-SUMIF('2. Kalkyldata'!$R$23:$R$27,'3. Finansiering'!AW$12,'2. Kalkyldata'!$AA$23:$AA$27)))</f>
        <v>0</v>
      </c>
      <c r="AX30" s="619">
        <f>IF(AX$29="",0,('2. Kalkyldata'!$P$9-SUMIF('2. Kalkyldata'!$R$23:$R$27,'3. Finansiering'!AX$12,'2. Kalkyldata'!$AA$23:$AA$27)))</f>
        <v>0</v>
      </c>
      <c r="AY30" s="619">
        <f>IF(AY$29="",0,('2. Kalkyldata'!$P$9-SUMIF('2. Kalkyldata'!$R$23:$R$27,'3. Finansiering'!AY$12,'2. Kalkyldata'!$AA$23:$AA$27)))</f>
        <v>0</v>
      </c>
      <c r="AZ30" s="619">
        <f>IF(AZ$29="",0,('2. Kalkyldata'!$P$9-SUMIF('2. Kalkyldata'!$R$23:$R$27,'3. Finansiering'!AZ$12,'2. Kalkyldata'!$AA$23:$AA$27)))</f>
        <v>0</v>
      </c>
      <c r="BA30" s="619">
        <f>IF(BA$29="",0,('2. Kalkyldata'!$P$9-SUMIF('2. Kalkyldata'!$R$23:$R$27,'3. Finansiering'!BA$12,'2. Kalkyldata'!$AA$23:$AA$27)))</f>
        <v>0</v>
      </c>
      <c r="BB30" s="506"/>
    </row>
    <row r="31" spans="1:54" outlineLevel="1">
      <c r="A31" s="506"/>
      <c r="B31" s="328" t="str">
        <f>'2. Kalkyldata'!C23</f>
        <v>Skola</v>
      </c>
      <c r="C31" s="506"/>
      <c r="D31" s="619">
        <f>IF(D$29="",0,SUMIFS('2. Kalkyldata'!$W$23:$W$27,'2. Kalkyldata'!$C$23:$C$27,'3. Finansiering'!$B31,'2. Kalkyldata'!$R$23:$R$27,'3. Finansiering'!D$12))</f>
        <v>239999999.99999997</v>
      </c>
      <c r="E31" s="619">
        <f>IF(E$29="",0,SUMIFS('2. Kalkyldata'!$W$23:$W$27,'2. Kalkyldata'!$C$23:$C$27,'3. Finansiering'!$B31,'2. Kalkyldata'!$R$23:$R$27,'3. Finansiering'!E$12))</f>
        <v>239999999.99999997</v>
      </c>
      <c r="F31" s="619">
        <f>IF(F$29="",0,SUMIFS('2. Kalkyldata'!$W$23:$W$27,'2. Kalkyldata'!$C$23:$C$27,'3. Finansiering'!$B31,'2. Kalkyldata'!$R$23:$R$27,'3. Finansiering'!F$12))</f>
        <v>239999999.99999997</v>
      </c>
      <c r="G31" s="619">
        <f>IF(G$29="",0,SUMIFS('2. Kalkyldata'!$W$23:$W$27,'2. Kalkyldata'!$C$23:$C$27,'3. Finansiering'!$B31,'2. Kalkyldata'!$R$23:$R$27,'3. Finansiering'!G$12))</f>
        <v>239999999.99999997</v>
      </c>
      <c r="H31" s="619">
        <f>IF(H$29="",0,SUMIFS('2. Kalkyldata'!$W$23:$W$27,'2. Kalkyldata'!$C$23:$C$27,'3. Finansiering'!$B31,'2. Kalkyldata'!$R$23:$R$27,'3. Finansiering'!H$12))</f>
        <v>239999999.99999997</v>
      </c>
      <c r="I31" s="619">
        <f>IF(I$29="",0,SUMIFS('2. Kalkyldata'!$W$23:$W$27,'2. Kalkyldata'!$C$23:$C$27,'3. Finansiering'!$B31,'2. Kalkyldata'!$R$23:$R$27,'3. Finansiering'!I$12))</f>
        <v>239999999.99999997</v>
      </c>
      <c r="J31" s="619">
        <f>IF(J$29="",0,SUMIFS('2. Kalkyldata'!$W$23:$W$27,'2. Kalkyldata'!$C$23:$C$27,'3. Finansiering'!$B31,'2. Kalkyldata'!$R$23:$R$27,'3. Finansiering'!J$12))</f>
        <v>239999999.99999997</v>
      </c>
      <c r="K31" s="619">
        <f>IF(K$29="",0,SUMIFS('2. Kalkyldata'!$W$23:$W$27,'2. Kalkyldata'!$C$23:$C$27,'3. Finansiering'!$B31,'2. Kalkyldata'!$R$23:$R$27,'3. Finansiering'!K$12))</f>
        <v>239999999.99999997</v>
      </c>
      <c r="L31" s="619">
        <f>IF(L$29="",0,SUMIFS('2. Kalkyldata'!$W$23:$W$27,'2. Kalkyldata'!$C$23:$C$27,'3. Finansiering'!$B31,'2. Kalkyldata'!$R$23:$R$27,'3. Finansiering'!L$12))</f>
        <v>239999999.99999997</v>
      </c>
      <c r="M31" s="619">
        <f>IF(M$29="",0,SUMIFS('2. Kalkyldata'!$W$23:$W$27,'2. Kalkyldata'!$C$23:$C$27,'3. Finansiering'!$B31,'2. Kalkyldata'!$R$23:$R$27,'3. Finansiering'!M$12))</f>
        <v>239999999.99999997</v>
      </c>
      <c r="N31" s="619">
        <f>IF(N$29="",0,SUMIFS('2. Kalkyldata'!$W$23:$W$27,'2. Kalkyldata'!$C$23:$C$27,'3. Finansiering'!$B31,'2. Kalkyldata'!$R$23:$R$27,'3. Finansiering'!N$12))</f>
        <v>239999999.99999997</v>
      </c>
      <c r="O31" s="619">
        <f>IF(O$29="",0,SUMIFS('2. Kalkyldata'!$W$23:$W$27,'2. Kalkyldata'!$C$23:$C$27,'3. Finansiering'!$B31,'2. Kalkyldata'!$R$23:$R$27,'3. Finansiering'!O$12))</f>
        <v>239999999.99999997</v>
      </c>
      <c r="P31" s="619">
        <f>IF(P$29="",0,SUMIFS('2. Kalkyldata'!$W$23:$W$27,'2. Kalkyldata'!$C$23:$C$27,'3. Finansiering'!$B31,'2. Kalkyldata'!$R$23:$R$27,'3. Finansiering'!P$12))</f>
        <v>239999999.99999997</v>
      </c>
      <c r="Q31" s="619">
        <f>IF(Q$29="",0,SUMIFS('2. Kalkyldata'!$W$23:$W$27,'2. Kalkyldata'!$C$23:$C$27,'3. Finansiering'!$B31,'2. Kalkyldata'!$R$23:$R$27,'3. Finansiering'!Q$12))</f>
        <v>239999999.99999997</v>
      </c>
      <c r="R31" s="619">
        <f>IF(R$29="",0,SUMIFS('2. Kalkyldata'!$W$23:$W$27,'2. Kalkyldata'!$C$23:$C$27,'3. Finansiering'!$B31,'2. Kalkyldata'!$R$23:$R$27,'3. Finansiering'!R$12))</f>
        <v>239999999.99999997</v>
      </c>
      <c r="S31" s="619">
        <f>IF(S$29="",0,SUMIFS('2. Kalkyldata'!$W$23:$W$27,'2. Kalkyldata'!$C$23:$C$27,'3. Finansiering'!$B31,'2. Kalkyldata'!$R$23:$R$27,'3. Finansiering'!S$12))</f>
        <v>239999999.99999997</v>
      </c>
      <c r="T31" s="619">
        <f>IF(T$29="",0,SUMIFS('2. Kalkyldata'!$W$23:$W$27,'2. Kalkyldata'!$C$23:$C$27,'3. Finansiering'!$B31,'2. Kalkyldata'!$R$23:$R$27,'3. Finansiering'!T$12))</f>
        <v>239999999.99999997</v>
      </c>
      <c r="U31" s="619">
        <f>IF(U$29="",0,SUMIFS('2. Kalkyldata'!$W$23:$W$27,'2. Kalkyldata'!$C$23:$C$27,'3. Finansiering'!$B31,'2. Kalkyldata'!$R$23:$R$27,'3. Finansiering'!U$12))</f>
        <v>239999999.99999997</v>
      </c>
      <c r="V31" s="619">
        <f>IF(V$29="",0,SUMIFS('2. Kalkyldata'!$W$23:$W$27,'2. Kalkyldata'!$C$23:$C$27,'3. Finansiering'!$B31,'2. Kalkyldata'!$R$23:$R$27,'3. Finansiering'!V$12))</f>
        <v>239999999.99999997</v>
      </c>
      <c r="W31" s="619">
        <f>IF(W$29="",0,SUMIFS('2. Kalkyldata'!$W$23:$W$27,'2. Kalkyldata'!$C$23:$C$27,'3. Finansiering'!$B31,'2. Kalkyldata'!$R$23:$R$27,'3. Finansiering'!W$12))</f>
        <v>239999999.99999997</v>
      </c>
      <c r="X31" s="619">
        <f>IF(X$29="",0,SUMIFS('2. Kalkyldata'!$W$23:$W$27,'2. Kalkyldata'!$C$23:$C$27,'3. Finansiering'!$B31,'2. Kalkyldata'!$R$23:$R$27,'3. Finansiering'!X$12))</f>
        <v>239999999.99999997</v>
      </c>
      <c r="Y31" s="619">
        <f>IF(Y$29="",0,SUMIFS('2. Kalkyldata'!$W$23:$W$27,'2. Kalkyldata'!$C$23:$C$27,'3. Finansiering'!$B31,'2. Kalkyldata'!$R$23:$R$27,'3. Finansiering'!Y$12))</f>
        <v>0</v>
      </c>
      <c r="Z31" s="619">
        <f>IF(Z$29="",0,SUMIFS('2. Kalkyldata'!$W$23:$W$27,'2. Kalkyldata'!$C$23:$C$27,'3. Finansiering'!$B31,'2. Kalkyldata'!$R$23:$R$27,'3. Finansiering'!Z$12))</f>
        <v>0</v>
      </c>
      <c r="AA31" s="619">
        <f>IF(AA$29="",0,SUMIFS('2. Kalkyldata'!$W$23:$W$27,'2. Kalkyldata'!$C$23:$C$27,'3. Finansiering'!$B31,'2. Kalkyldata'!$R$23:$R$27,'3. Finansiering'!AA$12))</f>
        <v>0</v>
      </c>
      <c r="AB31" s="619">
        <f>IF(AB$29="",0,SUMIFS('2. Kalkyldata'!$W$23:$W$27,'2. Kalkyldata'!$C$23:$C$27,'3. Finansiering'!$B31,'2. Kalkyldata'!$R$23:$R$27,'3. Finansiering'!AB$12))</f>
        <v>0</v>
      </c>
      <c r="AC31" s="619">
        <f>IF(AC$29="",0,SUMIFS('2. Kalkyldata'!$W$23:$W$27,'2. Kalkyldata'!$C$23:$C$27,'3. Finansiering'!$B31,'2. Kalkyldata'!$R$23:$R$27,'3. Finansiering'!AC$12))</f>
        <v>0</v>
      </c>
      <c r="AD31" s="619">
        <f>IF(AD$29="",0,SUMIFS('2. Kalkyldata'!$W$23:$W$27,'2. Kalkyldata'!$C$23:$C$27,'3. Finansiering'!$B31,'2. Kalkyldata'!$R$23:$R$27,'3. Finansiering'!AD$12))</f>
        <v>0</v>
      </c>
      <c r="AE31" s="619">
        <f>IF(AE$29="",0,SUMIFS('2. Kalkyldata'!$W$23:$W$27,'2. Kalkyldata'!$C$23:$C$27,'3. Finansiering'!$B31,'2. Kalkyldata'!$R$23:$R$27,'3. Finansiering'!AE$12))</f>
        <v>0</v>
      </c>
      <c r="AF31" s="619">
        <f>IF(AF$29="",0,SUMIFS('2. Kalkyldata'!$W$23:$W$27,'2. Kalkyldata'!$C$23:$C$27,'3. Finansiering'!$B31,'2. Kalkyldata'!$R$23:$R$27,'3. Finansiering'!AF$12))</f>
        <v>0</v>
      </c>
      <c r="AG31" s="619">
        <f>IF(AG$29="",0,SUMIFS('2. Kalkyldata'!$W$23:$W$27,'2. Kalkyldata'!$C$23:$C$27,'3. Finansiering'!$B31,'2. Kalkyldata'!$R$23:$R$27,'3. Finansiering'!AG$12))</f>
        <v>0</v>
      </c>
      <c r="AH31" s="619">
        <f>IF(AH$29="",0,SUMIFS('2. Kalkyldata'!$W$23:$W$27,'2. Kalkyldata'!$C$23:$C$27,'3. Finansiering'!$B31,'2. Kalkyldata'!$R$23:$R$27,'3. Finansiering'!AH$12))</f>
        <v>0</v>
      </c>
      <c r="AI31" s="619">
        <f>IF(AI$29="",0,SUMIFS('2. Kalkyldata'!$W$23:$W$27,'2. Kalkyldata'!$C$23:$C$27,'3. Finansiering'!$B31,'2. Kalkyldata'!$R$23:$R$27,'3. Finansiering'!AI$12))</f>
        <v>0</v>
      </c>
      <c r="AJ31" s="619">
        <f>IF(AJ$29="",0,SUMIFS('2. Kalkyldata'!$W$23:$W$27,'2. Kalkyldata'!$C$23:$C$27,'3. Finansiering'!$B31,'2. Kalkyldata'!$R$23:$R$27,'3. Finansiering'!AJ$12))</f>
        <v>0</v>
      </c>
      <c r="AK31" s="619">
        <f>IF(AK$29="",0,SUMIFS('2. Kalkyldata'!$W$23:$W$27,'2. Kalkyldata'!$C$23:$C$27,'3. Finansiering'!$B31,'2. Kalkyldata'!$R$23:$R$27,'3. Finansiering'!AK$12))</f>
        <v>0</v>
      </c>
      <c r="AL31" s="619">
        <f>IF(AL$29="",0,SUMIFS('2. Kalkyldata'!$W$23:$W$27,'2. Kalkyldata'!$C$23:$C$27,'3. Finansiering'!$B31,'2. Kalkyldata'!$R$23:$R$27,'3. Finansiering'!AL$12))</f>
        <v>0</v>
      </c>
      <c r="AM31" s="619">
        <f>IF(AM$29="",0,SUMIFS('2. Kalkyldata'!$W$23:$W$27,'2. Kalkyldata'!$C$23:$C$27,'3. Finansiering'!$B31,'2. Kalkyldata'!$R$23:$R$27,'3. Finansiering'!AM$12))</f>
        <v>0</v>
      </c>
      <c r="AN31" s="619">
        <f>IF(AN$29="",0,SUMIFS('2. Kalkyldata'!$W$23:$W$27,'2. Kalkyldata'!$C$23:$C$27,'3. Finansiering'!$B31,'2. Kalkyldata'!$R$23:$R$27,'3. Finansiering'!AN$12))</f>
        <v>0</v>
      </c>
      <c r="AO31" s="619">
        <f>IF(AO$29="",0,SUMIFS('2. Kalkyldata'!$W$23:$W$27,'2. Kalkyldata'!$C$23:$C$27,'3. Finansiering'!$B31,'2. Kalkyldata'!$R$23:$R$27,'3. Finansiering'!AO$12))</f>
        <v>0</v>
      </c>
      <c r="AP31" s="619">
        <f>IF(AP$29="",0,SUMIFS('2. Kalkyldata'!$W$23:$W$27,'2. Kalkyldata'!$C$23:$C$27,'3. Finansiering'!$B31,'2. Kalkyldata'!$R$23:$R$27,'3. Finansiering'!AP$12))</f>
        <v>0</v>
      </c>
      <c r="AQ31" s="619">
        <f>IF(AQ$29="",0,SUMIFS('2. Kalkyldata'!$W$23:$W$27,'2. Kalkyldata'!$C$23:$C$27,'3. Finansiering'!$B31,'2. Kalkyldata'!$R$23:$R$27,'3. Finansiering'!AQ$12))</f>
        <v>0</v>
      </c>
      <c r="AR31" s="619">
        <f>IF(AR$29="",0,SUMIFS('2. Kalkyldata'!$W$23:$W$27,'2. Kalkyldata'!$C$23:$C$27,'3. Finansiering'!$B31,'2. Kalkyldata'!$R$23:$R$27,'3. Finansiering'!AR$12))</f>
        <v>0</v>
      </c>
      <c r="AS31" s="619">
        <f>IF(AS$29="",0,SUMIFS('2. Kalkyldata'!$W$23:$W$27,'2. Kalkyldata'!$C$23:$C$27,'3. Finansiering'!$B31,'2. Kalkyldata'!$R$23:$R$27,'3. Finansiering'!AS$12))</f>
        <v>0</v>
      </c>
      <c r="AT31" s="619">
        <f>IF(AT$29="",0,SUMIFS('2. Kalkyldata'!$W$23:$W$27,'2. Kalkyldata'!$C$23:$C$27,'3. Finansiering'!$B31,'2. Kalkyldata'!$R$23:$R$27,'3. Finansiering'!AT$12))</f>
        <v>0</v>
      </c>
      <c r="AU31" s="619">
        <f>IF(AU$29="",0,SUMIFS('2. Kalkyldata'!$W$23:$W$27,'2. Kalkyldata'!$C$23:$C$27,'3. Finansiering'!$B31,'2. Kalkyldata'!$R$23:$R$27,'3. Finansiering'!AU$12))</f>
        <v>0</v>
      </c>
      <c r="AV31" s="619">
        <f>IF(AV$29="",0,SUMIFS('2. Kalkyldata'!$W$23:$W$27,'2. Kalkyldata'!$C$23:$C$27,'3. Finansiering'!$B31,'2. Kalkyldata'!$R$23:$R$27,'3. Finansiering'!AV$12))</f>
        <v>0</v>
      </c>
      <c r="AW31" s="619">
        <f>IF(AW$29="",0,SUMIFS('2. Kalkyldata'!$W$23:$W$27,'2. Kalkyldata'!$C$23:$C$27,'3. Finansiering'!$B31,'2. Kalkyldata'!$R$23:$R$27,'3. Finansiering'!AW$12))</f>
        <v>0</v>
      </c>
      <c r="AX31" s="619">
        <f>IF(AX$29="",0,SUMIFS('2. Kalkyldata'!$W$23:$W$27,'2. Kalkyldata'!$C$23:$C$27,'3. Finansiering'!$B31,'2. Kalkyldata'!$R$23:$R$27,'3. Finansiering'!AX$12))</f>
        <v>0</v>
      </c>
      <c r="AY31" s="619">
        <f>IF(AY$29="",0,SUMIFS('2. Kalkyldata'!$W$23:$W$27,'2. Kalkyldata'!$C$23:$C$27,'3. Finansiering'!$B31,'2. Kalkyldata'!$R$23:$R$27,'3. Finansiering'!AY$12))</f>
        <v>0</v>
      </c>
      <c r="AZ31" s="619">
        <f>IF(AZ$29="",0,SUMIFS('2. Kalkyldata'!$W$23:$W$27,'2. Kalkyldata'!$C$23:$C$27,'3. Finansiering'!$B31,'2. Kalkyldata'!$R$23:$R$27,'3. Finansiering'!AZ$12))</f>
        <v>0</v>
      </c>
      <c r="BA31" s="619">
        <f>IF(BA$29="",0,SUMIFS('2. Kalkyldata'!$W$23:$W$27,'2. Kalkyldata'!$C$23:$C$27,'3. Finansiering'!$B31,'2. Kalkyldata'!$R$23:$R$27,'3. Finansiering'!BA$12))</f>
        <v>0</v>
      </c>
      <c r="BB31" s="506"/>
    </row>
    <row r="32" spans="1:54" outlineLevel="1">
      <c r="A32" s="506"/>
      <c r="B32" s="328">
        <f>'2. Kalkyldata'!C24</f>
        <v>0</v>
      </c>
      <c r="C32" s="506"/>
      <c r="D32" s="619">
        <f>IF(D$29="",0,SUMIFS('2. Kalkyldata'!$W$23:$W$27,'2. Kalkyldata'!$C$23:$C$27,'3. Finansiering'!$B32,'2. Kalkyldata'!$R$23:$R$27,'3. Finansiering'!D$12))</f>
        <v>0</v>
      </c>
      <c r="E32" s="619">
        <f>IF(E$29="",0,SUMIFS('2. Kalkyldata'!$W$23:$W$27,'2. Kalkyldata'!$C$23:$C$27,'3. Finansiering'!$B32,'2. Kalkyldata'!$R$23:$R$27,'3. Finansiering'!E$12))</f>
        <v>0</v>
      </c>
      <c r="F32" s="619">
        <f>IF(F$29="",0,SUMIFS('2. Kalkyldata'!$W$23:$W$27,'2. Kalkyldata'!$C$23:$C$27,'3. Finansiering'!$B32,'2. Kalkyldata'!$R$23:$R$27,'3. Finansiering'!F$12))</f>
        <v>0</v>
      </c>
      <c r="G32" s="619">
        <f>IF(G$29="",0,SUMIFS('2. Kalkyldata'!$W$23:$W$27,'2. Kalkyldata'!$C$23:$C$27,'3. Finansiering'!$B32,'2. Kalkyldata'!$R$23:$R$27,'3. Finansiering'!G$12))</f>
        <v>0</v>
      </c>
      <c r="H32" s="619">
        <f>IF(H$29="",0,SUMIFS('2. Kalkyldata'!$W$23:$W$27,'2. Kalkyldata'!$C$23:$C$27,'3. Finansiering'!$B32,'2. Kalkyldata'!$R$23:$R$27,'3. Finansiering'!H$12))</f>
        <v>0</v>
      </c>
      <c r="I32" s="619">
        <f>IF(I$29="",0,SUMIFS('2. Kalkyldata'!$W$23:$W$27,'2. Kalkyldata'!$C$23:$C$27,'3. Finansiering'!$B32,'2. Kalkyldata'!$R$23:$R$27,'3. Finansiering'!I$12))</f>
        <v>0</v>
      </c>
      <c r="J32" s="619">
        <f>IF(J$29="",0,SUMIFS('2. Kalkyldata'!$W$23:$W$27,'2. Kalkyldata'!$C$23:$C$27,'3. Finansiering'!$B32,'2. Kalkyldata'!$R$23:$R$27,'3. Finansiering'!J$12))</f>
        <v>0</v>
      </c>
      <c r="K32" s="619">
        <f>IF(K$29="",0,SUMIFS('2. Kalkyldata'!$W$23:$W$27,'2. Kalkyldata'!$C$23:$C$27,'3. Finansiering'!$B32,'2. Kalkyldata'!$R$23:$R$27,'3. Finansiering'!K$12))</f>
        <v>0</v>
      </c>
      <c r="L32" s="619">
        <f>IF(L$29="",0,SUMIFS('2. Kalkyldata'!$W$23:$W$27,'2. Kalkyldata'!$C$23:$C$27,'3. Finansiering'!$B32,'2. Kalkyldata'!$R$23:$R$27,'3. Finansiering'!L$12))</f>
        <v>0</v>
      </c>
      <c r="M32" s="619">
        <f>IF(M$29="",0,SUMIFS('2. Kalkyldata'!$W$23:$W$27,'2. Kalkyldata'!$C$23:$C$27,'3. Finansiering'!$B32,'2. Kalkyldata'!$R$23:$R$27,'3. Finansiering'!M$12))</f>
        <v>0</v>
      </c>
      <c r="N32" s="619">
        <f>IF(N$29="",0,SUMIFS('2. Kalkyldata'!$W$23:$W$27,'2. Kalkyldata'!$C$23:$C$27,'3. Finansiering'!$B32,'2. Kalkyldata'!$R$23:$R$27,'3. Finansiering'!N$12))</f>
        <v>0</v>
      </c>
      <c r="O32" s="619">
        <f>IF(O$29="",0,SUMIFS('2. Kalkyldata'!$W$23:$W$27,'2. Kalkyldata'!$C$23:$C$27,'3. Finansiering'!$B32,'2. Kalkyldata'!$R$23:$R$27,'3. Finansiering'!O$12))</f>
        <v>0</v>
      </c>
      <c r="P32" s="619">
        <f>IF(P$29="",0,SUMIFS('2. Kalkyldata'!$W$23:$W$27,'2. Kalkyldata'!$C$23:$C$27,'3. Finansiering'!$B32,'2. Kalkyldata'!$R$23:$R$27,'3. Finansiering'!P$12))</f>
        <v>0</v>
      </c>
      <c r="Q32" s="619">
        <f>IF(Q$29="",0,SUMIFS('2. Kalkyldata'!$W$23:$W$27,'2. Kalkyldata'!$C$23:$C$27,'3. Finansiering'!$B32,'2. Kalkyldata'!$R$23:$R$27,'3. Finansiering'!Q$12))</f>
        <v>0</v>
      </c>
      <c r="R32" s="619">
        <f>IF(R$29="",0,SUMIFS('2. Kalkyldata'!$W$23:$W$27,'2. Kalkyldata'!$C$23:$C$27,'3. Finansiering'!$B32,'2. Kalkyldata'!$R$23:$R$27,'3. Finansiering'!R$12))</f>
        <v>0</v>
      </c>
      <c r="S32" s="619">
        <f>IF(S$29="",0,SUMIFS('2. Kalkyldata'!$W$23:$W$27,'2. Kalkyldata'!$C$23:$C$27,'3. Finansiering'!$B32,'2. Kalkyldata'!$R$23:$R$27,'3. Finansiering'!S$12))</f>
        <v>0</v>
      </c>
      <c r="T32" s="619">
        <f>IF(T$29="",0,SUMIFS('2. Kalkyldata'!$W$23:$W$27,'2. Kalkyldata'!$C$23:$C$27,'3. Finansiering'!$B32,'2. Kalkyldata'!$R$23:$R$27,'3. Finansiering'!T$12))</f>
        <v>0</v>
      </c>
      <c r="U32" s="619">
        <f>IF(U$29="",0,SUMIFS('2. Kalkyldata'!$W$23:$W$27,'2. Kalkyldata'!$C$23:$C$27,'3. Finansiering'!$B32,'2. Kalkyldata'!$R$23:$R$27,'3. Finansiering'!U$12))</f>
        <v>0</v>
      </c>
      <c r="V32" s="619">
        <f>IF(V$29="",0,SUMIFS('2. Kalkyldata'!$W$23:$W$27,'2. Kalkyldata'!$C$23:$C$27,'3. Finansiering'!$B32,'2. Kalkyldata'!$R$23:$R$27,'3. Finansiering'!V$12))</f>
        <v>0</v>
      </c>
      <c r="W32" s="619">
        <f>IF(W$29="",0,SUMIFS('2. Kalkyldata'!$W$23:$W$27,'2. Kalkyldata'!$C$23:$C$27,'3. Finansiering'!$B32,'2. Kalkyldata'!$R$23:$R$27,'3. Finansiering'!W$12))</f>
        <v>0</v>
      </c>
      <c r="X32" s="619">
        <f>IF(X$29="",0,SUMIFS('2. Kalkyldata'!$W$23:$W$27,'2. Kalkyldata'!$C$23:$C$27,'3. Finansiering'!$B32,'2. Kalkyldata'!$R$23:$R$27,'3. Finansiering'!X$12))</f>
        <v>0</v>
      </c>
      <c r="Y32" s="619">
        <f>IF(Y$29="",0,SUMIFS('2. Kalkyldata'!$W$23:$W$27,'2. Kalkyldata'!$C$23:$C$27,'3. Finansiering'!$B32,'2. Kalkyldata'!$R$23:$R$27,'3. Finansiering'!Y$12))</f>
        <v>0</v>
      </c>
      <c r="Z32" s="619">
        <f>IF(Z$29="",0,SUMIFS('2. Kalkyldata'!$W$23:$W$27,'2. Kalkyldata'!$C$23:$C$27,'3. Finansiering'!$B32,'2. Kalkyldata'!$R$23:$R$27,'3. Finansiering'!Z$12))</f>
        <v>0</v>
      </c>
      <c r="AA32" s="619">
        <f>IF(AA$29="",0,SUMIFS('2. Kalkyldata'!$W$23:$W$27,'2. Kalkyldata'!$C$23:$C$27,'3. Finansiering'!$B32,'2. Kalkyldata'!$R$23:$R$27,'3. Finansiering'!AA$12))</f>
        <v>0</v>
      </c>
      <c r="AB32" s="619">
        <f>IF(AB$29="",0,SUMIFS('2. Kalkyldata'!$W$23:$W$27,'2. Kalkyldata'!$C$23:$C$27,'3. Finansiering'!$B32,'2. Kalkyldata'!$R$23:$R$27,'3. Finansiering'!AB$12))</f>
        <v>0</v>
      </c>
      <c r="AC32" s="619">
        <f>IF(AC$29="",0,SUMIFS('2. Kalkyldata'!$W$23:$W$27,'2. Kalkyldata'!$C$23:$C$27,'3. Finansiering'!$B32,'2. Kalkyldata'!$R$23:$R$27,'3. Finansiering'!AC$12))</f>
        <v>0</v>
      </c>
      <c r="AD32" s="619">
        <f>IF(AD$29="",0,SUMIFS('2. Kalkyldata'!$W$23:$W$27,'2. Kalkyldata'!$C$23:$C$27,'3. Finansiering'!$B32,'2. Kalkyldata'!$R$23:$R$27,'3. Finansiering'!AD$12))</f>
        <v>0</v>
      </c>
      <c r="AE32" s="619">
        <f>IF(AE$29="",0,SUMIFS('2. Kalkyldata'!$W$23:$W$27,'2. Kalkyldata'!$C$23:$C$27,'3. Finansiering'!$B32,'2. Kalkyldata'!$R$23:$R$27,'3. Finansiering'!AE$12))</f>
        <v>0</v>
      </c>
      <c r="AF32" s="619">
        <f>IF(AF$29="",0,SUMIFS('2. Kalkyldata'!$W$23:$W$27,'2. Kalkyldata'!$C$23:$C$27,'3. Finansiering'!$B32,'2. Kalkyldata'!$R$23:$R$27,'3. Finansiering'!AF$12))</f>
        <v>0</v>
      </c>
      <c r="AG32" s="619">
        <f>IF(AG$29="",0,SUMIFS('2. Kalkyldata'!$W$23:$W$27,'2. Kalkyldata'!$C$23:$C$27,'3. Finansiering'!$B32,'2. Kalkyldata'!$R$23:$R$27,'3. Finansiering'!AG$12))</f>
        <v>0</v>
      </c>
      <c r="AH32" s="619">
        <f>IF(AH$29="",0,SUMIFS('2. Kalkyldata'!$W$23:$W$27,'2. Kalkyldata'!$C$23:$C$27,'3. Finansiering'!$B32,'2. Kalkyldata'!$R$23:$R$27,'3. Finansiering'!AH$12))</f>
        <v>0</v>
      </c>
      <c r="AI32" s="619">
        <f>IF(AI$29="",0,SUMIFS('2. Kalkyldata'!$W$23:$W$27,'2. Kalkyldata'!$C$23:$C$27,'3. Finansiering'!$B32,'2. Kalkyldata'!$R$23:$R$27,'3. Finansiering'!AI$12))</f>
        <v>0</v>
      </c>
      <c r="AJ32" s="619">
        <f>IF(AJ$29="",0,SUMIFS('2. Kalkyldata'!$W$23:$W$27,'2. Kalkyldata'!$C$23:$C$27,'3. Finansiering'!$B32,'2. Kalkyldata'!$R$23:$R$27,'3. Finansiering'!AJ$12))</f>
        <v>0</v>
      </c>
      <c r="AK32" s="619">
        <f>IF(AK$29="",0,SUMIFS('2. Kalkyldata'!$W$23:$W$27,'2. Kalkyldata'!$C$23:$C$27,'3. Finansiering'!$B32,'2. Kalkyldata'!$R$23:$R$27,'3. Finansiering'!AK$12))</f>
        <v>0</v>
      </c>
      <c r="AL32" s="619">
        <f>IF(AL$29="",0,SUMIFS('2. Kalkyldata'!$W$23:$W$27,'2. Kalkyldata'!$C$23:$C$27,'3. Finansiering'!$B32,'2. Kalkyldata'!$R$23:$R$27,'3. Finansiering'!AL$12))</f>
        <v>0</v>
      </c>
      <c r="AM32" s="619">
        <f>IF(AM$29="",0,SUMIFS('2. Kalkyldata'!$W$23:$W$27,'2. Kalkyldata'!$C$23:$C$27,'3. Finansiering'!$B32,'2. Kalkyldata'!$R$23:$R$27,'3. Finansiering'!AM$12))</f>
        <v>0</v>
      </c>
      <c r="AN32" s="619">
        <f>IF(AN$29="",0,SUMIFS('2. Kalkyldata'!$W$23:$W$27,'2. Kalkyldata'!$C$23:$C$27,'3. Finansiering'!$B32,'2. Kalkyldata'!$R$23:$R$27,'3. Finansiering'!AN$12))</f>
        <v>0</v>
      </c>
      <c r="AO32" s="619">
        <f>IF(AO$29="",0,SUMIFS('2. Kalkyldata'!$W$23:$W$27,'2. Kalkyldata'!$C$23:$C$27,'3. Finansiering'!$B32,'2. Kalkyldata'!$R$23:$R$27,'3. Finansiering'!AO$12))</f>
        <v>0</v>
      </c>
      <c r="AP32" s="619">
        <f>IF(AP$29="",0,SUMIFS('2. Kalkyldata'!$W$23:$W$27,'2. Kalkyldata'!$C$23:$C$27,'3. Finansiering'!$B32,'2. Kalkyldata'!$R$23:$R$27,'3. Finansiering'!AP$12))</f>
        <v>0</v>
      </c>
      <c r="AQ32" s="619">
        <f>IF(AQ$29="",0,SUMIFS('2. Kalkyldata'!$W$23:$W$27,'2. Kalkyldata'!$C$23:$C$27,'3. Finansiering'!$B32,'2. Kalkyldata'!$R$23:$R$27,'3. Finansiering'!AQ$12))</f>
        <v>0</v>
      </c>
      <c r="AR32" s="619">
        <f>IF(AR$29="",0,SUMIFS('2. Kalkyldata'!$W$23:$W$27,'2. Kalkyldata'!$C$23:$C$27,'3. Finansiering'!$B32,'2. Kalkyldata'!$R$23:$R$27,'3. Finansiering'!AR$12))</f>
        <v>0</v>
      </c>
      <c r="AS32" s="619">
        <f>IF(AS$29="",0,SUMIFS('2. Kalkyldata'!$W$23:$W$27,'2. Kalkyldata'!$C$23:$C$27,'3. Finansiering'!$B32,'2. Kalkyldata'!$R$23:$R$27,'3. Finansiering'!AS$12))</f>
        <v>0</v>
      </c>
      <c r="AT32" s="619">
        <f>IF(AT$29="",0,SUMIFS('2. Kalkyldata'!$W$23:$W$27,'2. Kalkyldata'!$C$23:$C$27,'3. Finansiering'!$B32,'2. Kalkyldata'!$R$23:$R$27,'3. Finansiering'!AT$12))</f>
        <v>0</v>
      </c>
      <c r="AU32" s="619">
        <f>IF(AU$29="",0,SUMIFS('2. Kalkyldata'!$W$23:$W$27,'2. Kalkyldata'!$C$23:$C$27,'3. Finansiering'!$B32,'2. Kalkyldata'!$R$23:$R$27,'3. Finansiering'!AU$12))</f>
        <v>0</v>
      </c>
      <c r="AV32" s="619">
        <f>IF(AV$29="",0,SUMIFS('2. Kalkyldata'!$W$23:$W$27,'2. Kalkyldata'!$C$23:$C$27,'3. Finansiering'!$B32,'2. Kalkyldata'!$R$23:$R$27,'3. Finansiering'!AV$12))</f>
        <v>0</v>
      </c>
      <c r="AW32" s="619">
        <f>IF(AW$29="",0,SUMIFS('2. Kalkyldata'!$W$23:$W$27,'2. Kalkyldata'!$C$23:$C$27,'3. Finansiering'!$B32,'2. Kalkyldata'!$R$23:$R$27,'3. Finansiering'!AW$12))</f>
        <v>0</v>
      </c>
      <c r="AX32" s="619">
        <f>IF(AX$29="",0,SUMIFS('2. Kalkyldata'!$W$23:$W$27,'2. Kalkyldata'!$C$23:$C$27,'3. Finansiering'!$B32,'2. Kalkyldata'!$R$23:$R$27,'3. Finansiering'!AX$12))</f>
        <v>0</v>
      </c>
      <c r="AY32" s="619">
        <f>IF(AY$29="",0,SUMIFS('2. Kalkyldata'!$W$23:$W$27,'2. Kalkyldata'!$C$23:$C$27,'3. Finansiering'!$B32,'2. Kalkyldata'!$R$23:$R$27,'3. Finansiering'!AY$12))</f>
        <v>0</v>
      </c>
      <c r="AZ32" s="619">
        <f>IF(AZ$29="",0,SUMIFS('2. Kalkyldata'!$W$23:$W$27,'2. Kalkyldata'!$C$23:$C$27,'3. Finansiering'!$B32,'2. Kalkyldata'!$R$23:$R$27,'3. Finansiering'!AZ$12))</f>
        <v>0</v>
      </c>
      <c r="BA32" s="619">
        <f>IF(BA$29="",0,SUMIFS('2. Kalkyldata'!$W$23:$W$27,'2. Kalkyldata'!$C$23:$C$27,'3. Finansiering'!$B32,'2. Kalkyldata'!$R$23:$R$27,'3. Finansiering'!BA$12))</f>
        <v>0</v>
      </c>
      <c r="BB32" s="506"/>
    </row>
    <row r="33" spans="1:61" outlineLevel="1">
      <c r="A33" s="506"/>
      <c r="B33" s="328">
        <f>'2. Kalkyldata'!C25</f>
        <v>0</v>
      </c>
      <c r="C33" s="506"/>
      <c r="D33" s="619">
        <f>IF(D$29="",0,SUMIFS('2. Kalkyldata'!$W$23:$W$27,'2. Kalkyldata'!$C$23:$C$27,'3. Finansiering'!$B33,'2. Kalkyldata'!$R$23:$R$27,'3. Finansiering'!D$12))</f>
        <v>0</v>
      </c>
      <c r="E33" s="619">
        <f>IF(E$29="",0,SUMIFS('2. Kalkyldata'!$W$23:$W$27,'2. Kalkyldata'!$C$23:$C$27,'3. Finansiering'!$B33,'2. Kalkyldata'!$R$23:$R$27,'3. Finansiering'!E$12))</f>
        <v>0</v>
      </c>
      <c r="F33" s="619">
        <f>IF(F$29="",0,SUMIFS('2. Kalkyldata'!$W$23:$W$27,'2. Kalkyldata'!$C$23:$C$27,'3. Finansiering'!$B33,'2. Kalkyldata'!$R$23:$R$27,'3. Finansiering'!F$12))</f>
        <v>0</v>
      </c>
      <c r="G33" s="619">
        <f>IF(G$29="",0,SUMIFS('2. Kalkyldata'!$W$23:$W$27,'2. Kalkyldata'!$C$23:$C$27,'3. Finansiering'!$B33,'2. Kalkyldata'!$R$23:$R$27,'3. Finansiering'!G$12))</f>
        <v>0</v>
      </c>
      <c r="H33" s="619">
        <f>IF(H$29="",0,SUMIFS('2. Kalkyldata'!$W$23:$W$27,'2. Kalkyldata'!$C$23:$C$27,'3. Finansiering'!$B33,'2. Kalkyldata'!$R$23:$R$27,'3. Finansiering'!H$12))</f>
        <v>0</v>
      </c>
      <c r="I33" s="619">
        <f>IF(I$29="",0,SUMIFS('2. Kalkyldata'!$W$23:$W$27,'2. Kalkyldata'!$C$23:$C$27,'3. Finansiering'!$B33,'2. Kalkyldata'!$R$23:$R$27,'3. Finansiering'!I$12))</f>
        <v>0</v>
      </c>
      <c r="J33" s="619">
        <f>IF(J$29="",0,SUMIFS('2. Kalkyldata'!$W$23:$W$27,'2. Kalkyldata'!$C$23:$C$27,'3. Finansiering'!$B33,'2. Kalkyldata'!$R$23:$R$27,'3. Finansiering'!J$12))</f>
        <v>0</v>
      </c>
      <c r="K33" s="619">
        <f>IF(K$29="",0,SUMIFS('2. Kalkyldata'!$W$23:$W$27,'2. Kalkyldata'!$C$23:$C$27,'3. Finansiering'!$B33,'2. Kalkyldata'!$R$23:$R$27,'3. Finansiering'!K$12))</f>
        <v>0</v>
      </c>
      <c r="L33" s="619">
        <f>IF(L$29="",0,SUMIFS('2. Kalkyldata'!$W$23:$W$27,'2. Kalkyldata'!$C$23:$C$27,'3. Finansiering'!$B33,'2. Kalkyldata'!$R$23:$R$27,'3. Finansiering'!L$12))</f>
        <v>0</v>
      </c>
      <c r="M33" s="619">
        <f>IF(M$29="",0,SUMIFS('2. Kalkyldata'!$W$23:$W$27,'2. Kalkyldata'!$C$23:$C$27,'3. Finansiering'!$B33,'2. Kalkyldata'!$R$23:$R$27,'3. Finansiering'!M$12))</f>
        <v>0</v>
      </c>
      <c r="N33" s="619">
        <f>IF(N$29="",0,SUMIFS('2. Kalkyldata'!$W$23:$W$27,'2. Kalkyldata'!$C$23:$C$27,'3. Finansiering'!$B33,'2. Kalkyldata'!$R$23:$R$27,'3. Finansiering'!N$12))</f>
        <v>0</v>
      </c>
      <c r="O33" s="619">
        <f>IF(O$29="",0,SUMIFS('2. Kalkyldata'!$W$23:$W$27,'2. Kalkyldata'!$C$23:$C$27,'3. Finansiering'!$B33,'2. Kalkyldata'!$R$23:$R$27,'3. Finansiering'!O$12))</f>
        <v>0</v>
      </c>
      <c r="P33" s="619">
        <f>IF(P$29="",0,SUMIFS('2. Kalkyldata'!$W$23:$W$27,'2. Kalkyldata'!$C$23:$C$27,'3. Finansiering'!$B33,'2. Kalkyldata'!$R$23:$R$27,'3. Finansiering'!P$12))</f>
        <v>0</v>
      </c>
      <c r="Q33" s="619">
        <f>IF(Q$29="",0,SUMIFS('2. Kalkyldata'!$W$23:$W$27,'2. Kalkyldata'!$C$23:$C$27,'3. Finansiering'!$B33,'2. Kalkyldata'!$R$23:$R$27,'3. Finansiering'!Q$12))</f>
        <v>0</v>
      </c>
      <c r="R33" s="619">
        <f>IF(R$29="",0,SUMIFS('2. Kalkyldata'!$W$23:$W$27,'2. Kalkyldata'!$C$23:$C$27,'3. Finansiering'!$B33,'2. Kalkyldata'!$R$23:$R$27,'3. Finansiering'!R$12))</f>
        <v>0</v>
      </c>
      <c r="S33" s="619">
        <f>IF(S$29="",0,SUMIFS('2. Kalkyldata'!$W$23:$W$27,'2. Kalkyldata'!$C$23:$C$27,'3. Finansiering'!$B33,'2. Kalkyldata'!$R$23:$R$27,'3. Finansiering'!S$12))</f>
        <v>0</v>
      </c>
      <c r="T33" s="619">
        <f>IF(T$29="",0,SUMIFS('2. Kalkyldata'!$W$23:$W$27,'2. Kalkyldata'!$C$23:$C$27,'3. Finansiering'!$B33,'2. Kalkyldata'!$R$23:$R$27,'3. Finansiering'!T$12))</f>
        <v>0</v>
      </c>
      <c r="U33" s="619">
        <f>IF(U$29="",0,SUMIFS('2. Kalkyldata'!$W$23:$W$27,'2. Kalkyldata'!$C$23:$C$27,'3. Finansiering'!$B33,'2. Kalkyldata'!$R$23:$R$27,'3. Finansiering'!U$12))</f>
        <v>0</v>
      </c>
      <c r="V33" s="619">
        <f>IF(V$29="",0,SUMIFS('2. Kalkyldata'!$W$23:$W$27,'2. Kalkyldata'!$C$23:$C$27,'3. Finansiering'!$B33,'2. Kalkyldata'!$R$23:$R$27,'3. Finansiering'!V$12))</f>
        <v>0</v>
      </c>
      <c r="W33" s="619">
        <f>IF(W$29="",0,SUMIFS('2. Kalkyldata'!$W$23:$W$27,'2. Kalkyldata'!$C$23:$C$27,'3. Finansiering'!$B33,'2. Kalkyldata'!$R$23:$R$27,'3. Finansiering'!W$12))</f>
        <v>0</v>
      </c>
      <c r="X33" s="619">
        <f>IF(X$29="",0,SUMIFS('2. Kalkyldata'!$W$23:$W$27,'2. Kalkyldata'!$C$23:$C$27,'3. Finansiering'!$B33,'2. Kalkyldata'!$R$23:$R$27,'3. Finansiering'!X$12))</f>
        <v>0</v>
      </c>
      <c r="Y33" s="619">
        <f>IF(Y$29="",0,SUMIFS('2. Kalkyldata'!$W$23:$W$27,'2. Kalkyldata'!$C$23:$C$27,'3. Finansiering'!$B33,'2. Kalkyldata'!$R$23:$R$27,'3. Finansiering'!Y$12))</f>
        <v>0</v>
      </c>
      <c r="Z33" s="619">
        <f>IF(Z$29="",0,SUMIFS('2. Kalkyldata'!$W$23:$W$27,'2. Kalkyldata'!$C$23:$C$27,'3. Finansiering'!$B33,'2. Kalkyldata'!$R$23:$R$27,'3. Finansiering'!Z$12))</f>
        <v>0</v>
      </c>
      <c r="AA33" s="619">
        <f>IF(AA$29="",0,SUMIFS('2. Kalkyldata'!$W$23:$W$27,'2. Kalkyldata'!$C$23:$C$27,'3. Finansiering'!$B33,'2. Kalkyldata'!$R$23:$R$27,'3. Finansiering'!AA$12))</f>
        <v>0</v>
      </c>
      <c r="AB33" s="619">
        <f>IF(AB$29="",0,SUMIFS('2. Kalkyldata'!$W$23:$W$27,'2. Kalkyldata'!$C$23:$C$27,'3. Finansiering'!$B33,'2. Kalkyldata'!$R$23:$R$27,'3. Finansiering'!AB$12))</f>
        <v>0</v>
      </c>
      <c r="AC33" s="619">
        <f>IF(AC$29="",0,SUMIFS('2. Kalkyldata'!$W$23:$W$27,'2. Kalkyldata'!$C$23:$C$27,'3. Finansiering'!$B33,'2. Kalkyldata'!$R$23:$R$27,'3. Finansiering'!AC$12))</f>
        <v>0</v>
      </c>
      <c r="AD33" s="619">
        <f>IF(AD$29="",0,SUMIFS('2. Kalkyldata'!$W$23:$W$27,'2. Kalkyldata'!$C$23:$C$27,'3. Finansiering'!$B33,'2. Kalkyldata'!$R$23:$R$27,'3. Finansiering'!AD$12))</f>
        <v>0</v>
      </c>
      <c r="AE33" s="619">
        <f>IF(AE$29="",0,SUMIFS('2. Kalkyldata'!$W$23:$W$27,'2. Kalkyldata'!$C$23:$C$27,'3. Finansiering'!$B33,'2. Kalkyldata'!$R$23:$R$27,'3. Finansiering'!AE$12))</f>
        <v>0</v>
      </c>
      <c r="AF33" s="619">
        <f>IF(AF$29="",0,SUMIFS('2. Kalkyldata'!$W$23:$W$27,'2. Kalkyldata'!$C$23:$C$27,'3. Finansiering'!$B33,'2. Kalkyldata'!$R$23:$R$27,'3. Finansiering'!AF$12))</f>
        <v>0</v>
      </c>
      <c r="AG33" s="619">
        <f>IF(AG$29="",0,SUMIFS('2. Kalkyldata'!$W$23:$W$27,'2. Kalkyldata'!$C$23:$C$27,'3. Finansiering'!$B33,'2. Kalkyldata'!$R$23:$R$27,'3. Finansiering'!AG$12))</f>
        <v>0</v>
      </c>
      <c r="AH33" s="619">
        <f>IF(AH$29="",0,SUMIFS('2. Kalkyldata'!$W$23:$W$27,'2. Kalkyldata'!$C$23:$C$27,'3. Finansiering'!$B33,'2. Kalkyldata'!$R$23:$R$27,'3. Finansiering'!AH$12))</f>
        <v>0</v>
      </c>
      <c r="AI33" s="619">
        <f>IF(AI$29="",0,SUMIFS('2. Kalkyldata'!$W$23:$W$27,'2. Kalkyldata'!$C$23:$C$27,'3. Finansiering'!$B33,'2. Kalkyldata'!$R$23:$R$27,'3. Finansiering'!AI$12))</f>
        <v>0</v>
      </c>
      <c r="AJ33" s="619">
        <f>IF(AJ$29="",0,SUMIFS('2. Kalkyldata'!$W$23:$W$27,'2. Kalkyldata'!$C$23:$C$27,'3. Finansiering'!$B33,'2. Kalkyldata'!$R$23:$R$27,'3. Finansiering'!AJ$12))</f>
        <v>0</v>
      </c>
      <c r="AK33" s="619">
        <f>IF(AK$29="",0,SUMIFS('2. Kalkyldata'!$W$23:$W$27,'2. Kalkyldata'!$C$23:$C$27,'3. Finansiering'!$B33,'2. Kalkyldata'!$R$23:$R$27,'3. Finansiering'!AK$12))</f>
        <v>0</v>
      </c>
      <c r="AL33" s="619">
        <f>IF(AL$29="",0,SUMIFS('2. Kalkyldata'!$W$23:$W$27,'2. Kalkyldata'!$C$23:$C$27,'3. Finansiering'!$B33,'2. Kalkyldata'!$R$23:$R$27,'3. Finansiering'!AL$12))</f>
        <v>0</v>
      </c>
      <c r="AM33" s="619">
        <f>IF(AM$29="",0,SUMIFS('2. Kalkyldata'!$W$23:$W$27,'2. Kalkyldata'!$C$23:$C$27,'3. Finansiering'!$B33,'2. Kalkyldata'!$R$23:$R$27,'3. Finansiering'!AM$12))</f>
        <v>0</v>
      </c>
      <c r="AN33" s="619">
        <f>IF(AN$29="",0,SUMIFS('2. Kalkyldata'!$W$23:$W$27,'2. Kalkyldata'!$C$23:$C$27,'3. Finansiering'!$B33,'2. Kalkyldata'!$R$23:$R$27,'3. Finansiering'!AN$12))</f>
        <v>0</v>
      </c>
      <c r="AO33" s="619">
        <f>IF(AO$29="",0,SUMIFS('2. Kalkyldata'!$W$23:$W$27,'2. Kalkyldata'!$C$23:$C$27,'3. Finansiering'!$B33,'2. Kalkyldata'!$R$23:$R$27,'3. Finansiering'!AO$12))</f>
        <v>0</v>
      </c>
      <c r="AP33" s="619">
        <f>IF(AP$29="",0,SUMIFS('2. Kalkyldata'!$W$23:$W$27,'2. Kalkyldata'!$C$23:$C$27,'3. Finansiering'!$B33,'2. Kalkyldata'!$R$23:$R$27,'3. Finansiering'!AP$12))</f>
        <v>0</v>
      </c>
      <c r="AQ33" s="619">
        <f>IF(AQ$29="",0,SUMIFS('2. Kalkyldata'!$W$23:$W$27,'2. Kalkyldata'!$C$23:$C$27,'3. Finansiering'!$B33,'2. Kalkyldata'!$R$23:$R$27,'3. Finansiering'!AQ$12))</f>
        <v>0</v>
      </c>
      <c r="AR33" s="619">
        <f>IF(AR$29="",0,SUMIFS('2. Kalkyldata'!$W$23:$W$27,'2. Kalkyldata'!$C$23:$C$27,'3. Finansiering'!$B33,'2. Kalkyldata'!$R$23:$R$27,'3. Finansiering'!AR$12))</f>
        <v>0</v>
      </c>
      <c r="AS33" s="619">
        <f>IF(AS$29="",0,SUMIFS('2. Kalkyldata'!$W$23:$W$27,'2. Kalkyldata'!$C$23:$C$27,'3. Finansiering'!$B33,'2. Kalkyldata'!$R$23:$R$27,'3. Finansiering'!AS$12))</f>
        <v>0</v>
      </c>
      <c r="AT33" s="619">
        <f>IF(AT$29="",0,SUMIFS('2. Kalkyldata'!$W$23:$W$27,'2. Kalkyldata'!$C$23:$C$27,'3. Finansiering'!$B33,'2. Kalkyldata'!$R$23:$R$27,'3. Finansiering'!AT$12))</f>
        <v>0</v>
      </c>
      <c r="AU33" s="619">
        <f>IF(AU$29="",0,SUMIFS('2. Kalkyldata'!$W$23:$W$27,'2. Kalkyldata'!$C$23:$C$27,'3. Finansiering'!$B33,'2. Kalkyldata'!$R$23:$R$27,'3. Finansiering'!AU$12))</f>
        <v>0</v>
      </c>
      <c r="AV33" s="619">
        <f>IF(AV$29="",0,SUMIFS('2. Kalkyldata'!$W$23:$W$27,'2. Kalkyldata'!$C$23:$C$27,'3. Finansiering'!$B33,'2. Kalkyldata'!$R$23:$R$27,'3. Finansiering'!AV$12))</f>
        <v>0</v>
      </c>
      <c r="AW33" s="619">
        <f>IF(AW$29="",0,SUMIFS('2. Kalkyldata'!$W$23:$W$27,'2. Kalkyldata'!$C$23:$C$27,'3. Finansiering'!$B33,'2. Kalkyldata'!$R$23:$R$27,'3. Finansiering'!AW$12))</f>
        <v>0</v>
      </c>
      <c r="AX33" s="619">
        <f>IF(AX$29="",0,SUMIFS('2. Kalkyldata'!$W$23:$W$27,'2. Kalkyldata'!$C$23:$C$27,'3. Finansiering'!$B33,'2. Kalkyldata'!$R$23:$R$27,'3. Finansiering'!AX$12))</f>
        <v>0</v>
      </c>
      <c r="AY33" s="619">
        <f>IF(AY$29="",0,SUMIFS('2. Kalkyldata'!$W$23:$W$27,'2. Kalkyldata'!$C$23:$C$27,'3. Finansiering'!$B33,'2. Kalkyldata'!$R$23:$R$27,'3. Finansiering'!AY$12))</f>
        <v>0</v>
      </c>
      <c r="AZ33" s="619">
        <f>IF(AZ$29="",0,SUMIFS('2. Kalkyldata'!$W$23:$W$27,'2. Kalkyldata'!$C$23:$C$27,'3. Finansiering'!$B33,'2. Kalkyldata'!$R$23:$R$27,'3. Finansiering'!AZ$12))</f>
        <v>0</v>
      </c>
      <c r="BA33" s="619">
        <f>IF(BA$29="",0,SUMIFS('2. Kalkyldata'!$W$23:$W$27,'2. Kalkyldata'!$C$23:$C$27,'3. Finansiering'!$B33,'2. Kalkyldata'!$R$23:$R$27,'3. Finansiering'!BA$12))</f>
        <v>0</v>
      </c>
      <c r="BB33" s="506"/>
      <c r="BC33" s="525"/>
      <c r="BD33" s="525"/>
      <c r="BE33" s="525"/>
      <c r="BF33" s="525"/>
      <c r="BG33" s="525"/>
      <c r="BH33" s="525"/>
      <c r="BI33" s="525"/>
    </row>
    <row r="34" spans="1:61" outlineLevel="1">
      <c r="A34" s="506"/>
      <c r="B34" s="328">
        <f>'2. Kalkyldata'!C26</f>
        <v>0</v>
      </c>
      <c r="C34" s="506"/>
      <c r="D34" s="619">
        <f>IF(D$29="",0,SUMIFS('2. Kalkyldata'!$W$23:$W$27,'2. Kalkyldata'!$C$23:$C$27,'3. Finansiering'!$B34,'2. Kalkyldata'!$R$23:$R$27,'3. Finansiering'!D$12))</f>
        <v>0</v>
      </c>
      <c r="E34" s="619">
        <f>IF(E$29="",0,SUMIFS('2. Kalkyldata'!$W$23:$W$27,'2. Kalkyldata'!$C$23:$C$27,'3. Finansiering'!$B34,'2. Kalkyldata'!$R$23:$R$27,'3. Finansiering'!E$12))</f>
        <v>0</v>
      </c>
      <c r="F34" s="619">
        <f>IF(F$29="",0,SUMIFS('2. Kalkyldata'!$W$23:$W$27,'2. Kalkyldata'!$C$23:$C$27,'3. Finansiering'!$B34,'2. Kalkyldata'!$R$23:$R$27,'3. Finansiering'!F$12))</f>
        <v>0</v>
      </c>
      <c r="G34" s="619">
        <f>IF(G$29="",0,SUMIFS('2. Kalkyldata'!$W$23:$W$27,'2. Kalkyldata'!$C$23:$C$27,'3. Finansiering'!$B34,'2. Kalkyldata'!$R$23:$R$27,'3. Finansiering'!G$12))</f>
        <v>0</v>
      </c>
      <c r="H34" s="619">
        <f>IF(H$29="",0,SUMIFS('2. Kalkyldata'!$W$23:$W$27,'2. Kalkyldata'!$C$23:$C$27,'3. Finansiering'!$B34,'2. Kalkyldata'!$R$23:$R$27,'3. Finansiering'!H$12))</f>
        <v>0</v>
      </c>
      <c r="I34" s="619">
        <f>IF(I$29="",0,SUMIFS('2. Kalkyldata'!$W$23:$W$27,'2. Kalkyldata'!$C$23:$C$27,'3. Finansiering'!$B34,'2. Kalkyldata'!$R$23:$R$27,'3. Finansiering'!I$12))</f>
        <v>0</v>
      </c>
      <c r="J34" s="619">
        <f>IF(J$29="",0,SUMIFS('2. Kalkyldata'!$W$23:$W$27,'2. Kalkyldata'!$C$23:$C$27,'3. Finansiering'!$B34,'2. Kalkyldata'!$R$23:$R$27,'3. Finansiering'!J$12))</f>
        <v>0</v>
      </c>
      <c r="K34" s="619">
        <f>IF(K$29="",0,SUMIFS('2. Kalkyldata'!$W$23:$W$27,'2. Kalkyldata'!$C$23:$C$27,'3. Finansiering'!$B34,'2. Kalkyldata'!$R$23:$R$27,'3. Finansiering'!K$12))</f>
        <v>0</v>
      </c>
      <c r="L34" s="619">
        <f>IF(L$29="",0,SUMIFS('2. Kalkyldata'!$W$23:$W$27,'2. Kalkyldata'!$C$23:$C$27,'3. Finansiering'!$B34,'2. Kalkyldata'!$R$23:$R$27,'3. Finansiering'!L$12))</f>
        <v>0</v>
      </c>
      <c r="M34" s="619">
        <f>IF(M$29="",0,SUMIFS('2. Kalkyldata'!$W$23:$W$27,'2. Kalkyldata'!$C$23:$C$27,'3. Finansiering'!$B34,'2. Kalkyldata'!$R$23:$R$27,'3. Finansiering'!M$12))</f>
        <v>0</v>
      </c>
      <c r="N34" s="619">
        <f>IF(N$29="",0,SUMIFS('2. Kalkyldata'!$W$23:$W$27,'2. Kalkyldata'!$C$23:$C$27,'3. Finansiering'!$B34,'2. Kalkyldata'!$R$23:$R$27,'3. Finansiering'!N$12))</f>
        <v>0</v>
      </c>
      <c r="O34" s="619">
        <f>IF(O$29="",0,SUMIFS('2. Kalkyldata'!$W$23:$W$27,'2. Kalkyldata'!$C$23:$C$27,'3. Finansiering'!$B34,'2. Kalkyldata'!$R$23:$R$27,'3. Finansiering'!O$12))</f>
        <v>0</v>
      </c>
      <c r="P34" s="619">
        <f>IF(P$29="",0,SUMIFS('2. Kalkyldata'!$W$23:$W$27,'2. Kalkyldata'!$C$23:$C$27,'3. Finansiering'!$B34,'2. Kalkyldata'!$R$23:$R$27,'3. Finansiering'!P$12))</f>
        <v>0</v>
      </c>
      <c r="Q34" s="619">
        <f>IF(Q$29="",0,SUMIFS('2. Kalkyldata'!$W$23:$W$27,'2. Kalkyldata'!$C$23:$C$27,'3. Finansiering'!$B34,'2. Kalkyldata'!$R$23:$R$27,'3. Finansiering'!Q$12))</f>
        <v>0</v>
      </c>
      <c r="R34" s="619">
        <f>IF(R$29="",0,SUMIFS('2. Kalkyldata'!$W$23:$W$27,'2. Kalkyldata'!$C$23:$C$27,'3. Finansiering'!$B34,'2. Kalkyldata'!$R$23:$R$27,'3. Finansiering'!R$12))</f>
        <v>0</v>
      </c>
      <c r="S34" s="619">
        <f>IF(S$29="",0,SUMIFS('2. Kalkyldata'!$W$23:$W$27,'2. Kalkyldata'!$C$23:$C$27,'3. Finansiering'!$B34,'2. Kalkyldata'!$R$23:$R$27,'3. Finansiering'!S$12))</f>
        <v>0</v>
      </c>
      <c r="T34" s="619">
        <f>IF(T$29="",0,SUMIFS('2. Kalkyldata'!$W$23:$W$27,'2. Kalkyldata'!$C$23:$C$27,'3. Finansiering'!$B34,'2. Kalkyldata'!$R$23:$R$27,'3. Finansiering'!T$12))</f>
        <v>0</v>
      </c>
      <c r="U34" s="619">
        <f>IF(U$29="",0,SUMIFS('2. Kalkyldata'!$W$23:$W$27,'2. Kalkyldata'!$C$23:$C$27,'3. Finansiering'!$B34,'2. Kalkyldata'!$R$23:$R$27,'3. Finansiering'!U$12))</f>
        <v>0</v>
      </c>
      <c r="V34" s="619">
        <f>IF(V$29="",0,SUMIFS('2. Kalkyldata'!$W$23:$W$27,'2. Kalkyldata'!$C$23:$C$27,'3. Finansiering'!$B34,'2. Kalkyldata'!$R$23:$R$27,'3. Finansiering'!V$12))</f>
        <v>0</v>
      </c>
      <c r="W34" s="619">
        <f>IF(W$29="",0,SUMIFS('2. Kalkyldata'!$W$23:$W$27,'2. Kalkyldata'!$C$23:$C$27,'3. Finansiering'!$B34,'2. Kalkyldata'!$R$23:$R$27,'3. Finansiering'!W$12))</f>
        <v>0</v>
      </c>
      <c r="X34" s="619">
        <f>IF(X$29="",0,SUMIFS('2. Kalkyldata'!$W$23:$W$27,'2. Kalkyldata'!$C$23:$C$27,'3. Finansiering'!$B34,'2. Kalkyldata'!$R$23:$R$27,'3. Finansiering'!X$12))</f>
        <v>0</v>
      </c>
      <c r="Y34" s="619">
        <f>IF(Y$29="",0,SUMIFS('2. Kalkyldata'!$W$23:$W$27,'2. Kalkyldata'!$C$23:$C$27,'3. Finansiering'!$B34,'2. Kalkyldata'!$R$23:$R$27,'3. Finansiering'!Y$12))</f>
        <v>0</v>
      </c>
      <c r="Z34" s="619">
        <f>IF(Z$29="",0,SUMIFS('2. Kalkyldata'!$W$23:$W$27,'2. Kalkyldata'!$C$23:$C$27,'3. Finansiering'!$B34,'2. Kalkyldata'!$R$23:$R$27,'3. Finansiering'!Z$12))</f>
        <v>0</v>
      </c>
      <c r="AA34" s="619">
        <f>IF(AA$29="",0,SUMIFS('2. Kalkyldata'!$W$23:$W$27,'2. Kalkyldata'!$C$23:$C$27,'3. Finansiering'!$B34,'2. Kalkyldata'!$R$23:$R$27,'3. Finansiering'!AA$12))</f>
        <v>0</v>
      </c>
      <c r="AB34" s="619">
        <f>IF(AB$29="",0,SUMIFS('2. Kalkyldata'!$W$23:$W$27,'2. Kalkyldata'!$C$23:$C$27,'3. Finansiering'!$B34,'2. Kalkyldata'!$R$23:$R$27,'3. Finansiering'!AB$12))</f>
        <v>0</v>
      </c>
      <c r="AC34" s="619">
        <f>IF(AC$29="",0,SUMIFS('2. Kalkyldata'!$W$23:$W$27,'2. Kalkyldata'!$C$23:$C$27,'3. Finansiering'!$B34,'2. Kalkyldata'!$R$23:$R$27,'3. Finansiering'!AC$12))</f>
        <v>0</v>
      </c>
      <c r="AD34" s="619">
        <f>IF(AD$29="",0,SUMIFS('2. Kalkyldata'!$W$23:$W$27,'2. Kalkyldata'!$C$23:$C$27,'3. Finansiering'!$B34,'2. Kalkyldata'!$R$23:$R$27,'3. Finansiering'!AD$12))</f>
        <v>0</v>
      </c>
      <c r="AE34" s="619">
        <f>IF(AE$29="",0,SUMIFS('2. Kalkyldata'!$W$23:$W$27,'2. Kalkyldata'!$C$23:$C$27,'3. Finansiering'!$B34,'2. Kalkyldata'!$R$23:$R$27,'3. Finansiering'!AE$12))</f>
        <v>0</v>
      </c>
      <c r="AF34" s="619">
        <f>IF(AF$29="",0,SUMIFS('2. Kalkyldata'!$W$23:$W$27,'2. Kalkyldata'!$C$23:$C$27,'3. Finansiering'!$B34,'2. Kalkyldata'!$R$23:$R$27,'3. Finansiering'!AF$12))</f>
        <v>0</v>
      </c>
      <c r="AG34" s="619">
        <f>IF(AG$29="",0,SUMIFS('2. Kalkyldata'!$W$23:$W$27,'2. Kalkyldata'!$C$23:$C$27,'3. Finansiering'!$B34,'2. Kalkyldata'!$R$23:$R$27,'3. Finansiering'!AG$12))</f>
        <v>0</v>
      </c>
      <c r="AH34" s="619">
        <f>IF(AH$29="",0,SUMIFS('2. Kalkyldata'!$W$23:$W$27,'2. Kalkyldata'!$C$23:$C$27,'3. Finansiering'!$B34,'2. Kalkyldata'!$R$23:$R$27,'3. Finansiering'!AH$12))</f>
        <v>0</v>
      </c>
      <c r="AI34" s="619">
        <f>IF(AI$29="",0,SUMIFS('2. Kalkyldata'!$W$23:$W$27,'2. Kalkyldata'!$C$23:$C$27,'3. Finansiering'!$B34,'2. Kalkyldata'!$R$23:$R$27,'3. Finansiering'!AI$12))</f>
        <v>0</v>
      </c>
      <c r="AJ34" s="619">
        <f>IF(AJ$29="",0,SUMIFS('2. Kalkyldata'!$W$23:$W$27,'2. Kalkyldata'!$C$23:$C$27,'3. Finansiering'!$B34,'2. Kalkyldata'!$R$23:$R$27,'3. Finansiering'!AJ$12))</f>
        <v>0</v>
      </c>
      <c r="AK34" s="619">
        <f>IF(AK$29="",0,SUMIFS('2. Kalkyldata'!$W$23:$W$27,'2. Kalkyldata'!$C$23:$C$27,'3. Finansiering'!$B34,'2. Kalkyldata'!$R$23:$R$27,'3. Finansiering'!AK$12))</f>
        <v>0</v>
      </c>
      <c r="AL34" s="619">
        <f>IF(AL$29="",0,SUMIFS('2. Kalkyldata'!$W$23:$W$27,'2. Kalkyldata'!$C$23:$C$27,'3. Finansiering'!$B34,'2. Kalkyldata'!$R$23:$R$27,'3. Finansiering'!AL$12))</f>
        <v>0</v>
      </c>
      <c r="AM34" s="619">
        <f>IF(AM$29="",0,SUMIFS('2. Kalkyldata'!$W$23:$W$27,'2. Kalkyldata'!$C$23:$C$27,'3. Finansiering'!$B34,'2. Kalkyldata'!$R$23:$R$27,'3. Finansiering'!AM$12))</f>
        <v>0</v>
      </c>
      <c r="AN34" s="619">
        <f>IF(AN$29="",0,SUMIFS('2. Kalkyldata'!$W$23:$W$27,'2. Kalkyldata'!$C$23:$C$27,'3. Finansiering'!$B34,'2. Kalkyldata'!$R$23:$R$27,'3. Finansiering'!AN$12))</f>
        <v>0</v>
      </c>
      <c r="AO34" s="619">
        <f>IF(AO$29="",0,SUMIFS('2. Kalkyldata'!$W$23:$W$27,'2. Kalkyldata'!$C$23:$C$27,'3. Finansiering'!$B34,'2. Kalkyldata'!$R$23:$R$27,'3. Finansiering'!AO$12))</f>
        <v>0</v>
      </c>
      <c r="AP34" s="619">
        <f>IF(AP$29="",0,SUMIFS('2. Kalkyldata'!$W$23:$W$27,'2. Kalkyldata'!$C$23:$C$27,'3. Finansiering'!$B34,'2. Kalkyldata'!$R$23:$R$27,'3. Finansiering'!AP$12))</f>
        <v>0</v>
      </c>
      <c r="AQ34" s="619">
        <f>IF(AQ$29="",0,SUMIFS('2. Kalkyldata'!$W$23:$W$27,'2. Kalkyldata'!$C$23:$C$27,'3. Finansiering'!$B34,'2. Kalkyldata'!$R$23:$R$27,'3. Finansiering'!AQ$12))</f>
        <v>0</v>
      </c>
      <c r="AR34" s="619">
        <f>IF(AR$29="",0,SUMIFS('2. Kalkyldata'!$W$23:$W$27,'2. Kalkyldata'!$C$23:$C$27,'3. Finansiering'!$B34,'2. Kalkyldata'!$R$23:$R$27,'3. Finansiering'!AR$12))</f>
        <v>0</v>
      </c>
      <c r="AS34" s="619">
        <f>IF(AS$29="",0,SUMIFS('2. Kalkyldata'!$W$23:$W$27,'2. Kalkyldata'!$C$23:$C$27,'3. Finansiering'!$B34,'2. Kalkyldata'!$R$23:$R$27,'3. Finansiering'!AS$12))</f>
        <v>0</v>
      </c>
      <c r="AT34" s="619">
        <f>IF(AT$29="",0,SUMIFS('2. Kalkyldata'!$W$23:$W$27,'2. Kalkyldata'!$C$23:$C$27,'3. Finansiering'!$B34,'2. Kalkyldata'!$R$23:$R$27,'3. Finansiering'!AT$12))</f>
        <v>0</v>
      </c>
      <c r="AU34" s="619">
        <f>IF(AU$29="",0,SUMIFS('2. Kalkyldata'!$W$23:$W$27,'2. Kalkyldata'!$C$23:$C$27,'3. Finansiering'!$B34,'2. Kalkyldata'!$R$23:$R$27,'3. Finansiering'!AU$12))</f>
        <v>0</v>
      </c>
      <c r="AV34" s="619">
        <f>IF(AV$29="",0,SUMIFS('2. Kalkyldata'!$W$23:$W$27,'2. Kalkyldata'!$C$23:$C$27,'3. Finansiering'!$B34,'2. Kalkyldata'!$R$23:$R$27,'3. Finansiering'!AV$12))</f>
        <v>0</v>
      </c>
      <c r="AW34" s="619">
        <f>IF(AW$29="",0,SUMIFS('2. Kalkyldata'!$W$23:$W$27,'2. Kalkyldata'!$C$23:$C$27,'3. Finansiering'!$B34,'2. Kalkyldata'!$R$23:$R$27,'3. Finansiering'!AW$12))</f>
        <v>0</v>
      </c>
      <c r="AX34" s="619">
        <f>IF(AX$29="",0,SUMIFS('2. Kalkyldata'!$W$23:$W$27,'2. Kalkyldata'!$C$23:$C$27,'3. Finansiering'!$B34,'2. Kalkyldata'!$R$23:$R$27,'3. Finansiering'!AX$12))</f>
        <v>0</v>
      </c>
      <c r="AY34" s="619">
        <f>IF(AY$29="",0,SUMIFS('2. Kalkyldata'!$W$23:$W$27,'2. Kalkyldata'!$C$23:$C$27,'3. Finansiering'!$B34,'2. Kalkyldata'!$R$23:$R$27,'3. Finansiering'!AY$12))</f>
        <v>0</v>
      </c>
      <c r="AZ34" s="619">
        <f>IF(AZ$29="",0,SUMIFS('2. Kalkyldata'!$W$23:$W$27,'2. Kalkyldata'!$C$23:$C$27,'3. Finansiering'!$B34,'2. Kalkyldata'!$R$23:$R$27,'3. Finansiering'!AZ$12))</f>
        <v>0</v>
      </c>
      <c r="BA34" s="619">
        <f>IF(BA$29="",0,SUMIFS('2. Kalkyldata'!$W$23:$W$27,'2. Kalkyldata'!$C$23:$C$27,'3. Finansiering'!$B34,'2. Kalkyldata'!$R$23:$R$27,'3. Finansiering'!BA$12))</f>
        <v>0</v>
      </c>
      <c r="BB34" s="506"/>
      <c r="BC34" s="525"/>
      <c r="BD34" s="525"/>
      <c r="BE34" s="525"/>
      <c r="BF34" s="525"/>
      <c r="BG34" s="525"/>
      <c r="BH34" s="525"/>
      <c r="BI34" s="525"/>
    </row>
    <row r="35" spans="1:61" outlineLevel="1">
      <c r="A35" s="506"/>
      <c r="B35" s="328">
        <f>'2. Kalkyldata'!C27</f>
        <v>0</v>
      </c>
      <c r="C35" s="506"/>
      <c r="D35" s="619">
        <f>IF(D$29="",0,SUMIFS('2. Kalkyldata'!$W$23:$W$27,'2. Kalkyldata'!$C$23:$C$27,'3. Finansiering'!$B35,'2. Kalkyldata'!$R$23:$R$27,'3. Finansiering'!D$12))</f>
        <v>0</v>
      </c>
      <c r="E35" s="619">
        <f>IF(E$29="",0,SUMIFS('2. Kalkyldata'!$W$23:$W$27,'2. Kalkyldata'!$C$23:$C$27,'3. Finansiering'!$B35,'2. Kalkyldata'!$R$23:$R$27,'3. Finansiering'!E$12))</f>
        <v>0</v>
      </c>
      <c r="F35" s="619">
        <f>IF(F$29="",0,SUMIFS('2. Kalkyldata'!$W$23:$W$27,'2. Kalkyldata'!$C$23:$C$27,'3. Finansiering'!$B35,'2. Kalkyldata'!$R$23:$R$27,'3. Finansiering'!F$12))</f>
        <v>0</v>
      </c>
      <c r="G35" s="619">
        <f>IF(G$29="",0,SUMIFS('2. Kalkyldata'!$W$23:$W$27,'2. Kalkyldata'!$C$23:$C$27,'3. Finansiering'!$B35,'2. Kalkyldata'!$R$23:$R$27,'3. Finansiering'!G$12))</f>
        <v>0</v>
      </c>
      <c r="H35" s="619">
        <f>IF(H$29="",0,SUMIFS('2. Kalkyldata'!$W$23:$W$27,'2. Kalkyldata'!$C$23:$C$27,'3. Finansiering'!$B35,'2. Kalkyldata'!$R$23:$R$27,'3. Finansiering'!H$12))</f>
        <v>0</v>
      </c>
      <c r="I35" s="619">
        <f>IF(I$29="",0,SUMIFS('2. Kalkyldata'!$W$23:$W$27,'2. Kalkyldata'!$C$23:$C$27,'3. Finansiering'!$B35,'2. Kalkyldata'!$R$23:$R$27,'3. Finansiering'!I$12))</f>
        <v>0</v>
      </c>
      <c r="J35" s="619">
        <f>IF(J$29="",0,SUMIFS('2. Kalkyldata'!$W$23:$W$27,'2. Kalkyldata'!$C$23:$C$27,'3. Finansiering'!$B35,'2. Kalkyldata'!$R$23:$R$27,'3. Finansiering'!J$12))</f>
        <v>0</v>
      </c>
      <c r="K35" s="619">
        <f>IF(K$29="",0,SUMIFS('2. Kalkyldata'!$W$23:$W$27,'2. Kalkyldata'!$C$23:$C$27,'3. Finansiering'!$B35,'2. Kalkyldata'!$R$23:$R$27,'3. Finansiering'!K$12))</f>
        <v>0</v>
      </c>
      <c r="L35" s="619">
        <f>IF(L$29="",0,SUMIFS('2. Kalkyldata'!$W$23:$W$27,'2. Kalkyldata'!$C$23:$C$27,'3. Finansiering'!$B35,'2. Kalkyldata'!$R$23:$R$27,'3. Finansiering'!L$12))</f>
        <v>0</v>
      </c>
      <c r="M35" s="619">
        <f>IF(M$29="",0,SUMIFS('2. Kalkyldata'!$W$23:$W$27,'2. Kalkyldata'!$C$23:$C$27,'3. Finansiering'!$B35,'2. Kalkyldata'!$R$23:$R$27,'3. Finansiering'!M$12))</f>
        <v>0</v>
      </c>
      <c r="N35" s="619">
        <f>IF(N$29="",0,SUMIFS('2. Kalkyldata'!$W$23:$W$27,'2. Kalkyldata'!$C$23:$C$27,'3. Finansiering'!$B35,'2. Kalkyldata'!$R$23:$R$27,'3. Finansiering'!N$12))</f>
        <v>0</v>
      </c>
      <c r="O35" s="619">
        <f>IF(O$29="",0,SUMIFS('2. Kalkyldata'!$W$23:$W$27,'2. Kalkyldata'!$C$23:$C$27,'3. Finansiering'!$B35,'2. Kalkyldata'!$R$23:$R$27,'3. Finansiering'!O$12))</f>
        <v>0</v>
      </c>
      <c r="P35" s="619">
        <f>IF(P$29="",0,SUMIFS('2. Kalkyldata'!$W$23:$W$27,'2. Kalkyldata'!$C$23:$C$27,'3. Finansiering'!$B35,'2. Kalkyldata'!$R$23:$R$27,'3. Finansiering'!P$12))</f>
        <v>0</v>
      </c>
      <c r="Q35" s="619">
        <f>IF(Q$29="",0,SUMIFS('2. Kalkyldata'!$W$23:$W$27,'2. Kalkyldata'!$C$23:$C$27,'3. Finansiering'!$B35,'2. Kalkyldata'!$R$23:$R$27,'3. Finansiering'!Q$12))</f>
        <v>0</v>
      </c>
      <c r="R35" s="619">
        <f>IF(R$29="",0,SUMIFS('2. Kalkyldata'!$W$23:$W$27,'2. Kalkyldata'!$C$23:$C$27,'3. Finansiering'!$B35,'2. Kalkyldata'!$R$23:$R$27,'3. Finansiering'!R$12))</f>
        <v>0</v>
      </c>
      <c r="S35" s="619">
        <f>IF(S$29="",0,SUMIFS('2. Kalkyldata'!$W$23:$W$27,'2. Kalkyldata'!$C$23:$C$27,'3. Finansiering'!$B35,'2. Kalkyldata'!$R$23:$R$27,'3. Finansiering'!S$12))</f>
        <v>0</v>
      </c>
      <c r="T35" s="619">
        <f>IF(T$29="",0,SUMIFS('2. Kalkyldata'!$W$23:$W$27,'2. Kalkyldata'!$C$23:$C$27,'3. Finansiering'!$B35,'2. Kalkyldata'!$R$23:$R$27,'3. Finansiering'!T$12))</f>
        <v>0</v>
      </c>
      <c r="U35" s="619">
        <f>IF(U$29="",0,SUMIFS('2. Kalkyldata'!$W$23:$W$27,'2. Kalkyldata'!$C$23:$C$27,'3. Finansiering'!$B35,'2. Kalkyldata'!$R$23:$R$27,'3. Finansiering'!U$12))</f>
        <v>0</v>
      </c>
      <c r="V35" s="619">
        <f>IF(V$29="",0,SUMIFS('2. Kalkyldata'!$W$23:$W$27,'2. Kalkyldata'!$C$23:$C$27,'3. Finansiering'!$B35,'2. Kalkyldata'!$R$23:$R$27,'3. Finansiering'!V$12))</f>
        <v>0</v>
      </c>
      <c r="W35" s="619">
        <f>IF(W$29="",0,SUMIFS('2. Kalkyldata'!$W$23:$W$27,'2. Kalkyldata'!$C$23:$C$27,'3. Finansiering'!$B35,'2. Kalkyldata'!$R$23:$R$27,'3. Finansiering'!W$12))</f>
        <v>0</v>
      </c>
      <c r="X35" s="619">
        <f>IF(X$29="",0,SUMIFS('2. Kalkyldata'!$W$23:$W$27,'2. Kalkyldata'!$C$23:$C$27,'3. Finansiering'!$B35,'2. Kalkyldata'!$R$23:$R$27,'3. Finansiering'!X$12))</f>
        <v>0</v>
      </c>
      <c r="Y35" s="619">
        <f>IF(Y$29="",0,SUMIFS('2. Kalkyldata'!$W$23:$W$27,'2. Kalkyldata'!$C$23:$C$27,'3. Finansiering'!$B35,'2. Kalkyldata'!$R$23:$R$27,'3. Finansiering'!Y$12))</f>
        <v>0</v>
      </c>
      <c r="Z35" s="619">
        <f>IF(Z$29="",0,SUMIFS('2. Kalkyldata'!$W$23:$W$27,'2. Kalkyldata'!$C$23:$C$27,'3. Finansiering'!$B35,'2. Kalkyldata'!$R$23:$R$27,'3. Finansiering'!Z$12))</f>
        <v>0</v>
      </c>
      <c r="AA35" s="619">
        <f>IF(AA$29="",0,SUMIFS('2. Kalkyldata'!$W$23:$W$27,'2. Kalkyldata'!$C$23:$C$27,'3. Finansiering'!$B35,'2. Kalkyldata'!$R$23:$R$27,'3. Finansiering'!AA$12))</f>
        <v>0</v>
      </c>
      <c r="AB35" s="619">
        <f>IF(AB$29="",0,SUMIFS('2. Kalkyldata'!$W$23:$W$27,'2. Kalkyldata'!$C$23:$C$27,'3. Finansiering'!$B35,'2. Kalkyldata'!$R$23:$R$27,'3. Finansiering'!AB$12))</f>
        <v>0</v>
      </c>
      <c r="AC35" s="619">
        <f>IF(AC$29="",0,SUMIFS('2. Kalkyldata'!$W$23:$W$27,'2. Kalkyldata'!$C$23:$C$27,'3. Finansiering'!$B35,'2. Kalkyldata'!$R$23:$R$27,'3. Finansiering'!AC$12))</f>
        <v>0</v>
      </c>
      <c r="AD35" s="619">
        <f>IF(AD$29="",0,SUMIFS('2. Kalkyldata'!$W$23:$W$27,'2. Kalkyldata'!$C$23:$C$27,'3. Finansiering'!$B35,'2. Kalkyldata'!$R$23:$R$27,'3. Finansiering'!AD$12))</f>
        <v>0</v>
      </c>
      <c r="AE35" s="619">
        <f>IF(AE$29="",0,SUMIFS('2. Kalkyldata'!$W$23:$W$27,'2. Kalkyldata'!$C$23:$C$27,'3. Finansiering'!$B35,'2. Kalkyldata'!$R$23:$R$27,'3. Finansiering'!AE$12))</f>
        <v>0</v>
      </c>
      <c r="AF35" s="619">
        <f>IF(AF$29="",0,SUMIFS('2. Kalkyldata'!$W$23:$W$27,'2. Kalkyldata'!$C$23:$C$27,'3. Finansiering'!$B35,'2. Kalkyldata'!$R$23:$R$27,'3. Finansiering'!AF$12))</f>
        <v>0</v>
      </c>
      <c r="AG35" s="619">
        <f>IF(AG$29="",0,SUMIFS('2. Kalkyldata'!$W$23:$W$27,'2. Kalkyldata'!$C$23:$C$27,'3. Finansiering'!$B35,'2. Kalkyldata'!$R$23:$R$27,'3. Finansiering'!AG$12))</f>
        <v>0</v>
      </c>
      <c r="AH35" s="619">
        <f>IF(AH$29="",0,SUMIFS('2. Kalkyldata'!$W$23:$W$27,'2. Kalkyldata'!$C$23:$C$27,'3. Finansiering'!$B35,'2. Kalkyldata'!$R$23:$R$27,'3. Finansiering'!AH$12))</f>
        <v>0</v>
      </c>
      <c r="AI35" s="619">
        <f>IF(AI$29="",0,SUMIFS('2. Kalkyldata'!$W$23:$W$27,'2. Kalkyldata'!$C$23:$C$27,'3. Finansiering'!$B35,'2. Kalkyldata'!$R$23:$R$27,'3. Finansiering'!AI$12))</f>
        <v>0</v>
      </c>
      <c r="AJ35" s="619">
        <f>IF(AJ$29="",0,SUMIFS('2. Kalkyldata'!$W$23:$W$27,'2. Kalkyldata'!$C$23:$C$27,'3. Finansiering'!$B35,'2. Kalkyldata'!$R$23:$R$27,'3. Finansiering'!AJ$12))</f>
        <v>0</v>
      </c>
      <c r="AK35" s="619">
        <f>IF(AK$29="",0,SUMIFS('2. Kalkyldata'!$W$23:$W$27,'2. Kalkyldata'!$C$23:$C$27,'3. Finansiering'!$B35,'2. Kalkyldata'!$R$23:$R$27,'3. Finansiering'!AK$12))</f>
        <v>0</v>
      </c>
      <c r="AL35" s="619">
        <f>IF(AL$29="",0,SUMIFS('2. Kalkyldata'!$W$23:$W$27,'2. Kalkyldata'!$C$23:$C$27,'3. Finansiering'!$B35,'2. Kalkyldata'!$R$23:$R$27,'3. Finansiering'!AL$12))</f>
        <v>0</v>
      </c>
      <c r="AM35" s="619">
        <f>IF(AM$29="",0,SUMIFS('2. Kalkyldata'!$W$23:$W$27,'2. Kalkyldata'!$C$23:$C$27,'3. Finansiering'!$B35,'2. Kalkyldata'!$R$23:$R$27,'3. Finansiering'!AM$12))</f>
        <v>0</v>
      </c>
      <c r="AN35" s="619">
        <f>IF(AN$29="",0,SUMIFS('2. Kalkyldata'!$W$23:$W$27,'2. Kalkyldata'!$C$23:$C$27,'3. Finansiering'!$B35,'2. Kalkyldata'!$R$23:$R$27,'3. Finansiering'!AN$12))</f>
        <v>0</v>
      </c>
      <c r="AO35" s="619">
        <f>IF(AO$29="",0,SUMIFS('2. Kalkyldata'!$W$23:$W$27,'2. Kalkyldata'!$C$23:$C$27,'3. Finansiering'!$B35,'2. Kalkyldata'!$R$23:$R$27,'3. Finansiering'!AO$12))</f>
        <v>0</v>
      </c>
      <c r="AP35" s="619">
        <f>IF(AP$29="",0,SUMIFS('2. Kalkyldata'!$W$23:$W$27,'2. Kalkyldata'!$C$23:$C$27,'3. Finansiering'!$B35,'2. Kalkyldata'!$R$23:$R$27,'3. Finansiering'!AP$12))</f>
        <v>0</v>
      </c>
      <c r="AQ35" s="619">
        <f>IF(AQ$29="",0,SUMIFS('2. Kalkyldata'!$W$23:$W$27,'2. Kalkyldata'!$C$23:$C$27,'3. Finansiering'!$B35,'2. Kalkyldata'!$R$23:$R$27,'3. Finansiering'!AQ$12))</f>
        <v>0</v>
      </c>
      <c r="AR35" s="619">
        <f>IF(AR$29="",0,SUMIFS('2. Kalkyldata'!$W$23:$W$27,'2. Kalkyldata'!$C$23:$C$27,'3. Finansiering'!$B35,'2. Kalkyldata'!$R$23:$R$27,'3. Finansiering'!AR$12))</f>
        <v>0</v>
      </c>
      <c r="AS35" s="619">
        <f>IF(AS$29="",0,SUMIFS('2. Kalkyldata'!$W$23:$W$27,'2. Kalkyldata'!$C$23:$C$27,'3. Finansiering'!$B35,'2. Kalkyldata'!$R$23:$R$27,'3. Finansiering'!AS$12))</f>
        <v>0</v>
      </c>
      <c r="AT35" s="619">
        <f>IF(AT$29="",0,SUMIFS('2. Kalkyldata'!$W$23:$W$27,'2. Kalkyldata'!$C$23:$C$27,'3. Finansiering'!$B35,'2. Kalkyldata'!$R$23:$R$27,'3. Finansiering'!AT$12))</f>
        <v>0</v>
      </c>
      <c r="AU35" s="619">
        <f>IF(AU$29="",0,SUMIFS('2. Kalkyldata'!$W$23:$W$27,'2. Kalkyldata'!$C$23:$C$27,'3. Finansiering'!$B35,'2. Kalkyldata'!$R$23:$R$27,'3. Finansiering'!AU$12))</f>
        <v>0</v>
      </c>
      <c r="AV35" s="619">
        <f>IF(AV$29="",0,SUMIFS('2. Kalkyldata'!$W$23:$W$27,'2. Kalkyldata'!$C$23:$C$27,'3. Finansiering'!$B35,'2. Kalkyldata'!$R$23:$R$27,'3. Finansiering'!AV$12))</f>
        <v>0</v>
      </c>
      <c r="AW35" s="619">
        <f>IF(AW$29="",0,SUMIFS('2. Kalkyldata'!$W$23:$W$27,'2. Kalkyldata'!$C$23:$C$27,'3. Finansiering'!$B35,'2. Kalkyldata'!$R$23:$R$27,'3. Finansiering'!AW$12))</f>
        <v>0</v>
      </c>
      <c r="AX35" s="619">
        <f>IF(AX$29="",0,SUMIFS('2. Kalkyldata'!$W$23:$W$27,'2. Kalkyldata'!$C$23:$C$27,'3. Finansiering'!$B35,'2. Kalkyldata'!$R$23:$R$27,'3. Finansiering'!AX$12))</f>
        <v>0</v>
      </c>
      <c r="AY35" s="619">
        <f>IF(AY$29="",0,SUMIFS('2. Kalkyldata'!$W$23:$W$27,'2. Kalkyldata'!$C$23:$C$27,'3. Finansiering'!$B35,'2. Kalkyldata'!$R$23:$R$27,'3. Finansiering'!AY$12))</f>
        <v>0</v>
      </c>
      <c r="AZ35" s="619">
        <f>IF(AZ$29="",0,SUMIFS('2. Kalkyldata'!$W$23:$W$27,'2. Kalkyldata'!$C$23:$C$27,'3. Finansiering'!$B35,'2. Kalkyldata'!$R$23:$R$27,'3. Finansiering'!AZ$12))</f>
        <v>0</v>
      </c>
      <c r="BA35" s="619">
        <f>IF(BA$29="",0,SUMIFS('2. Kalkyldata'!$W$23:$W$27,'2. Kalkyldata'!$C$23:$C$27,'3. Finansiering'!$B35,'2. Kalkyldata'!$R$23:$R$27,'3. Finansiering'!BA$12))</f>
        <v>0</v>
      </c>
      <c r="BB35" s="506"/>
      <c r="BC35" s="525"/>
      <c r="BD35" s="525"/>
      <c r="BE35" s="525"/>
      <c r="BF35" s="525"/>
      <c r="BG35" s="525"/>
      <c r="BH35" s="525"/>
      <c r="BI35" s="525"/>
    </row>
    <row r="36" spans="1:61" outlineLevel="1">
      <c r="A36" s="506"/>
      <c r="B36" s="328" t="s">
        <v>219</v>
      </c>
      <c r="C36" s="506"/>
      <c r="D36" s="619">
        <f>IF(D$29="",0,SUMIFS('2. Kalkyldata'!$W$23:$W$27,'2. Kalkyldata'!$C$23:$C$27,'3. Finansiering'!$B36,'2. Kalkyldata'!$R$23:$R$27,'3. Finansiering'!D$12))</f>
        <v>0</v>
      </c>
      <c r="E36" s="619">
        <f>IF(E$29="",0,SUMIFS('2. Kalkyldata'!$W$23:$W$27,'2. Kalkyldata'!$C$23:$C$27,'3. Finansiering'!$B36,'2. Kalkyldata'!$R$23:$R$27,'3. Finansiering'!E$12))</f>
        <v>0</v>
      </c>
      <c r="F36" s="619">
        <f>IF(F$29="",0,SUMIFS('2. Kalkyldata'!$W$23:$W$27,'2. Kalkyldata'!$C$23:$C$27,'3. Finansiering'!$B36,'2. Kalkyldata'!$R$23:$R$27,'3. Finansiering'!F$12))</f>
        <v>0</v>
      </c>
      <c r="G36" s="619">
        <f>IF(G$29="",0,SUMIFS('2. Kalkyldata'!$W$23:$W$27,'2. Kalkyldata'!$C$23:$C$27,'3. Finansiering'!$B36,'2. Kalkyldata'!$R$23:$R$27,'3. Finansiering'!G$12))</f>
        <v>0</v>
      </c>
      <c r="H36" s="619">
        <f>IF(H$29="",0,SUMIFS('2. Kalkyldata'!$W$23:$W$27,'2. Kalkyldata'!$C$23:$C$27,'3. Finansiering'!$B36,'2. Kalkyldata'!$R$23:$R$27,'3. Finansiering'!H$12))</f>
        <v>0</v>
      </c>
      <c r="I36" s="619">
        <f>IF(I$29="",0,SUMIFS('2. Kalkyldata'!$W$23:$W$27,'2. Kalkyldata'!$C$23:$C$27,'3. Finansiering'!$B36,'2. Kalkyldata'!$R$23:$R$27,'3. Finansiering'!I$12))</f>
        <v>0</v>
      </c>
      <c r="J36" s="619">
        <f>IF(J$29="",0,SUMIFS('2. Kalkyldata'!$W$23:$W$27,'2. Kalkyldata'!$C$23:$C$27,'3. Finansiering'!$B36,'2. Kalkyldata'!$R$23:$R$27,'3. Finansiering'!J$12))</f>
        <v>0</v>
      </c>
      <c r="K36" s="619">
        <f>IF(K$29="",0,SUMIFS('2. Kalkyldata'!$W$23:$W$27,'2. Kalkyldata'!$C$23:$C$27,'3. Finansiering'!$B36,'2. Kalkyldata'!$R$23:$R$27,'3. Finansiering'!K$12))</f>
        <v>0</v>
      </c>
      <c r="L36" s="619">
        <f>IF(L$29="",0,SUMIFS('2. Kalkyldata'!$W$23:$W$27,'2. Kalkyldata'!$C$23:$C$27,'3. Finansiering'!$B36,'2. Kalkyldata'!$R$23:$R$27,'3. Finansiering'!L$12))</f>
        <v>0</v>
      </c>
      <c r="M36" s="619">
        <f>IF(M$29="",0,SUMIFS('2. Kalkyldata'!$W$23:$W$27,'2. Kalkyldata'!$C$23:$C$27,'3. Finansiering'!$B36,'2. Kalkyldata'!$R$23:$R$27,'3. Finansiering'!M$12))</f>
        <v>0</v>
      </c>
      <c r="N36" s="619">
        <f>IF(N$29="",0,SUMIFS('2. Kalkyldata'!$W$23:$W$27,'2. Kalkyldata'!$C$23:$C$27,'3. Finansiering'!$B36,'2. Kalkyldata'!$R$23:$R$27,'3. Finansiering'!N$12))</f>
        <v>0</v>
      </c>
      <c r="O36" s="619">
        <f>IF(O$29="",0,SUMIFS('2. Kalkyldata'!$W$23:$W$27,'2. Kalkyldata'!$C$23:$C$27,'3. Finansiering'!$B36,'2. Kalkyldata'!$R$23:$R$27,'3. Finansiering'!O$12))</f>
        <v>0</v>
      </c>
      <c r="P36" s="619">
        <f>IF(P$29="",0,SUMIFS('2. Kalkyldata'!$W$23:$W$27,'2. Kalkyldata'!$C$23:$C$27,'3. Finansiering'!$B36,'2. Kalkyldata'!$R$23:$R$27,'3. Finansiering'!P$12))</f>
        <v>0</v>
      </c>
      <c r="Q36" s="619">
        <f>IF(Q$29="",0,SUMIFS('2. Kalkyldata'!$W$23:$W$27,'2. Kalkyldata'!$C$23:$C$27,'3. Finansiering'!$B36,'2. Kalkyldata'!$R$23:$R$27,'3. Finansiering'!Q$12))</f>
        <v>0</v>
      </c>
      <c r="R36" s="619">
        <f>IF(R$29="",0,SUMIFS('2. Kalkyldata'!$W$23:$W$27,'2. Kalkyldata'!$C$23:$C$27,'3. Finansiering'!$B36,'2. Kalkyldata'!$R$23:$R$27,'3. Finansiering'!R$12))</f>
        <v>0</v>
      </c>
      <c r="S36" s="619">
        <f>IF(S$29="",0,SUMIFS('2. Kalkyldata'!$W$23:$W$27,'2. Kalkyldata'!$C$23:$C$27,'3. Finansiering'!$B36,'2. Kalkyldata'!$R$23:$R$27,'3. Finansiering'!S$12))</f>
        <v>0</v>
      </c>
      <c r="T36" s="619">
        <f>IF(T$29="",0,SUMIFS('2. Kalkyldata'!$W$23:$W$27,'2. Kalkyldata'!$C$23:$C$27,'3. Finansiering'!$B36,'2. Kalkyldata'!$R$23:$R$27,'3. Finansiering'!T$12))</f>
        <v>0</v>
      </c>
      <c r="U36" s="619">
        <f>IF(U$29="",0,SUMIFS('2. Kalkyldata'!$W$23:$W$27,'2. Kalkyldata'!$C$23:$C$27,'3. Finansiering'!$B36,'2. Kalkyldata'!$R$23:$R$27,'3. Finansiering'!U$12))</f>
        <v>0</v>
      </c>
      <c r="V36" s="619">
        <f>IF(V$29="",0,SUMIFS('2. Kalkyldata'!$W$23:$W$27,'2. Kalkyldata'!$C$23:$C$27,'3. Finansiering'!$B36,'2. Kalkyldata'!$R$23:$R$27,'3. Finansiering'!V$12))</f>
        <v>0</v>
      </c>
      <c r="W36" s="619">
        <f>IF(W$29="",0,SUMIFS('2. Kalkyldata'!$W$23:$W$27,'2. Kalkyldata'!$C$23:$C$27,'3. Finansiering'!$B36,'2. Kalkyldata'!$R$23:$R$27,'3. Finansiering'!W$12))</f>
        <v>0</v>
      </c>
      <c r="X36" s="619">
        <f>IF(X$29="",0,SUMIFS('2. Kalkyldata'!$W$23:$W$27,'2. Kalkyldata'!$C$23:$C$27,'3. Finansiering'!$B36,'2. Kalkyldata'!$R$23:$R$27,'3. Finansiering'!X$12))</f>
        <v>0</v>
      </c>
      <c r="Y36" s="619">
        <f>IF(Y$29="",0,SUMIFS('2. Kalkyldata'!$W$23:$W$27,'2. Kalkyldata'!$C$23:$C$27,'3. Finansiering'!$B36,'2. Kalkyldata'!$R$23:$R$27,'3. Finansiering'!Y$12))</f>
        <v>0</v>
      </c>
      <c r="Z36" s="619">
        <f>IF(Z$29="",0,SUMIFS('2. Kalkyldata'!$W$23:$W$27,'2. Kalkyldata'!$C$23:$C$27,'3. Finansiering'!$B36,'2. Kalkyldata'!$R$23:$R$27,'3. Finansiering'!Z$12))</f>
        <v>0</v>
      </c>
      <c r="AA36" s="619">
        <f>IF(AA$29="",0,SUMIFS('2. Kalkyldata'!$W$23:$W$27,'2. Kalkyldata'!$C$23:$C$27,'3. Finansiering'!$B36,'2. Kalkyldata'!$R$23:$R$27,'3. Finansiering'!AA$12))</f>
        <v>0</v>
      </c>
      <c r="AB36" s="619">
        <f>IF(AB$29="",0,SUMIFS('2. Kalkyldata'!$W$23:$W$27,'2. Kalkyldata'!$C$23:$C$27,'3. Finansiering'!$B36,'2. Kalkyldata'!$R$23:$R$27,'3. Finansiering'!AB$12))</f>
        <v>0</v>
      </c>
      <c r="AC36" s="619">
        <f>IF(AC$29="",0,SUMIFS('2. Kalkyldata'!$W$23:$W$27,'2. Kalkyldata'!$C$23:$C$27,'3. Finansiering'!$B36,'2. Kalkyldata'!$R$23:$R$27,'3. Finansiering'!AC$12))</f>
        <v>0</v>
      </c>
      <c r="AD36" s="619">
        <f>IF(AD$29="",0,SUMIFS('2. Kalkyldata'!$W$23:$W$27,'2. Kalkyldata'!$C$23:$C$27,'3. Finansiering'!$B36,'2. Kalkyldata'!$R$23:$R$27,'3. Finansiering'!AD$12))</f>
        <v>0</v>
      </c>
      <c r="AE36" s="619">
        <f>IF(AE$29="",0,SUMIFS('2. Kalkyldata'!$W$23:$W$27,'2. Kalkyldata'!$C$23:$C$27,'3. Finansiering'!$B36,'2. Kalkyldata'!$R$23:$R$27,'3. Finansiering'!AE$12))</f>
        <v>0</v>
      </c>
      <c r="AF36" s="619">
        <f>IF(AF$29="",0,SUMIFS('2. Kalkyldata'!$W$23:$W$27,'2. Kalkyldata'!$C$23:$C$27,'3. Finansiering'!$B36,'2. Kalkyldata'!$R$23:$R$27,'3. Finansiering'!AF$12))</f>
        <v>0</v>
      </c>
      <c r="AG36" s="619">
        <f>IF(AG$29="",0,SUMIFS('2. Kalkyldata'!$W$23:$W$27,'2. Kalkyldata'!$C$23:$C$27,'3. Finansiering'!$B36,'2. Kalkyldata'!$R$23:$R$27,'3. Finansiering'!AG$12))</f>
        <v>0</v>
      </c>
      <c r="AH36" s="619">
        <f>IF(AH$29="",0,SUMIFS('2. Kalkyldata'!$W$23:$W$27,'2. Kalkyldata'!$C$23:$C$27,'3. Finansiering'!$B36,'2. Kalkyldata'!$R$23:$R$27,'3. Finansiering'!AH$12))</f>
        <v>0</v>
      </c>
      <c r="AI36" s="619">
        <f>IF(AI$29="",0,SUMIFS('2. Kalkyldata'!$W$23:$W$27,'2. Kalkyldata'!$C$23:$C$27,'3. Finansiering'!$B36,'2. Kalkyldata'!$R$23:$R$27,'3. Finansiering'!AI$12))</f>
        <v>0</v>
      </c>
      <c r="AJ36" s="619">
        <f>IF(AJ$29="",0,SUMIFS('2. Kalkyldata'!$W$23:$W$27,'2. Kalkyldata'!$C$23:$C$27,'3. Finansiering'!$B36,'2. Kalkyldata'!$R$23:$R$27,'3. Finansiering'!AJ$12))</f>
        <v>0</v>
      </c>
      <c r="AK36" s="619">
        <f>IF(AK$29="",0,SUMIFS('2. Kalkyldata'!$W$23:$W$27,'2. Kalkyldata'!$C$23:$C$27,'3. Finansiering'!$B36,'2. Kalkyldata'!$R$23:$R$27,'3. Finansiering'!AK$12))</f>
        <v>0</v>
      </c>
      <c r="AL36" s="619">
        <f>IF(AL$29="",0,SUMIFS('2. Kalkyldata'!$W$23:$W$27,'2. Kalkyldata'!$C$23:$C$27,'3. Finansiering'!$B36,'2. Kalkyldata'!$R$23:$R$27,'3. Finansiering'!AL$12))</f>
        <v>0</v>
      </c>
      <c r="AM36" s="619">
        <f>IF(AM$29="",0,SUMIFS('2. Kalkyldata'!$W$23:$W$27,'2. Kalkyldata'!$C$23:$C$27,'3. Finansiering'!$B36,'2. Kalkyldata'!$R$23:$R$27,'3. Finansiering'!AM$12))</f>
        <v>0</v>
      </c>
      <c r="AN36" s="619">
        <f>IF(AN$29="",0,SUMIFS('2. Kalkyldata'!$W$23:$W$27,'2. Kalkyldata'!$C$23:$C$27,'3. Finansiering'!$B36,'2. Kalkyldata'!$R$23:$R$27,'3. Finansiering'!AN$12))</f>
        <v>0</v>
      </c>
      <c r="AO36" s="619">
        <f>IF(AO$29="",0,SUMIFS('2. Kalkyldata'!$W$23:$W$27,'2. Kalkyldata'!$C$23:$C$27,'3. Finansiering'!$B36,'2. Kalkyldata'!$R$23:$R$27,'3. Finansiering'!AO$12))</f>
        <v>0</v>
      </c>
      <c r="AP36" s="619">
        <f>IF(AP$29="",0,SUMIFS('2. Kalkyldata'!$W$23:$W$27,'2. Kalkyldata'!$C$23:$C$27,'3. Finansiering'!$B36,'2. Kalkyldata'!$R$23:$R$27,'3. Finansiering'!AP$12))</f>
        <v>0</v>
      </c>
      <c r="AQ36" s="619">
        <f>IF(AQ$29="",0,SUMIFS('2. Kalkyldata'!$W$23:$W$27,'2. Kalkyldata'!$C$23:$C$27,'3. Finansiering'!$B36,'2. Kalkyldata'!$R$23:$R$27,'3. Finansiering'!AQ$12))</f>
        <v>0</v>
      </c>
      <c r="AR36" s="619">
        <f>IF(AR$29="",0,SUMIFS('2. Kalkyldata'!$W$23:$W$27,'2. Kalkyldata'!$C$23:$C$27,'3. Finansiering'!$B36,'2. Kalkyldata'!$R$23:$R$27,'3. Finansiering'!AR$12))</f>
        <v>0</v>
      </c>
      <c r="AS36" s="619">
        <f>IF(AS$29="",0,SUMIFS('2. Kalkyldata'!$W$23:$W$27,'2. Kalkyldata'!$C$23:$C$27,'3. Finansiering'!$B36,'2. Kalkyldata'!$R$23:$R$27,'3. Finansiering'!AS$12))</f>
        <v>0</v>
      </c>
      <c r="AT36" s="619">
        <f>IF(AT$29="",0,SUMIFS('2. Kalkyldata'!$W$23:$W$27,'2. Kalkyldata'!$C$23:$C$27,'3. Finansiering'!$B36,'2. Kalkyldata'!$R$23:$R$27,'3. Finansiering'!AT$12))</f>
        <v>0</v>
      </c>
      <c r="AU36" s="619">
        <f>IF(AU$29="",0,SUMIFS('2. Kalkyldata'!$W$23:$W$27,'2. Kalkyldata'!$C$23:$C$27,'3. Finansiering'!$B36,'2. Kalkyldata'!$R$23:$R$27,'3. Finansiering'!AU$12))</f>
        <v>0</v>
      </c>
      <c r="AV36" s="619">
        <f>IF(AV$29="",0,SUMIFS('2. Kalkyldata'!$W$23:$W$27,'2. Kalkyldata'!$C$23:$C$27,'3. Finansiering'!$B36,'2. Kalkyldata'!$R$23:$R$27,'3. Finansiering'!AV$12))</f>
        <v>0</v>
      </c>
      <c r="AW36" s="619">
        <f>IF(AW$29="",0,SUMIFS('2. Kalkyldata'!$W$23:$W$27,'2. Kalkyldata'!$C$23:$C$27,'3. Finansiering'!$B36,'2. Kalkyldata'!$R$23:$R$27,'3. Finansiering'!AW$12))</f>
        <v>0</v>
      </c>
      <c r="AX36" s="619">
        <f>IF(AX$29="",0,SUMIFS('2. Kalkyldata'!$W$23:$W$27,'2. Kalkyldata'!$C$23:$C$27,'3. Finansiering'!$B36,'2. Kalkyldata'!$R$23:$R$27,'3. Finansiering'!AX$12))</f>
        <v>0</v>
      </c>
      <c r="AY36" s="619">
        <f>IF(AY$29="",0,SUMIFS('2. Kalkyldata'!$W$23:$W$27,'2. Kalkyldata'!$C$23:$C$27,'3. Finansiering'!$B36,'2. Kalkyldata'!$R$23:$R$27,'3. Finansiering'!AY$12))</f>
        <v>0</v>
      </c>
      <c r="AZ36" s="619">
        <f>IF(AZ$29="",0,SUMIFS('2. Kalkyldata'!$W$23:$W$27,'2. Kalkyldata'!$C$23:$C$27,'3. Finansiering'!$B36,'2. Kalkyldata'!$R$23:$R$27,'3. Finansiering'!AZ$12))</f>
        <v>0</v>
      </c>
      <c r="BA36" s="619">
        <f>IF(BA$29="",0,SUMIFS('2. Kalkyldata'!$W$23:$W$27,'2. Kalkyldata'!$C$23:$C$27,'3. Finansiering'!$B36,'2. Kalkyldata'!$R$23:$R$27,'3. Finansiering'!BA$12))</f>
        <v>0</v>
      </c>
      <c r="BB36" s="506"/>
      <c r="BC36" s="525"/>
      <c r="BD36" s="525"/>
      <c r="BE36" s="525"/>
      <c r="BF36" s="525"/>
      <c r="BG36" s="525"/>
      <c r="BH36" s="525"/>
      <c r="BI36" s="525"/>
    </row>
    <row r="37" spans="1:61" s="115" customFormat="1" ht="15">
      <c r="A37" s="19"/>
      <c r="B37" s="327" t="str">
        <f>'2. Kalkyldata'!C28</f>
        <v>Totalt</v>
      </c>
      <c r="C37" s="213">
        <f>MAX($D$37:$BA$37)</f>
        <v>239999999.99999997</v>
      </c>
      <c r="D37" s="213">
        <f>SUM(D30:D35)</f>
        <v>239999999.99999997</v>
      </c>
      <c r="E37" s="213">
        <f t="shared" ref="E37:F37" si="5">SUM(E30:E35)</f>
        <v>239999999.99999997</v>
      </c>
      <c r="F37" s="213">
        <f t="shared" si="5"/>
        <v>239999999.99999997</v>
      </c>
      <c r="G37" s="213">
        <f>SUM(G30:G35)</f>
        <v>239999999.99999997</v>
      </c>
      <c r="H37" s="213">
        <f t="shared" ref="H37:BA37" si="6">SUM(H30:H35)</f>
        <v>239999999.99999997</v>
      </c>
      <c r="I37" s="213">
        <f t="shared" si="6"/>
        <v>239999999.99999997</v>
      </c>
      <c r="J37" s="213">
        <f t="shared" si="6"/>
        <v>239999999.99999997</v>
      </c>
      <c r="K37" s="213">
        <f t="shared" si="6"/>
        <v>239999999.99999997</v>
      </c>
      <c r="L37" s="213">
        <f t="shared" si="6"/>
        <v>239999999.99999997</v>
      </c>
      <c r="M37" s="213">
        <f t="shared" si="6"/>
        <v>239999999.99999997</v>
      </c>
      <c r="N37" s="213">
        <f t="shared" si="6"/>
        <v>239999999.99999997</v>
      </c>
      <c r="O37" s="213">
        <f t="shared" si="6"/>
        <v>239999999.99999997</v>
      </c>
      <c r="P37" s="213">
        <f t="shared" si="6"/>
        <v>239999999.99999997</v>
      </c>
      <c r="Q37" s="213">
        <f t="shared" si="6"/>
        <v>239999999.99999997</v>
      </c>
      <c r="R37" s="213">
        <f t="shared" si="6"/>
        <v>239999999.99999997</v>
      </c>
      <c r="S37" s="213">
        <f t="shared" si="6"/>
        <v>239999999.99999997</v>
      </c>
      <c r="T37" s="213">
        <f t="shared" si="6"/>
        <v>239999999.99999997</v>
      </c>
      <c r="U37" s="213">
        <f t="shared" si="6"/>
        <v>239999999.99999997</v>
      </c>
      <c r="V37" s="213">
        <f t="shared" si="6"/>
        <v>239999999.99999997</v>
      </c>
      <c r="W37" s="213">
        <f t="shared" si="6"/>
        <v>239999999.99999997</v>
      </c>
      <c r="X37" s="213">
        <f t="shared" si="6"/>
        <v>239999999.99999997</v>
      </c>
      <c r="Y37" s="213">
        <f t="shared" si="6"/>
        <v>0</v>
      </c>
      <c r="Z37" s="213">
        <f t="shared" si="6"/>
        <v>0</v>
      </c>
      <c r="AA37" s="213">
        <f t="shared" si="6"/>
        <v>0</v>
      </c>
      <c r="AB37" s="213">
        <f t="shared" si="6"/>
        <v>0</v>
      </c>
      <c r="AC37" s="213">
        <f t="shared" si="6"/>
        <v>0</v>
      </c>
      <c r="AD37" s="213">
        <f t="shared" si="6"/>
        <v>0</v>
      </c>
      <c r="AE37" s="213">
        <f t="shared" si="6"/>
        <v>0</v>
      </c>
      <c r="AF37" s="213">
        <f t="shared" si="6"/>
        <v>0</v>
      </c>
      <c r="AG37" s="213">
        <f t="shared" si="6"/>
        <v>0</v>
      </c>
      <c r="AH37" s="213">
        <f t="shared" si="6"/>
        <v>0</v>
      </c>
      <c r="AI37" s="213">
        <f t="shared" si="6"/>
        <v>0</v>
      </c>
      <c r="AJ37" s="213">
        <f t="shared" si="6"/>
        <v>0</v>
      </c>
      <c r="AK37" s="213">
        <f t="shared" si="6"/>
        <v>0</v>
      </c>
      <c r="AL37" s="213">
        <f t="shared" si="6"/>
        <v>0</v>
      </c>
      <c r="AM37" s="213">
        <f t="shared" si="6"/>
        <v>0</v>
      </c>
      <c r="AN37" s="213">
        <f t="shared" si="6"/>
        <v>0</v>
      </c>
      <c r="AO37" s="213">
        <f t="shared" si="6"/>
        <v>0</v>
      </c>
      <c r="AP37" s="213">
        <f t="shared" si="6"/>
        <v>0</v>
      </c>
      <c r="AQ37" s="213">
        <f t="shared" si="6"/>
        <v>0</v>
      </c>
      <c r="AR37" s="213">
        <f t="shared" si="6"/>
        <v>0</v>
      </c>
      <c r="AS37" s="213">
        <f t="shared" si="6"/>
        <v>0</v>
      </c>
      <c r="AT37" s="213">
        <f t="shared" si="6"/>
        <v>0</v>
      </c>
      <c r="AU37" s="213">
        <f t="shared" si="6"/>
        <v>0</v>
      </c>
      <c r="AV37" s="213">
        <f t="shared" si="6"/>
        <v>0</v>
      </c>
      <c r="AW37" s="213">
        <f t="shared" si="6"/>
        <v>0</v>
      </c>
      <c r="AX37" s="213">
        <f t="shared" si="6"/>
        <v>0</v>
      </c>
      <c r="AY37" s="213">
        <f t="shared" si="6"/>
        <v>0</v>
      </c>
      <c r="AZ37" s="213">
        <f t="shared" si="6"/>
        <v>0</v>
      </c>
      <c r="BA37" s="213">
        <f t="shared" si="6"/>
        <v>0</v>
      </c>
      <c r="BB37" s="213"/>
      <c r="BC37" s="214"/>
      <c r="BD37" s="214"/>
      <c r="BE37" s="214"/>
      <c r="BF37" s="214"/>
      <c r="BG37" s="214"/>
      <c r="BH37" s="214"/>
      <c r="BI37" s="214"/>
    </row>
    <row r="38" spans="1:61">
      <c r="A38" s="506"/>
      <c r="B38" s="159"/>
      <c r="C38" s="506"/>
      <c r="D38" s="506"/>
      <c r="E38" s="506"/>
      <c r="F38" s="506"/>
      <c r="G38" s="506"/>
      <c r="H38" s="506"/>
      <c r="I38" s="506"/>
      <c r="J38" s="506"/>
      <c r="K38" s="506"/>
      <c r="L38" s="506"/>
      <c r="M38" s="506"/>
      <c r="N38" s="506"/>
      <c r="O38" s="506"/>
      <c r="P38" s="506"/>
      <c r="Q38" s="506"/>
      <c r="R38" s="506"/>
      <c r="S38" s="506"/>
      <c r="T38" s="506"/>
      <c r="U38" s="506"/>
      <c r="V38" s="506"/>
      <c r="W38" s="506"/>
      <c r="X38" s="506"/>
      <c r="Y38" s="506"/>
      <c r="Z38" s="506"/>
      <c r="AA38" s="506"/>
      <c r="AB38" s="506"/>
      <c r="AC38" s="506"/>
      <c r="AD38" s="506"/>
      <c r="AE38" s="506"/>
      <c r="AF38" s="506"/>
      <c r="AG38" s="506"/>
      <c r="AH38" s="506"/>
      <c r="AI38" s="506"/>
      <c r="AJ38" s="506"/>
      <c r="AK38" s="506"/>
      <c r="AL38" s="506"/>
      <c r="AM38" s="506"/>
      <c r="AN38" s="506"/>
      <c r="AO38" s="506"/>
      <c r="AP38" s="506"/>
      <c r="AQ38" s="506"/>
      <c r="AR38" s="506"/>
      <c r="AS38" s="506"/>
      <c r="AT38" s="506"/>
      <c r="AU38" s="506"/>
      <c r="AV38" s="506"/>
      <c r="AW38" s="506"/>
      <c r="AX38" s="506"/>
      <c r="AY38" s="506"/>
      <c r="AZ38" s="506"/>
      <c r="BA38" s="506"/>
      <c r="BB38" s="506"/>
      <c r="BC38" s="525"/>
      <c r="BD38" s="525"/>
      <c r="BE38" s="525"/>
      <c r="BF38" s="525"/>
      <c r="BG38" s="525"/>
      <c r="BH38" s="525"/>
      <c r="BI38" s="525"/>
    </row>
    <row r="39" spans="1:61" ht="15">
      <c r="A39" s="506"/>
      <c r="B39" s="327" t="s">
        <v>220</v>
      </c>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c r="AC39" s="506"/>
      <c r="AD39" s="506"/>
      <c r="AE39" s="506"/>
      <c r="AF39" s="506"/>
      <c r="AG39" s="506"/>
      <c r="AH39" s="506"/>
      <c r="AI39" s="506"/>
      <c r="AJ39" s="506"/>
      <c r="AK39" s="506"/>
      <c r="AL39" s="506"/>
      <c r="AM39" s="506"/>
      <c r="AN39" s="506"/>
      <c r="AO39" s="506"/>
      <c r="AP39" s="506"/>
      <c r="AQ39" s="506"/>
      <c r="AR39" s="506"/>
      <c r="AS39" s="506"/>
      <c r="AT39" s="506"/>
      <c r="AU39" s="506"/>
      <c r="AV39" s="506"/>
      <c r="AW39" s="506"/>
      <c r="AX39" s="506"/>
      <c r="AY39" s="506"/>
      <c r="AZ39" s="506"/>
      <c r="BA39" s="506"/>
      <c r="BB39" s="506"/>
      <c r="BC39" s="525"/>
      <c r="BD39" s="525"/>
      <c r="BE39" s="525"/>
      <c r="BF39" s="525"/>
      <c r="BG39" s="525"/>
      <c r="BH39" s="525"/>
      <c r="BI39" s="525"/>
    </row>
    <row r="40" spans="1:61" hidden="1" outlineLevel="1">
      <c r="A40" s="506"/>
      <c r="B40" s="328" t="s">
        <v>221</v>
      </c>
      <c r="C40" s="506"/>
      <c r="D40" s="619">
        <f>-D30/'2. Kalkyldata'!$P$18</f>
        <v>0</v>
      </c>
      <c r="E40" s="619">
        <f>-E30/'2. Kalkyldata'!$P$18</f>
        <v>0</v>
      </c>
      <c r="F40" s="619">
        <f>-F30/'2. Kalkyldata'!$P$18</f>
        <v>0</v>
      </c>
      <c r="G40" s="619">
        <f>-G30/'2. Kalkyldata'!$P$18</f>
        <v>0</v>
      </c>
      <c r="H40" s="619">
        <f>-H30/'2. Kalkyldata'!$P$18</f>
        <v>0</v>
      </c>
      <c r="I40" s="619">
        <f>-I30/'2. Kalkyldata'!$P$18</f>
        <v>0</v>
      </c>
      <c r="J40" s="619">
        <f>-J30/'2. Kalkyldata'!$P$18</f>
        <v>0</v>
      </c>
      <c r="K40" s="619">
        <f>-K30/'2. Kalkyldata'!$P$18</f>
        <v>0</v>
      </c>
      <c r="L40" s="619">
        <f>-L30/'2. Kalkyldata'!$P$18</f>
        <v>0</v>
      </c>
      <c r="M40" s="619">
        <f>-M30/'2. Kalkyldata'!$P$18</f>
        <v>0</v>
      </c>
      <c r="N40" s="619">
        <f>-N30/'2. Kalkyldata'!$P$18</f>
        <v>0</v>
      </c>
      <c r="O40" s="619">
        <f>-O30/'2. Kalkyldata'!$P$18</f>
        <v>0</v>
      </c>
      <c r="P40" s="619">
        <f>-P30/'2. Kalkyldata'!$P$18</f>
        <v>0</v>
      </c>
      <c r="Q40" s="619">
        <f>-Q30/'2. Kalkyldata'!$P$18</f>
        <v>0</v>
      </c>
      <c r="R40" s="619">
        <f>-R30/'2. Kalkyldata'!$P$18</f>
        <v>0</v>
      </c>
      <c r="S40" s="619">
        <f>-S30/'2. Kalkyldata'!$P$18</f>
        <v>0</v>
      </c>
      <c r="T40" s="619">
        <f>-T30/'2. Kalkyldata'!$P$18</f>
        <v>0</v>
      </c>
      <c r="U40" s="619">
        <f>-U30/'2. Kalkyldata'!$P$18</f>
        <v>0</v>
      </c>
      <c r="V40" s="619">
        <f>-V30/'2. Kalkyldata'!$P$18</f>
        <v>0</v>
      </c>
      <c r="W40" s="619">
        <f>-W30/'2. Kalkyldata'!$P$18</f>
        <v>0</v>
      </c>
      <c r="X40" s="619">
        <f>-X30/'2. Kalkyldata'!$P$18</f>
        <v>0</v>
      </c>
      <c r="Y40" s="619">
        <f>-Y30/'2. Kalkyldata'!$P$18</f>
        <v>0</v>
      </c>
      <c r="Z40" s="619">
        <f>-Z30/'2. Kalkyldata'!$P$18</f>
        <v>0</v>
      </c>
      <c r="AA40" s="619">
        <f>-AA30/'2. Kalkyldata'!$P$18</f>
        <v>0</v>
      </c>
      <c r="AB40" s="619">
        <f>-AB30/'2. Kalkyldata'!$P$18</f>
        <v>0</v>
      </c>
      <c r="AC40" s="619">
        <f>-AC30/'2. Kalkyldata'!$P$18</f>
        <v>0</v>
      </c>
      <c r="AD40" s="619">
        <f>-AD30/'2. Kalkyldata'!$P$18</f>
        <v>0</v>
      </c>
      <c r="AE40" s="619">
        <f>-AE30/'2. Kalkyldata'!$P$18</f>
        <v>0</v>
      </c>
      <c r="AF40" s="619">
        <f>-AF30/'2. Kalkyldata'!$P$18</f>
        <v>0</v>
      </c>
      <c r="AG40" s="619">
        <f>-AG30/'2. Kalkyldata'!$P$18</f>
        <v>0</v>
      </c>
      <c r="AH40" s="619">
        <f>-AH30/'2. Kalkyldata'!$P$18</f>
        <v>0</v>
      </c>
      <c r="AI40" s="619">
        <f>-AI30/'2. Kalkyldata'!$P$18</f>
        <v>0</v>
      </c>
      <c r="AJ40" s="619">
        <f>-AJ30/'2. Kalkyldata'!$P$18</f>
        <v>0</v>
      </c>
      <c r="AK40" s="619">
        <f>-AK30/'2. Kalkyldata'!$P$18</f>
        <v>0</v>
      </c>
      <c r="AL40" s="619">
        <f>-AL30/'2. Kalkyldata'!$P$18</f>
        <v>0</v>
      </c>
      <c r="AM40" s="619">
        <f>-AM30/'2. Kalkyldata'!$P$18</f>
        <v>0</v>
      </c>
      <c r="AN40" s="619">
        <f>-AN30/'2. Kalkyldata'!$P$18</f>
        <v>0</v>
      </c>
      <c r="AO40" s="619">
        <f>-AO30/'2. Kalkyldata'!$P$18</f>
        <v>0</v>
      </c>
      <c r="AP40" s="619">
        <f>-AP30/'2. Kalkyldata'!$P$18</f>
        <v>0</v>
      </c>
      <c r="AQ40" s="619">
        <f>-AQ30/'2. Kalkyldata'!$P$18</f>
        <v>0</v>
      </c>
      <c r="AR40" s="619">
        <f>-AR30/'2. Kalkyldata'!$P$18</f>
        <v>0</v>
      </c>
      <c r="AS40" s="619">
        <f>-AS30/'2. Kalkyldata'!$P$18</f>
        <v>0</v>
      </c>
      <c r="AT40" s="619">
        <f>-AT30/'2. Kalkyldata'!$P$18</f>
        <v>0</v>
      </c>
      <c r="AU40" s="619">
        <f>-AU30/'2. Kalkyldata'!$P$18</f>
        <v>0</v>
      </c>
      <c r="AV40" s="619">
        <f>-AV30/'2. Kalkyldata'!$P$18</f>
        <v>0</v>
      </c>
      <c r="AW40" s="619">
        <f>-AW30/'2. Kalkyldata'!$P$18</f>
        <v>0</v>
      </c>
      <c r="AX40" s="619">
        <f>-AX30/'2. Kalkyldata'!$P$18</f>
        <v>0</v>
      </c>
      <c r="AY40" s="619">
        <f>-AY30/'2. Kalkyldata'!$P$18</f>
        <v>0</v>
      </c>
      <c r="AZ40" s="619">
        <f>-AZ30/'2. Kalkyldata'!$P$18</f>
        <v>0</v>
      </c>
      <c r="BA40" s="619">
        <f>-BA30/'2. Kalkyldata'!$P$18</f>
        <v>0</v>
      </c>
      <c r="BB40" s="506"/>
      <c r="BC40" s="525"/>
      <c r="BD40" s="525"/>
      <c r="BE40" s="525"/>
      <c r="BF40" s="525"/>
      <c r="BG40" s="525"/>
      <c r="BH40" s="525"/>
      <c r="BI40" s="525"/>
    </row>
    <row r="41" spans="1:61" hidden="1" outlineLevel="1">
      <c r="A41" s="506"/>
      <c r="B41" s="328" t="str">
        <f>B31</f>
        <v>Skola</v>
      </c>
      <c r="C41" s="506"/>
      <c r="D41" s="619">
        <f>IF(D$29&lt;'2. Kalkyldata'!$M23,0,-D31/'2. Kalkyldata'!$P$16)</f>
        <v>-7272727.2727272715</v>
      </c>
      <c r="E41" s="619">
        <f>IF(E$29&lt;'2. Kalkyldata'!$M23,0,-E31/'2. Kalkyldata'!$P$16)</f>
        <v>-7272727.2727272715</v>
      </c>
      <c r="F41" s="619">
        <f>IF(F$29&lt;'2. Kalkyldata'!$M23,0,-F31/'2. Kalkyldata'!$P$16)</f>
        <v>-7272727.2727272715</v>
      </c>
      <c r="G41" s="619">
        <f>IF(G$29&lt;'2. Kalkyldata'!$M23,0,-G31/'2. Kalkyldata'!$P$16)</f>
        <v>-7272727.2727272715</v>
      </c>
      <c r="H41" s="619">
        <f>IF(H$29&lt;'2. Kalkyldata'!$M23,0,-H31/'2. Kalkyldata'!$P$16)</f>
        <v>-7272727.2727272715</v>
      </c>
      <c r="I41" s="619">
        <f>IF(I$29&lt;'2. Kalkyldata'!$M23,0,-I31/'2. Kalkyldata'!$P$16)</f>
        <v>-7272727.2727272715</v>
      </c>
      <c r="J41" s="619">
        <f>IF(J$29&lt;'2. Kalkyldata'!$M23,0,-J31/'2. Kalkyldata'!$P$16)</f>
        <v>-7272727.2727272715</v>
      </c>
      <c r="K41" s="619">
        <f>IF(K$29&lt;'2. Kalkyldata'!$M23,0,-K31/'2. Kalkyldata'!$P$16)</f>
        <v>-7272727.2727272715</v>
      </c>
      <c r="L41" s="619">
        <f>IF(L$29&lt;'2. Kalkyldata'!$M23,0,-L31/'2. Kalkyldata'!$P$16)</f>
        <v>-7272727.2727272715</v>
      </c>
      <c r="M41" s="619">
        <f>IF(M$29&lt;'2. Kalkyldata'!$M23,0,-M31/'2. Kalkyldata'!$P$16)</f>
        <v>-7272727.2727272715</v>
      </c>
      <c r="N41" s="619">
        <f>IF(N$29&lt;'2. Kalkyldata'!$M23,0,-N31/'2. Kalkyldata'!$P$16)</f>
        <v>-7272727.2727272715</v>
      </c>
      <c r="O41" s="619">
        <f>IF(O$29&lt;'2. Kalkyldata'!$M23,0,-O31/'2. Kalkyldata'!$P$16)</f>
        <v>-7272727.2727272715</v>
      </c>
      <c r="P41" s="619">
        <f>IF(P$29&lt;'2. Kalkyldata'!$M23,0,-P31/'2. Kalkyldata'!$P$16)</f>
        <v>-7272727.2727272715</v>
      </c>
      <c r="Q41" s="619">
        <f>IF(Q$29&lt;'2. Kalkyldata'!$M23,0,-Q31/'2. Kalkyldata'!$P$16)</f>
        <v>-7272727.2727272715</v>
      </c>
      <c r="R41" s="619">
        <f>IF(R$29&lt;'2. Kalkyldata'!$M23,0,-R31/'2. Kalkyldata'!$P$16)</f>
        <v>-7272727.2727272715</v>
      </c>
      <c r="S41" s="619">
        <f>IF(S$29&lt;'2. Kalkyldata'!$M23,0,-S31/'2. Kalkyldata'!$P$16)</f>
        <v>-7272727.2727272715</v>
      </c>
      <c r="T41" s="619">
        <f>IF(T$29&lt;'2. Kalkyldata'!$M23,0,-T31/'2. Kalkyldata'!$P$16)</f>
        <v>-7272727.2727272715</v>
      </c>
      <c r="U41" s="619">
        <f>IF(U$29&lt;'2. Kalkyldata'!$M23,0,-U31/'2. Kalkyldata'!$P$16)</f>
        <v>-7272727.2727272715</v>
      </c>
      <c r="V41" s="619">
        <f>IF(V$29&lt;'2. Kalkyldata'!$M23,0,-V31/'2. Kalkyldata'!$P$16)</f>
        <v>-7272727.2727272715</v>
      </c>
      <c r="W41" s="619">
        <f>IF(W$29&lt;'2. Kalkyldata'!$M23,0,-W31/'2. Kalkyldata'!$P$16)</f>
        <v>-7272727.2727272715</v>
      </c>
      <c r="X41" s="619">
        <f>IF(X$29&lt;'2. Kalkyldata'!$M23,0,-X31/'2. Kalkyldata'!$P$16)</f>
        <v>-7272727.2727272715</v>
      </c>
      <c r="Y41" s="619">
        <f>IF(Y$29&lt;'2. Kalkyldata'!$M23,0,-Y31/'2. Kalkyldata'!$P$16)</f>
        <v>0</v>
      </c>
      <c r="Z41" s="619">
        <f>IF(Z$29&lt;'2. Kalkyldata'!$M23,0,-Z31/'2. Kalkyldata'!$P$16)</f>
        <v>0</v>
      </c>
      <c r="AA41" s="619">
        <f>IF(AA$29&lt;'2. Kalkyldata'!$M23,0,-AA31/'2. Kalkyldata'!$P$16)</f>
        <v>0</v>
      </c>
      <c r="AB41" s="619">
        <f>IF(AB$29&lt;'2. Kalkyldata'!$M23,0,-AB31/'2. Kalkyldata'!$P$16)</f>
        <v>0</v>
      </c>
      <c r="AC41" s="619">
        <f>IF(AC$29&lt;'2. Kalkyldata'!$M23,0,-AC31/'2. Kalkyldata'!$P$16)</f>
        <v>0</v>
      </c>
      <c r="AD41" s="619">
        <f>IF(AD$29&lt;'2. Kalkyldata'!$M23,0,-AD31/'2. Kalkyldata'!$P$16)</f>
        <v>0</v>
      </c>
      <c r="AE41" s="619">
        <f>IF(AE$29&lt;'2. Kalkyldata'!$M23,0,-AE31/'2. Kalkyldata'!$P$16)</f>
        <v>0</v>
      </c>
      <c r="AF41" s="619">
        <f>IF(AF$29&lt;'2. Kalkyldata'!$M23,0,-AF31/'2. Kalkyldata'!$P$16)</f>
        <v>0</v>
      </c>
      <c r="AG41" s="619">
        <f>IF(AG$29&lt;'2. Kalkyldata'!$M23,0,-AG31/'2. Kalkyldata'!$P$16)</f>
        <v>0</v>
      </c>
      <c r="AH41" s="619">
        <f>IF(AH$29&lt;'2. Kalkyldata'!$M23,0,-AH31/'2. Kalkyldata'!$P$16)</f>
        <v>0</v>
      </c>
      <c r="AI41" s="619">
        <f>IF(AI$29&lt;'2. Kalkyldata'!$M23,0,-AI31/'2. Kalkyldata'!$P$16)</f>
        <v>0</v>
      </c>
      <c r="AJ41" s="619">
        <f>IF(AJ$29&lt;'2. Kalkyldata'!$M23,0,-AJ31/'2. Kalkyldata'!$P$16)</f>
        <v>0</v>
      </c>
      <c r="AK41" s="619">
        <f>IF(AK$29&lt;'2. Kalkyldata'!$M23,0,-AK31/'2. Kalkyldata'!$P$16)</f>
        <v>0</v>
      </c>
      <c r="AL41" s="619">
        <f>IF(AL$29&lt;'2. Kalkyldata'!$M23,0,-AL31/'2. Kalkyldata'!$P$16)</f>
        <v>0</v>
      </c>
      <c r="AM41" s="619">
        <f>IF(AM$29&lt;'2. Kalkyldata'!$M23,0,-AM31/'2. Kalkyldata'!$P$16)</f>
        <v>0</v>
      </c>
      <c r="AN41" s="619">
        <f>IF(AN$29&lt;'2. Kalkyldata'!$M23,0,-AN31/'2. Kalkyldata'!$P$16)</f>
        <v>0</v>
      </c>
      <c r="AO41" s="619">
        <f>IF(AO$29&lt;'2. Kalkyldata'!$M23,0,-AO31/'2. Kalkyldata'!$P$16)</f>
        <v>0</v>
      </c>
      <c r="AP41" s="619">
        <f>IF(AP$29&lt;'2. Kalkyldata'!$M23,0,-AP31/'2. Kalkyldata'!$P$16)</f>
        <v>0</v>
      </c>
      <c r="AQ41" s="619">
        <f>IF(AQ$29&lt;'2. Kalkyldata'!$M23,0,-AQ31/'2. Kalkyldata'!$P$16)</f>
        <v>0</v>
      </c>
      <c r="AR41" s="619">
        <f>IF(AR$29&lt;'2. Kalkyldata'!$M23,0,-AR31/'2. Kalkyldata'!$P$16)</f>
        <v>0</v>
      </c>
      <c r="AS41" s="619">
        <f>IF(AS$29&lt;'2. Kalkyldata'!$M23,0,-AS31/'2. Kalkyldata'!$P$16)</f>
        <v>0</v>
      </c>
      <c r="AT41" s="619">
        <f>IF(AT$29&lt;'2. Kalkyldata'!$M23,0,-AT31/'2. Kalkyldata'!$P$16)</f>
        <v>0</v>
      </c>
      <c r="AU41" s="619">
        <f>IF(AU$29&lt;'2. Kalkyldata'!$M23,0,-AU31/'2. Kalkyldata'!$P$16)</f>
        <v>0</v>
      </c>
      <c r="AV41" s="619">
        <f>IF(AV$29&lt;'2. Kalkyldata'!$M23,0,-AV31/'2. Kalkyldata'!$P$16)</f>
        <v>0</v>
      </c>
      <c r="AW41" s="619">
        <f>IF(AW$29&lt;'2. Kalkyldata'!$M23,0,-AW31/'2. Kalkyldata'!$P$16)</f>
        <v>0</v>
      </c>
      <c r="AX41" s="619">
        <f>IF(AX$29&lt;'2. Kalkyldata'!$M23,0,-AX31/'2. Kalkyldata'!$P$16)</f>
        <v>0</v>
      </c>
      <c r="AY41" s="619">
        <f>IF(AY$29&lt;'2. Kalkyldata'!$M23,0,-AY31/'2. Kalkyldata'!$P$16)</f>
        <v>0</v>
      </c>
      <c r="AZ41" s="619">
        <f>IF(AZ$29&lt;'2. Kalkyldata'!$M23,0,-AZ31/'2. Kalkyldata'!$P$16)</f>
        <v>0</v>
      </c>
      <c r="BA41" s="619">
        <f>IF(BA$29&lt;'2. Kalkyldata'!$M23,0,-BA31/'2. Kalkyldata'!$P$16)</f>
        <v>0</v>
      </c>
      <c r="BB41" s="506"/>
      <c r="BC41" s="525"/>
      <c r="BD41" s="525"/>
      <c r="BE41" s="525"/>
      <c r="BF41" s="525"/>
      <c r="BG41" s="525"/>
      <c r="BH41" s="525"/>
      <c r="BI41" s="525"/>
    </row>
    <row r="42" spans="1:61" hidden="1" outlineLevel="1">
      <c r="A42" s="506"/>
      <c r="B42" s="328">
        <f>B32</f>
        <v>0</v>
      </c>
      <c r="C42" s="506"/>
      <c r="D42" s="619">
        <f>IF(D$29&lt;'2. Kalkyldata'!$M24,0,-D32/'2. Kalkyldata'!$P$16)</f>
        <v>0</v>
      </c>
      <c r="E42" s="619">
        <f>IF(E$29&lt;'2. Kalkyldata'!$M24,0,-E32/'2. Kalkyldata'!$P$16)</f>
        <v>0</v>
      </c>
      <c r="F42" s="619">
        <f>IF(F$29&lt;'2. Kalkyldata'!$M24,0,-F32/'2. Kalkyldata'!$P$16)</f>
        <v>0</v>
      </c>
      <c r="G42" s="619">
        <f>IF(G$29&lt;'2. Kalkyldata'!$M24,0,-G32/'2. Kalkyldata'!$P$16)</f>
        <v>0</v>
      </c>
      <c r="H42" s="619">
        <f>IF(H$29&lt;'2. Kalkyldata'!$M24,0,-H32/'2. Kalkyldata'!$P$16)</f>
        <v>0</v>
      </c>
      <c r="I42" s="619">
        <f>IF(I$29&lt;'2. Kalkyldata'!$M24,0,-I32/'2. Kalkyldata'!$P$16)</f>
        <v>0</v>
      </c>
      <c r="J42" s="619">
        <f>IF(J$29&lt;'2. Kalkyldata'!$M24,0,-J32/'2. Kalkyldata'!$P$16)</f>
        <v>0</v>
      </c>
      <c r="K42" s="619">
        <f>IF(K$29&lt;'2. Kalkyldata'!$M24,0,-K32/'2. Kalkyldata'!$P$16)</f>
        <v>0</v>
      </c>
      <c r="L42" s="619">
        <f>IF(L$29&lt;'2. Kalkyldata'!$M24,0,-L32/'2. Kalkyldata'!$P$16)</f>
        <v>0</v>
      </c>
      <c r="M42" s="619">
        <f>IF(M$29&lt;'2. Kalkyldata'!$M24,0,-M32/'2. Kalkyldata'!$P$16)</f>
        <v>0</v>
      </c>
      <c r="N42" s="619">
        <f>IF(N$29&lt;'2. Kalkyldata'!$M24,0,-N32/'2. Kalkyldata'!$P$16)</f>
        <v>0</v>
      </c>
      <c r="O42" s="619">
        <f>IF(O$29&lt;'2. Kalkyldata'!$M24,0,-O32/'2. Kalkyldata'!$P$16)</f>
        <v>0</v>
      </c>
      <c r="P42" s="619">
        <f>IF(P$29&lt;'2. Kalkyldata'!$M24,0,-P32/'2. Kalkyldata'!$P$16)</f>
        <v>0</v>
      </c>
      <c r="Q42" s="619">
        <f>IF(Q$29&lt;'2. Kalkyldata'!$M24,0,-Q32/'2. Kalkyldata'!$P$16)</f>
        <v>0</v>
      </c>
      <c r="R42" s="619">
        <f>IF(R$29&lt;'2. Kalkyldata'!$M24,0,-R32/'2. Kalkyldata'!$P$16)</f>
        <v>0</v>
      </c>
      <c r="S42" s="619">
        <f>IF(S$29&lt;'2. Kalkyldata'!$M24,0,-S32/'2. Kalkyldata'!$P$16)</f>
        <v>0</v>
      </c>
      <c r="T42" s="619">
        <f>IF(T$29&lt;'2. Kalkyldata'!$M24,0,-T32/'2. Kalkyldata'!$P$16)</f>
        <v>0</v>
      </c>
      <c r="U42" s="619">
        <f>IF(U$29&lt;'2. Kalkyldata'!$M24,0,-U32/'2. Kalkyldata'!$P$16)</f>
        <v>0</v>
      </c>
      <c r="V42" s="619">
        <f>IF(V$29&lt;'2. Kalkyldata'!$M24,0,-V32/'2. Kalkyldata'!$P$16)</f>
        <v>0</v>
      </c>
      <c r="W42" s="619">
        <f>IF(W$29&lt;'2. Kalkyldata'!$M24,0,-W32/'2. Kalkyldata'!$P$16)</f>
        <v>0</v>
      </c>
      <c r="X42" s="619">
        <f>IF(X$29&lt;'2. Kalkyldata'!$M24,0,-X32/'2. Kalkyldata'!$P$16)</f>
        <v>0</v>
      </c>
      <c r="Y42" s="619">
        <f>IF(Y$29&lt;'2. Kalkyldata'!$M24,0,-Y32/'2. Kalkyldata'!$P$16)</f>
        <v>0</v>
      </c>
      <c r="Z42" s="619">
        <f>IF(Z$29&lt;'2. Kalkyldata'!$M24,0,-Z32/'2. Kalkyldata'!$P$16)</f>
        <v>0</v>
      </c>
      <c r="AA42" s="619">
        <f>IF(AA$29&lt;'2. Kalkyldata'!$M24,0,-AA32/'2. Kalkyldata'!$P$16)</f>
        <v>0</v>
      </c>
      <c r="AB42" s="619">
        <f>IF(AB$29&lt;'2. Kalkyldata'!$M24,0,-AB32/'2. Kalkyldata'!$P$16)</f>
        <v>0</v>
      </c>
      <c r="AC42" s="619">
        <f>IF(AC$29&lt;'2. Kalkyldata'!$M24,0,-AC32/'2. Kalkyldata'!$P$16)</f>
        <v>0</v>
      </c>
      <c r="AD42" s="619">
        <f>IF(AD$29&lt;'2. Kalkyldata'!$M24,0,-AD32/'2. Kalkyldata'!$P$16)</f>
        <v>0</v>
      </c>
      <c r="AE42" s="619">
        <f>IF(AE$29&lt;'2. Kalkyldata'!$M24,0,-AE32/'2. Kalkyldata'!$P$16)</f>
        <v>0</v>
      </c>
      <c r="AF42" s="619">
        <f>IF(AF$29&lt;'2. Kalkyldata'!$M24,0,-AF32/'2. Kalkyldata'!$P$16)</f>
        <v>0</v>
      </c>
      <c r="AG42" s="619">
        <f>IF(AG$29&lt;'2. Kalkyldata'!$M24,0,-AG32/'2. Kalkyldata'!$P$16)</f>
        <v>0</v>
      </c>
      <c r="AH42" s="619">
        <f>IF(AH$29&lt;'2. Kalkyldata'!$M24,0,-AH32/'2. Kalkyldata'!$P$16)</f>
        <v>0</v>
      </c>
      <c r="AI42" s="619">
        <f>IF(AI$29&lt;'2. Kalkyldata'!$M24,0,-AI32/'2. Kalkyldata'!$P$16)</f>
        <v>0</v>
      </c>
      <c r="AJ42" s="619">
        <f>IF(AJ$29&lt;'2. Kalkyldata'!$M24,0,-AJ32/'2. Kalkyldata'!$P$16)</f>
        <v>0</v>
      </c>
      <c r="AK42" s="619">
        <f>IF(AK$29&lt;'2. Kalkyldata'!$M24,0,-AK32/'2. Kalkyldata'!$P$16)</f>
        <v>0</v>
      </c>
      <c r="AL42" s="619">
        <f>IF(AL$29&lt;'2. Kalkyldata'!$M24,0,-AL32/'2. Kalkyldata'!$P$16)</f>
        <v>0</v>
      </c>
      <c r="AM42" s="619">
        <f>IF(AM$29&lt;'2. Kalkyldata'!$M24,0,-AM32/'2. Kalkyldata'!$P$16)</f>
        <v>0</v>
      </c>
      <c r="AN42" s="619">
        <f>IF(AN$29&lt;'2. Kalkyldata'!$M24,0,-AN32/'2. Kalkyldata'!$P$16)</f>
        <v>0</v>
      </c>
      <c r="AO42" s="619">
        <f>IF(AO$29&lt;'2. Kalkyldata'!$M24,0,-AO32/'2. Kalkyldata'!$P$16)</f>
        <v>0</v>
      </c>
      <c r="AP42" s="619">
        <f>IF(AP$29&lt;'2. Kalkyldata'!$M24,0,-AP32/'2. Kalkyldata'!$P$16)</f>
        <v>0</v>
      </c>
      <c r="AQ42" s="619">
        <f>IF(AQ$29&lt;'2. Kalkyldata'!$M24,0,-AQ32/'2. Kalkyldata'!$P$16)</f>
        <v>0</v>
      </c>
      <c r="AR42" s="619">
        <f>IF(AR$29&lt;'2. Kalkyldata'!$M24,0,-AR32/'2. Kalkyldata'!$P$16)</f>
        <v>0</v>
      </c>
      <c r="AS42" s="619">
        <f>IF(AS$29&lt;'2. Kalkyldata'!$M24,0,-AS32/'2. Kalkyldata'!$P$16)</f>
        <v>0</v>
      </c>
      <c r="AT42" s="619">
        <f>IF(AT$29&lt;'2. Kalkyldata'!$M24,0,-AT32/'2. Kalkyldata'!$P$16)</f>
        <v>0</v>
      </c>
      <c r="AU42" s="619">
        <f>IF(AU$29&lt;'2. Kalkyldata'!$M24,0,-AU32/'2. Kalkyldata'!$P$16)</f>
        <v>0</v>
      </c>
      <c r="AV42" s="619">
        <f>IF(AV$29&lt;'2. Kalkyldata'!$M24,0,-AV32/'2. Kalkyldata'!$P$16)</f>
        <v>0</v>
      </c>
      <c r="AW42" s="619">
        <f>IF(AW$29&lt;'2. Kalkyldata'!$M24,0,-AW32/'2. Kalkyldata'!$P$16)</f>
        <v>0</v>
      </c>
      <c r="AX42" s="619">
        <f>IF(AX$29&lt;'2. Kalkyldata'!$M24,0,-AX32/'2. Kalkyldata'!$P$16)</f>
        <v>0</v>
      </c>
      <c r="AY42" s="619">
        <f>IF(AY$29&lt;'2. Kalkyldata'!$M24,0,-AY32/'2. Kalkyldata'!$P$16)</f>
        <v>0</v>
      </c>
      <c r="AZ42" s="619">
        <f>IF(AZ$29&lt;'2. Kalkyldata'!$M24,0,-AZ32/'2. Kalkyldata'!$P$16)</f>
        <v>0</v>
      </c>
      <c r="BA42" s="619">
        <f>IF(BA$29&lt;'2. Kalkyldata'!$M24,0,-BA32/'2. Kalkyldata'!$P$16)</f>
        <v>0</v>
      </c>
      <c r="BB42" s="506"/>
      <c r="BC42" s="525"/>
      <c r="BD42" s="525"/>
      <c r="BE42" s="525"/>
      <c r="BF42" s="525"/>
      <c r="BG42" s="525"/>
      <c r="BH42" s="525"/>
      <c r="BI42" s="525"/>
    </row>
    <row r="43" spans="1:61" hidden="1" outlineLevel="1">
      <c r="A43" s="506"/>
      <c r="B43" s="328">
        <f>B33</f>
        <v>0</v>
      </c>
      <c r="C43" s="506"/>
      <c r="D43" s="619">
        <f>IF(D$29&lt;'2. Kalkyldata'!$M25,0,-D33/'2. Kalkyldata'!$P$16)</f>
        <v>0</v>
      </c>
      <c r="E43" s="619">
        <f>IF(E$29&lt;'2. Kalkyldata'!$M25,0,-E33/'2. Kalkyldata'!$P$16)</f>
        <v>0</v>
      </c>
      <c r="F43" s="619">
        <f>IF(F$29&lt;'2. Kalkyldata'!$M25,0,-F33/'2. Kalkyldata'!$P$16)</f>
        <v>0</v>
      </c>
      <c r="G43" s="619">
        <f>IF(G$29&lt;'2. Kalkyldata'!$M25,0,-G33/'2. Kalkyldata'!$P$16)</f>
        <v>0</v>
      </c>
      <c r="H43" s="619">
        <f>IF(H$29&lt;'2. Kalkyldata'!$M25,0,-H33/'2. Kalkyldata'!$P$16)</f>
        <v>0</v>
      </c>
      <c r="I43" s="619">
        <f>IF(I$29&lt;'2. Kalkyldata'!$M25,0,-I33/'2. Kalkyldata'!$P$16)</f>
        <v>0</v>
      </c>
      <c r="J43" s="619">
        <f>IF(J$29&lt;'2. Kalkyldata'!$M25,0,-J33/'2. Kalkyldata'!$P$16)</f>
        <v>0</v>
      </c>
      <c r="K43" s="619">
        <f>IF(K$29&lt;'2. Kalkyldata'!$M25,0,-K33/'2. Kalkyldata'!$P$16)</f>
        <v>0</v>
      </c>
      <c r="L43" s="619">
        <f>IF(L$29&lt;'2. Kalkyldata'!$M25,0,-L33/'2. Kalkyldata'!$P$16)</f>
        <v>0</v>
      </c>
      <c r="M43" s="619">
        <f>IF(M$29&lt;'2. Kalkyldata'!$M25,0,-M33/'2. Kalkyldata'!$P$16)</f>
        <v>0</v>
      </c>
      <c r="N43" s="619">
        <f>IF(N$29&lt;'2. Kalkyldata'!$M25,0,-N33/'2. Kalkyldata'!$P$16)</f>
        <v>0</v>
      </c>
      <c r="O43" s="619">
        <f>IF(O$29&lt;'2. Kalkyldata'!$M25,0,-O33/'2. Kalkyldata'!$P$16)</f>
        <v>0</v>
      </c>
      <c r="P43" s="619">
        <f>IF(P$29&lt;'2. Kalkyldata'!$M25,0,-P33/'2. Kalkyldata'!$P$16)</f>
        <v>0</v>
      </c>
      <c r="Q43" s="619">
        <f>IF(Q$29&lt;'2. Kalkyldata'!$M25,0,-Q33/'2. Kalkyldata'!$P$16)</f>
        <v>0</v>
      </c>
      <c r="R43" s="619">
        <f>IF(R$29&lt;'2. Kalkyldata'!$M25,0,-R33/'2. Kalkyldata'!$P$16)</f>
        <v>0</v>
      </c>
      <c r="S43" s="619">
        <f>IF(S$29&lt;'2. Kalkyldata'!$M25,0,-S33/'2. Kalkyldata'!$P$16)</f>
        <v>0</v>
      </c>
      <c r="T43" s="619">
        <f>IF(T$29&lt;'2. Kalkyldata'!$M25,0,-T33/'2. Kalkyldata'!$P$16)</f>
        <v>0</v>
      </c>
      <c r="U43" s="619">
        <f>IF(U$29&lt;'2. Kalkyldata'!$M25,0,-U33/'2. Kalkyldata'!$P$16)</f>
        <v>0</v>
      </c>
      <c r="V43" s="619">
        <f>IF(V$29&lt;'2. Kalkyldata'!$M25,0,-V33/'2. Kalkyldata'!$P$16)</f>
        <v>0</v>
      </c>
      <c r="W43" s="619">
        <f>IF(W$29&lt;'2. Kalkyldata'!$M25,0,-W33/'2. Kalkyldata'!$P$16)</f>
        <v>0</v>
      </c>
      <c r="X43" s="619">
        <f>IF(X$29&lt;'2. Kalkyldata'!$M25,0,-X33/'2. Kalkyldata'!$P$16)</f>
        <v>0</v>
      </c>
      <c r="Y43" s="619">
        <f>IF(Y$29&lt;'2. Kalkyldata'!$M25,0,-Y33/'2. Kalkyldata'!$P$16)</f>
        <v>0</v>
      </c>
      <c r="Z43" s="619">
        <f>IF(Z$29&lt;'2. Kalkyldata'!$M25,0,-Z33/'2. Kalkyldata'!$P$16)</f>
        <v>0</v>
      </c>
      <c r="AA43" s="619">
        <f>IF(AA$29&lt;'2. Kalkyldata'!$M25,0,-AA33/'2. Kalkyldata'!$P$16)</f>
        <v>0</v>
      </c>
      <c r="AB43" s="619">
        <f>IF(AB$29&lt;'2. Kalkyldata'!$M25,0,-AB33/'2. Kalkyldata'!$P$16)</f>
        <v>0</v>
      </c>
      <c r="AC43" s="619">
        <f>IF(AC$29&lt;'2. Kalkyldata'!$M25,0,-AC33/'2. Kalkyldata'!$P$16)</f>
        <v>0</v>
      </c>
      <c r="AD43" s="619">
        <f>IF(AD$29&lt;'2. Kalkyldata'!$M25,0,-AD33/'2. Kalkyldata'!$P$16)</f>
        <v>0</v>
      </c>
      <c r="AE43" s="619">
        <f>IF(AE$29&lt;'2. Kalkyldata'!$M25,0,-AE33/'2. Kalkyldata'!$P$16)</f>
        <v>0</v>
      </c>
      <c r="AF43" s="619">
        <f>IF(AF$29&lt;'2. Kalkyldata'!$M25,0,-AF33/'2. Kalkyldata'!$P$16)</f>
        <v>0</v>
      </c>
      <c r="AG43" s="619">
        <f>IF(AG$29&lt;'2. Kalkyldata'!$M25,0,-AG33/'2. Kalkyldata'!$P$16)</f>
        <v>0</v>
      </c>
      <c r="AH43" s="619">
        <f>IF(AH$29&lt;'2. Kalkyldata'!$M25,0,-AH33/'2. Kalkyldata'!$P$16)</f>
        <v>0</v>
      </c>
      <c r="AI43" s="619">
        <f>IF(AI$29&lt;'2. Kalkyldata'!$M25,0,-AI33/'2. Kalkyldata'!$P$16)</f>
        <v>0</v>
      </c>
      <c r="AJ43" s="619">
        <f>IF(AJ$29&lt;'2. Kalkyldata'!$M25,0,-AJ33/'2. Kalkyldata'!$P$16)</f>
        <v>0</v>
      </c>
      <c r="AK43" s="619">
        <f>IF(AK$29&lt;'2. Kalkyldata'!$M25,0,-AK33/'2. Kalkyldata'!$P$16)</f>
        <v>0</v>
      </c>
      <c r="AL43" s="619">
        <f>IF(AL$29&lt;'2. Kalkyldata'!$M25,0,-AL33/'2. Kalkyldata'!$P$16)</f>
        <v>0</v>
      </c>
      <c r="AM43" s="619">
        <f>IF(AM$29&lt;'2. Kalkyldata'!$M25,0,-AM33/'2. Kalkyldata'!$P$16)</f>
        <v>0</v>
      </c>
      <c r="AN43" s="619">
        <f>IF(AN$29&lt;'2. Kalkyldata'!$M25,0,-AN33/'2. Kalkyldata'!$P$16)</f>
        <v>0</v>
      </c>
      <c r="AO43" s="619">
        <f>IF(AO$29&lt;'2. Kalkyldata'!$M25,0,-AO33/'2. Kalkyldata'!$P$16)</f>
        <v>0</v>
      </c>
      <c r="AP43" s="619">
        <f>IF(AP$29&lt;'2. Kalkyldata'!$M25,0,-AP33/'2. Kalkyldata'!$P$16)</f>
        <v>0</v>
      </c>
      <c r="AQ43" s="619">
        <f>IF(AQ$29&lt;'2. Kalkyldata'!$M25,0,-AQ33/'2. Kalkyldata'!$P$16)</f>
        <v>0</v>
      </c>
      <c r="AR43" s="619">
        <f>IF(AR$29&lt;'2. Kalkyldata'!$M25,0,-AR33/'2. Kalkyldata'!$P$16)</f>
        <v>0</v>
      </c>
      <c r="AS43" s="619">
        <f>IF(AS$29&lt;'2. Kalkyldata'!$M25,0,-AS33/'2. Kalkyldata'!$P$16)</f>
        <v>0</v>
      </c>
      <c r="AT43" s="619">
        <f>IF(AT$29&lt;'2. Kalkyldata'!$M25,0,-AT33/'2. Kalkyldata'!$P$16)</f>
        <v>0</v>
      </c>
      <c r="AU43" s="619">
        <f>IF(AU$29&lt;'2. Kalkyldata'!$M25,0,-AU33/'2. Kalkyldata'!$P$16)</f>
        <v>0</v>
      </c>
      <c r="AV43" s="619">
        <f>IF(AV$29&lt;'2. Kalkyldata'!$M25,0,-AV33/'2. Kalkyldata'!$P$16)</f>
        <v>0</v>
      </c>
      <c r="AW43" s="619">
        <f>IF(AW$29&lt;'2. Kalkyldata'!$M25,0,-AW33/'2. Kalkyldata'!$P$16)</f>
        <v>0</v>
      </c>
      <c r="AX43" s="619">
        <f>IF(AX$29&lt;'2. Kalkyldata'!$M25,0,-AX33/'2. Kalkyldata'!$P$16)</f>
        <v>0</v>
      </c>
      <c r="AY43" s="619">
        <f>IF(AY$29&lt;'2. Kalkyldata'!$M25,0,-AY33/'2. Kalkyldata'!$P$16)</f>
        <v>0</v>
      </c>
      <c r="AZ43" s="619">
        <f>IF(AZ$29&lt;'2. Kalkyldata'!$M25,0,-AZ33/'2. Kalkyldata'!$P$16)</f>
        <v>0</v>
      </c>
      <c r="BA43" s="619">
        <f>IF(BA$29&lt;'2. Kalkyldata'!$M25,0,-BA33/'2. Kalkyldata'!$P$16)</f>
        <v>0</v>
      </c>
      <c r="BB43" s="506"/>
      <c r="BC43" s="525"/>
      <c r="BD43" s="525"/>
      <c r="BE43" s="525"/>
      <c r="BF43" s="525"/>
      <c r="BG43" s="525"/>
      <c r="BH43" s="525"/>
      <c r="BI43" s="525"/>
    </row>
    <row r="44" spans="1:61" hidden="1" outlineLevel="1">
      <c r="A44" s="506"/>
      <c r="B44" s="328">
        <f>B34</f>
        <v>0</v>
      </c>
      <c r="C44" s="506"/>
      <c r="D44" s="619">
        <f>IF(D$29&lt;'2. Kalkyldata'!$M26,0,-D34/'2. Kalkyldata'!$P$16)</f>
        <v>0</v>
      </c>
      <c r="E44" s="619">
        <f>IF(E$29&lt;'2. Kalkyldata'!$M26,0,-E34/'2. Kalkyldata'!$P$16)</f>
        <v>0</v>
      </c>
      <c r="F44" s="619">
        <f>IF(F$29&lt;'2. Kalkyldata'!$M26,0,-F34/'2. Kalkyldata'!$P$16)</f>
        <v>0</v>
      </c>
      <c r="G44" s="619">
        <f>IF(G$29&lt;'2. Kalkyldata'!$M26,0,-G34/'2. Kalkyldata'!$P$16)</f>
        <v>0</v>
      </c>
      <c r="H44" s="619">
        <f>IF(H$29&lt;'2. Kalkyldata'!$M26,0,-H34/'2. Kalkyldata'!$P$16)</f>
        <v>0</v>
      </c>
      <c r="I44" s="619">
        <f>IF(I$29&lt;'2. Kalkyldata'!$M26,0,-I34/'2. Kalkyldata'!$P$16)</f>
        <v>0</v>
      </c>
      <c r="J44" s="619">
        <f>IF(J$29&lt;'2. Kalkyldata'!$M26,0,-J34/'2. Kalkyldata'!$P$16)</f>
        <v>0</v>
      </c>
      <c r="K44" s="619">
        <f>IF(K$29&lt;'2. Kalkyldata'!$M26,0,-K34/'2. Kalkyldata'!$P$16)</f>
        <v>0</v>
      </c>
      <c r="L44" s="619">
        <f>IF(L$29&lt;'2. Kalkyldata'!$M26,0,-L34/'2. Kalkyldata'!$P$16)</f>
        <v>0</v>
      </c>
      <c r="M44" s="619">
        <f>IF(M$29&lt;'2. Kalkyldata'!$M26,0,-M34/'2. Kalkyldata'!$P$16)</f>
        <v>0</v>
      </c>
      <c r="N44" s="619">
        <f>IF(N$29&lt;'2. Kalkyldata'!$M26,0,-N34/'2. Kalkyldata'!$P$16)</f>
        <v>0</v>
      </c>
      <c r="O44" s="619">
        <f>IF(O$29&lt;'2. Kalkyldata'!$M26,0,-O34/'2. Kalkyldata'!$P$16)</f>
        <v>0</v>
      </c>
      <c r="P44" s="619">
        <f>IF(P$29&lt;'2. Kalkyldata'!$M26,0,-P34/'2. Kalkyldata'!$P$16)</f>
        <v>0</v>
      </c>
      <c r="Q44" s="619">
        <f>IF(Q$29&lt;'2. Kalkyldata'!$M26,0,-Q34/'2. Kalkyldata'!$P$16)</f>
        <v>0</v>
      </c>
      <c r="R44" s="619">
        <f>IF(R$29&lt;'2. Kalkyldata'!$M26,0,-R34/'2. Kalkyldata'!$P$16)</f>
        <v>0</v>
      </c>
      <c r="S44" s="619">
        <f>IF(S$29&lt;'2. Kalkyldata'!$M26,0,-S34/'2. Kalkyldata'!$P$16)</f>
        <v>0</v>
      </c>
      <c r="T44" s="619">
        <f>IF(T$29&lt;'2. Kalkyldata'!$M26,0,-T34/'2. Kalkyldata'!$P$16)</f>
        <v>0</v>
      </c>
      <c r="U44" s="619">
        <f>IF(U$29&lt;'2. Kalkyldata'!$M26,0,-U34/'2. Kalkyldata'!$P$16)</f>
        <v>0</v>
      </c>
      <c r="V44" s="619">
        <f>IF(V$29&lt;'2. Kalkyldata'!$M26,0,-V34/'2. Kalkyldata'!$P$16)</f>
        <v>0</v>
      </c>
      <c r="W44" s="619">
        <f>IF(W$29&lt;'2. Kalkyldata'!$M26,0,-W34/'2. Kalkyldata'!$P$16)</f>
        <v>0</v>
      </c>
      <c r="X44" s="619">
        <f>IF(X$29&lt;'2. Kalkyldata'!$M26,0,-X34/'2. Kalkyldata'!$P$16)</f>
        <v>0</v>
      </c>
      <c r="Y44" s="619">
        <f>IF(Y$29&lt;'2. Kalkyldata'!$M26,0,-Y34/'2. Kalkyldata'!$P$16)</f>
        <v>0</v>
      </c>
      <c r="Z44" s="619">
        <f>IF(Z$29&lt;'2. Kalkyldata'!$M26,0,-Z34/'2. Kalkyldata'!$P$16)</f>
        <v>0</v>
      </c>
      <c r="AA44" s="619">
        <f>IF(AA$29&lt;'2. Kalkyldata'!$M26,0,-AA34/'2. Kalkyldata'!$P$16)</f>
        <v>0</v>
      </c>
      <c r="AB44" s="619">
        <f>IF(AB$29&lt;'2. Kalkyldata'!$M26,0,-AB34/'2. Kalkyldata'!$P$16)</f>
        <v>0</v>
      </c>
      <c r="AC44" s="619">
        <f>IF(AC$29&lt;'2. Kalkyldata'!$M26,0,-AC34/'2. Kalkyldata'!$P$16)</f>
        <v>0</v>
      </c>
      <c r="AD44" s="619">
        <f>IF(AD$29&lt;'2. Kalkyldata'!$M26,0,-AD34/'2. Kalkyldata'!$P$16)</f>
        <v>0</v>
      </c>
      <c r="AE44" s="619">
        <f>IF(AE$29&lt;'2. Kalkyldata'!$M26,0,-AE34/'2. Kalkyldata'!$P$16)</f>
        <v>0</v>
      </c>
      <c r="AF44" s="619">
        <f>IF(AF$29&lt;'2. Kalkyldata'!$M26,0,-AF34/'2. Kalkyldata'!$P$16)</f>
        <v>0</v>
      </c>
      <c r="AG44" s="619">
        <f>IF(AG$29&lt;'2. Kalkyldata'!$M26,0,-AG34/'2. Kalkyldata'!$P$16)</f>
        <v>0</v>
      </c>
      <c r="AH44" s="619">
        <f>IF(AH$29&lt;'2. Kalkyldata'!$M26,0,-AH34/'2. Kalkyldata'!$P$16)</f>
        <v>0</v>
      </c>
      <c r="AI44" s="619">
        <f>IF(AI$29&lt;'2. Kalkyldata'!$M26,0,-AI34/'2. Kalkyldata'!$P$16)</f>
        <v>0</v>
      </c>
      <c r="AJ44" s="619">
        <f>IF(AJ$29&lt;'2. Kalkyldata'!$M26,0,-AJ34/'2. Kalkyldata'!$P$16)</f>
        <v>0</v>
      </c>
      <c r="AK44" s="619">
        <f>IF(AK$29&lt;'2. Kalkyldata'!$M26,0,-AK34/'2. Kalkyldata'!$P$16)</f>
        <v>0</v>
      </c>
      <c r="AL44" s="619">
        <f>IF(AL$29&lt;'2. Kalkyldata'!$M26,0,-AL34/'2. Kalkyldata'!$P$16)</f>
        <v>0</v>
      </c>
      <c r="AM44" s="619">
        <f>IF(AM$29&lt;'2. Kalkyldata'!$M26,0,-AM34/'2. Kalkyldata'!$P$16)</f>
        <v>0</v>
      </c>
      <c r="AN44" s="619">
        <f>IF(AN$29&lt;'2. Kalkyldata'!$M26,0,-AN34/'2. Kalkyldata'!$P$16)</f>
        <v>0</v>
      </c>
      <c r="AO44" s="619">
        <f>IF(AO$29&lt;'2. Kalkyldata'!$M26,0,-AO34/'2. Kalkyldata'!$P$16)</f>
        <v>0</v>
      </c>
      <c r="AP44" s="619">
        <f>IF(AP$29&lt;'2. Kalkyldata'!$M26,0,-AP34/'2. Kalkyldata'!$P$16)</f>
        <v>0</v>
      </c>
      <c r="AQ44" s="619">
        <f>IF(AQ$29&lt;'2. Kalkyldata'!$M26,0,-AQ34/'2. Kalkyldata'!$P$16)</f>
        <v>0</v>
      </c>
      <c r="AR44" s="619">
        <f>IF(AR$29&lt;'2. Kalkyldata'!$M26,0,-AR34/'2. Kalkyldata'!$P$16)</f>
        <v>0</v>
      </c>
      <c r="AS44" s="619">
        <f>IF(AS$29&lt;'2. Kalkyldata'!$M26,0,-AS34/'2. Kalkyldata'!$P$16)</f>
        <v>0</v>
      </c>
      <c r="AT44" s="619">
        <f>IF(AT$29&lt;'2. Kalkyldata'!$M26,0,-AT34/'2. Kalkyldata'!$P$16)</f>
        <v>0</v>
      </c>
      <c r="AU44" s="619">
        <f>IF(AU$29&lt;'2. Kalkyldata'!$M26,0,-AU34/'2. Kalkyldata'!$P$16)</f>
        <v>0</v>
      </c>
      <c r="AV44" s="619">
        <f>IF(AV$29&lt;'2. Kalkyldata'!$M26,0,-AV34/'2. Kalkyldata'!$P$16)</f>
        <v>0</v>
      </c>
      <c r="AW44" s="619">
        <f>IF(AW$29&lt;'2. Kalkyldata'!$M26,0,-AW34/'2. Kalkyldata'!$P$16)</f>
        <v>0</v>
      </c>
      <c r="AX44" s="619">
        <f>IF(AX$29&lt;'2. Kalkyldata'!$M26,0,-AX34/'2. Kalkyldata'!$P$16)</f>
        <v>0</v>
      </c>
      <c r="AY44" s="619">
        <f>IF(AY$29&lt;'2. Kalkyldata'!$M26,0,-AY34/'2. Kalkyldata'!$P$16)</f>
        <v>0</v>
      </c>
      <c r="AZ44" s="619">
        <f>IF(AZ$29&lt;'2. Kalkyldata'!$M26,0,-AZ34/'2. Kalkyldata'!$P$16)</f>
        <v>0</v>
      </c>
      <c r="BA44" s="619">
        <f>IF(BA$29&lt;'2. Kalkyldata'!$M26,0,-BA34/'2. Kalkyldata'!$P$16)</f>
        <v>0</v>
      </c>
      <c r="BB44" s="506"/>
      <c r="BC44" s="525"/>
      <c r="BD44" s="525"/>
      <c r="BE44" s="525"/>
      <c r="BF44" s="525"/>
      <c r="BG44" s="525"/>
      <c r="BH44" s="525"/>
      <c r="BI44" s="525"/>
    </row>
    <row r="45" spans="1:61" hidden="1" outlineLevel="1">
      <c r="A45" s="506"/>
      <c r="B45" s="328">
        <f>B35</f>
        <v>0</v>
      </c>
      <c r="C45" s="619"/>
      <c r="D45" s="619">
        <f>IF(D$29&lt;'2. Kalkyldata'!$M27,0,-D35/'2. Kalkyldata'!$P$16)</f>
        <v>0</v>
      </c>
      <c r="E45" s="619">
        <f>IF(E$29&lt;'2. Kalkyldata'!$M27,0,-E35/'2. Kalkyldata'!$P$16)</f>
        <v>0</v>
      </c>
      <c r="F45" s="619">
        <f>IF(F$29&lt;'2. Kalkyldata'!$M27,0,-F35/'2. Kalkyldata'!$P$16)</f>
        <v>0</v>
      </c>
      <c r="G45" s="619">
        <f>IF(G$29&lt;'2. Kalkyldata'!$M27,0,-G35/'2. Kalkyldata'!$P$16)</f>
        <v>0</v>
      </c>
      <c r="H45" s="619">
        <f>IF(H$29&lt;'2. Kalkyldata'!$M27,0,-H35/'2. Kalkyldata'!$P$16)</f>
        <v>0</v>
      </c>
      <c r="I45" s="619">
        <f>IF(I$29&lt;'2. Kalkyldata'!$M27,0,-I35/'2. Kalkyldata'!$P$16)</f>
        <v>0</v>
      </c>
      <c r="J45" s="619">
        <f>IF(J$29&lt;'2. Kalkyldata'!$M27,0,-J35/'2. Kalkyldata'!$P$16)</f>
        <v>0</v>
      </c>
      <c r="K45" s="619">
        <f>IF(K$29&lt;'2. Kalkyldata'!$M27,0,-K35/'2. Kalkyldata'!$P$16)</f>
        <v>0</v>
      </c>
      <c r="L45" s="619">
        <f>IF(L$29&lt;'2. Kalkyldata'!$M27,0,-L35/'2. Kalkyldata'!$P$16)</f>
        <v>0</v>
      </c>
      <c r="M45" s="619">
        <f>IF(M$29&lt;'2. Kalkyldata'!$M27,0,-M35/'2. Kalkyldata'!$P$16)</f>
        <v>0</v>
      </c>
      <c r="N45" s="619">
        <f>IF(N$29&lt;'2. Kalkyldata'!$M27,0,-N35/'2. Kalkyldata'!$P$16)</f>
        <v>0</v>
      </c>
      <c r="O45" s="619">
        <f>IF(O$29&lt;'2. Kalkyldata'!$M27,0,-O35/'2. Kalkyldata'!$P$16)</f>
        <v>0</v>
      </c>
      <c r="P45" s="619">
        <f>IF(P$29&lt;'2. Kalkyldata'!$M27,0,-P35/'2. Kalkyldata'!$P$16)</f>
        <v>0</v>
      </c>
      <c r="Q45" s="619">
        <f>IF(Q$29&lt;'2. Kalkyldata'!$M27,0,-Q35/'2. Kalkyldata'!$P$16)</f>
        <v>0</v>
      </c>
      <c r="R45" s="619">
        <f>IF(R$29&lt;'2. Kalkyldata'!$M27,0,-R35/'2. Kalkyldata'!$P$16)</f>
        <v>0</v>
      </c>
      <c r="S45" s="619">
        <f>IF(S$29&lt;'2. Kalkyldata'!$M27,0,-S35/'2. Kalkyldata'!$P$16)</f>
        <v>0</v>
      </c>
      <c r="T45" s="619">
        <f>IF(T$29&lt;'2. Kalkyldata'!$M27,0,-T35/'2. Kalkyldata'!$P$16)</f>
        <v>0</v>
      </c>
      <c r="U45" s="619">
        <f>IF(U$29&lt;'2. Kalkyldata'!$M27,0,-U35/'2. Kalkyldata'!$P$16)</f>
        <v>0</v>
      </c>
      <c r="V45" s="619">
        <f>IF(V$29&lt;'2. Kalkyldata'!$M27,0,-V35/'2. Kalkyldata'!$P$16)</f>
        <v>0</v>
      </c>
      <c r="W45" s="619">
        <f>IF(W$29&lt;'2. Kalkyldata'!$M27,0,-W35/'2. Kalkyldata'!$P$16)</f>
        <v>0</v>
      </c>
      <c r="X45" s="619">
        <f>IF(X$29&lt;'2. Kalkyldata'!$M27,0,-X35/'2. Kalkyldata'!$P$16)</f>
        <v>0</v>
      </c>
      <c r="Y45" s="619">
        <f>IF(Y$29&lt;'2. Kalkyldata'!$M27,0,-Y35/'2. Kalkyldata'!$P$16)</f>
        <v>0</v>
      </c>
      <c r="Z45" s="619">
        <f>IF(Z$29&lt;'2. Kalkyldata'!$M27,0,-Z35/'2. Kalkyldata'!$P$16)</f>
        <v>0</v>
      </c>
      <c r="AA45" s="619">
        <f>IF(AA$29&lt;'2. Kalkyldata'!$M27,0,-AA35/'2. Kalkyldata'!$P$16)</f>
        <v>0</v>
      </c>
      <c r="AB45" s="619">
        <f>IF(AB$29&lt;'2. Kalkyldata'!$M27,0,-AB35/'2. Kalkyldata'!$P$16)</f>
        <v>0</v>
      </c>
      <c r="AC45" s="619">
        <f>IF(AC$29&lt;'2. Kalkyldata'!$M27,0,-AC35/'2. Kalkyldata'!$P$16)</f>
        <v>0</v>
      </c>
      <c r="AD45" s="619">
        <f>IF(AD$29&lt;'2. Kalkyldata'!$M27,0,-AD35/'2. Kalkyldata'!$P$16)</f>
        <v>0</v>
      </c>
      <c r="AE45" s="619">
        <f>IF(AE$29&lt;'2. Kalkyldata'!$M27,0,-AE35/'2. Kalkyldata'!$P$16)</f>
        <v>0</v>
      </c>
      <c r="AF45" s="619">
        <f>IF(AF$29&lt;'2. Kalkyldata'!$M27,0,-AF35/'2. Kalkyldata'!$P$16)</f>
        <v>0</v>
      </c>
      <c r="AG45" s="619">
        <f>IF(AG$29&lt;'2. Kalkyldata'!$M27,0,-AG35/'2. Kalkyldata'!$P$16)</f>
        <v>0</v>
      </c>
      <c r="AH45" s="619">
        <f>IF(AH$29&lt;'2. Kalkyldata'!$M27,0,-AH35/'2. Kalkyldata'!$P$16)</f>
        <v>0</v>
      </c>
      <c r="AI45" s="619">
        <f>IF(AI$29&lt;'2. Kalkyldata'!$M27,0,-AI35/'2. Kalkyldata'!$P$16)</f>
        <v>0</v>
      </c>
      <c r="AJ45" s="619">
        <f>IF(AJ$29&lt;'2. Kalkyldata'!$M27,0,-AJ35/'2. Kalkyldata'!$P$16)</f>
        <v>0</v>
      </c>
      <c r="AK45" s="619">
        <f>IF(AK$29&lt;'2. Kalkyldata'!$M27,0,-AK35/'2. Kalkyldata'!$P$16)</f>
        <v>0</v>
      </c>
      <c r="AL45" s="619">
        <f>IF(AL$29&lt;'2. Kalkyldata'!$M27,0,-AL35/'2. Kalkyldata'!$P$16)</f>
        <v>0</v>
      </c>
      <c r="AM45" s="619">
        <f>IF(AM$29&lt;'2. Kalkyldata'!$M27,0,-AM35/'2. Kalkyldata'!$P$16)</f>
        <v>0</v>
      </c>
      <c r="AN45" s="619">
        <f>IF(AN$29&lt;'2. Kalkyldata'!$M27,0,-AN35/'2. Kalkyldata'!$P$16)</f>
        <v>0</v>
      </c>
      <c r="AO45" s="619">
        <f>IF(AO$29&lt;'2. Kalkyldata'!$M27,0,-AO35/'2. Kalkyldata'!$P$16)</f>
        <v>0</v>
      </c>
      <c r="AP45" s="619">
        <f>IF(AP$29&lt;'2. Kalkyldata'!$M27,0,-AP35/'2. Kalkyldata'!$P$16)</f>
        <v>0</v>
      </c>
      <c r="AQ45" s="619">
        <f>IF(AQ$29&lt;'2. Kalkyldata'!$M27,0,-AQ35/'2. Kalkyldata'!$P$16)</f>
        <v>0</v>
      </c>
      <c r="AR45" s="619">
        <f>IF(AR$29&lt;'2. Kalkyldata'!$M27,0,-AR35/'2. Kalkyldata'!$P$16)</f>
        <v>0</v>
      </c>
      <c r="AS45" s="619">
        <f>IF(AS$29&lt;'2. Kalkyldata'!$M27,0,-AS35/'2. Kalkyldata'!$P$16)</f>
        <v>0</v>
      </c>
      <c r="AT45" s="619">
        <f>IF(AT$29&lt;'2. Kalkyldata'!$M27,0,-AT35/'2. Kalkyldata'!$P$16)</f>
        <v>0</v>
      </c>
      <c r="AU45" s="619">
        <f>IF(AU$29&lt;'2. Kalkyldata'!$M27,0,-AU35/'2. Kalkyldata'!$P$16)</f>
        <v>0</v>
      </c>
      <c r="AV45" s="619">
        <f>IF(AV$29&lt;'2. Kalkyldata'!$M27,0,-AV35/'2. Kalkyldata'!$P$16)</f>
        <v>0</v>
      </c>
      <c r="AW45" s="619">
        <f>IF(AW$29&lt;'2. Kalkyldata'!$M27,0,-AW35/'2. Kalkyldata'!$P$16)</f>
        <v>0</v>
      </c>
      <c r="AX45" s="619">
        <f>IF(AX$29&lt;'2. Kalkyldata'!$M27,0,-AX35/'2. Kalkyldata'!$P$16)</f>
        <v>0</v>
      </c>
      <c r="AY45" s="619">
        <f>IF(AY$29&lt;'2. Kalkyldata'!$M27,0,-AY35/'2. Kalkyldata'!$P$16)</f>
        <v>0</v>
      </c>
      <c r="AZ45" s="619">
        <f>IF(AZ$29&lt;'2. Kalkyldata'!$M27,0,-AZ35/'2. Kalkyldata'!$P$16)</f>
        <v>0</v>
      </c>
      <c r="BA45" s="619">
        <f>IF(BA$29&lt;'2. Kalkyldata'!$M27,0,-BA35/'2. Kalkyldata'!$P$16)</f>
        <v>0</v>
      </c>
      <c r="BB45" s="506"/>
      <c r="BC45" s="525"/>
      <c r="BD45" s="525"/>
      <c r="BE45" s="525"/>
      <c r="BF45" s="525"/>
      <c r="BG45" s="525"/>
      <c r="BH45" s="525"/>
      <c r="BI45" s="525"/>
    </row>
    <row r="46" spans="1:61" hidden="1" outlineLevel="1">
      <c r="A46" s="506"/>
      <c r="B46" s="328" t="s">
        <v>219</v>
      </c>
      <c r="C46" s="619"/>
      <c r="D46" s="619">
        <f>IF(D$29&lt;'2. Kalkyldata'!$M28,0,-D36/'2. Kalkyldata'!$P$16)</f>
        <v>0</v>
      </c>
      <c r="E46" s="619">
        <f>IF(E$29&lt;'2. Kalkyldata'!$M28,0,-E36/'2. Kalkyldata'!$P$16)</f>
        <v>0</v>
      </c>
      <c r="F46" s="619">
        <f>IF(F$29&lt;'2. Kalkyldata'!$M28,0,-F36/'2. Kalkyldata'!$P$16)</f>
        <v>0</v>
      </c>
      <c r="G46" s="619">
        <f>IF(G$29&lt;'2. Kalkyldata'!$M28,0,-G36/'2. Kalkyldata'!$P$16)</f>
        <v>0</v>
      </c>
      <c r="H46" s="619">
        <f>IF(H$29&lt;'2. Kalkyldata'!$M28,0,-H36/'2. Kalkyldata'!$P$16)</f>
        <v>0</v>
      </c>
      <c r="I46" s="619">
        <f>IF(I$29&lt;'2. Kalkyldata'!$M28,0,-I36/'2. Kalkyldata'!$P$16)</f>
        <v>0</v>
      </c>
      <c r="J46" s="619">
        <f>IF(J$29&lt;'2. Kalkyldata'!$M28,0,-J36/'2. Kalkyldata'!$P$16)</f>
        <v>0</v>
      </c>
      <c r="K46" s="619">
        <f>IF(K$29&lt;'2. Kalkyldata'!$M28,0,-K36/'2. Kalkyldata'!$P$16)</f>
        <v>0</v>
      </c>
      <c r="L46" s="619">
        <f>IF(L$29&lt;'2. Kalkyldata'!$M28,0,-L36/'2. Kalkyldata'!$P$16)</f>
        <v>0</v>
      </c>
      <c r="M46" s="619">
        <f>IF(M$29&lt;'2. Kalkyldata'!$M28,0,-M36/'2. Kalkyldata'!$P$16)</f>
        <v>0</v>
      </c>
      <c r="N46" s="619">
        <f>IF(N$29&lt;'2. Kalkyldata'!$M28,0,-N36/'2. Kalkyldata'!$P$16)</f>
        <v>0</v>
      </c>
      <c r="O46" s="619">
        <f>IF(O$29&lt;'2. Kalkyldata'!$M28,0,-O36/'2. Kalkyldata'!$P$16)</f>
        <v>0</v>
      </c>
      <c r="P46" s="619">
        <f>IF(P$29&lt;'2. Kalkyldata'!$M28,0,-P36/'2. Kalkyldata'!$P$16)</f>
        <v>0</v>
      </c>
      <c r="Q46" s="619">
        <f>IF(Q$29&lt;'2. Kalkyldata'!$M28,0,-Q36/'2. Kalkyldata'!$P$16)</f>
        <v>0</v>
      </c>
      <c r="R46" s="619">
        <f>IF(R$29&lt;'2. Kalkyldata'!$M28,0,-R36/'2. Kalkyldata'!$P$16)</f>
        <v>0</v>
      </c>
      <c r="S46" s="619">
        <f>IF(S$29&lt;'2. Kalkyldata'!$M28,0,-S36/'2. Kalkyldata'!$P$16)</f>
        <v>0</v>
      </c>
      <c r="T46" s="619">
        <f>IF(T$29&lt;'2. Kalkyldata'!$M28,0,-T36/'2. Kalkyldata'!$P$16)</f>
        <v>0</v>
      </c>
      <c r="U46" s="619">
        <f>IF(U$29&lt;'2. Kalkyldata'!$M28,0,-U36/'2. Kalkyldata'!$P$16)</f>
        <v>0</v>
      </c>
      <c r="V46" s="619">
        <f>IF(V$29&lt;'2. Kalkyldata'!$M28,0,-V36/'2. Kalkyldata'!$P$16)</f>
        <v>0</v>
      </c>
      <c r="W46" s="619">
        <f>IF(W$29&lt;'2. Kalkyldata'!$M28,0,-W36/'2. Kalkyldata'!$P$16)</f>
        <v>0</v>
      </c>
      <c r="X46" s="619">
        <f>IF(X$29&lt;'2. Kalkyldata'!$M28,0,-X36/'2. Kalkyldata'!$P$16)</f>
        <v>0</v>
      </c>
      <c r="Y46" s="619">
        <f>IF(Y$29&lt;'2. Kalkyldata'!$M28,0,-Y36/'2. Kalkyldata'!$P$16)</f>
        <v>0</v>
      </c>
      <c r="Z46" s="619">
        <f>IF(Z$29&lt;'2. Kalkyldata'!$M28,0,-Z36/'2. Kalkyldata'!$P$16)</f>
        <v>0</v>
      </c>
      <c r="AA46" s="619">
        <f>IF(AA$29&lt;'2. Kalkyldata'!$M28,0,-AA36/'2. Kalkyldata'!$P$16)</f>
        <v>0</v>
      </c>
      <c r="AB46" s="619">
        <f>IF(AB$29&lt;'2. Kalkyldata'!$M28,0,-AB36/'2. Kalkyldata'!$P$16)</f>
        <v>0</v>
      </c>
      <c r="AC46" s="619">
        <f>IF(AC$29&lt;'2. Kalkyldata'!$M28,0,-AC36/'2. Kalkyldata'!$P$16)</f>
        <v>0</v>
      </c>
      <c r="AD46" s="619">
        <f>IF(AD$29&lt;'2. Kalkyldata'!$M28,0,-AD36/'2. Kalkyldata'!$P$16)</f>
        <v>0</v>
      </c>
      <c r="AE46" s="619">
        <f>IF(AE$29&lt;'2. Kalkyldata'!$M28,0,-AE36/'2. Kalkyldata'!$P$16)</f>
        <v>0</v>
      </c>
      <c r="AF46" s="619">
        <f>IF(AF$29&lt;'2. Kalkyldata'!$M28,0,-AF36/'2. Kalkyldata'!$P$16)</f>
        <v>0</v>
      </c>
      <c r="AG46" s="619">
        <f>IF(AG$29&lt;'2. Kalkyldata'!$M28,0,-AG36/'2. Kalkyldata'!$P$16)</f>
        <v>0</v>
      </c>
      <c r="AH46" s="619">
        <f>IF(AH$29&lt;'2. Kalkyldata'!$M28,0,-AH36/'2. Kalkyldata'!$P$16)</f>
        <v>0</v>
      </c>
      <c r="AI46" s="619">
        <f>IF(AI$29&lt;'2. Kalkyldata'!$M28,0,-AI36/'2. Kalkyldata'!$P$16)</f>
        <v>0</v>
      </c>
      <c r="AJ46" s="619">
        <f>IF(AJ$29&lt;'2. Kalkyldata'!$M28,0,-AJ36/'2. Kalkyldata'!$P$16)</f>
        <v>0</v>
      </c>
      <c r="AK46" s="619">
        <f>IF(AK$29&lt;'2. Kalkyldata'!$M28,0,-AK36/'2. Kalkyldata'!$P$16)</f>
        <v>0</v>
      </c>
      <c r="AL46" s="619">
        <f>IF(AL$29&lt;'2. Kalkyldata'!$M28,0,-AL36/'2. Kalkyldata'!$P$16)</f>
        <v>0</v>
      </c>
      <c r="AM46" s="619">
        <f>IF(AM$29&lt;'2. Kalkyldata'!$M28,0,-AM36/'2. Kalkyldata'!$P$16)</f>
        <v>0</v>
      </c>
      <c r="AN46" s="619">
        <f>IF(AN$29&lt;'2. Kalkyldata'!$M28,0,-AN36/'2. Kalkyldata'!$P$16)</f>
        <v>0</v>
      </c>
      <c r="AO46" s="619">
        <f>IF(AO$29&lt;'2. Kalkyldata'!$M28,0,-AO36/'2. Kalkyldata'!$P$16)</f>
        <v>0</v>
      </c>
      <c r="AP46" s="619">
        <f>IF(AP$29&lt;'2. Kalkyldata'!$M28,0,-AP36/'2. Kalkyldata'!$P$16)</f>
        <v>0</v>
      </c>
      <c r="AQ46" s="619">
        <f>IF(AQ$29&lt;'2. Kalkyldata'!$M28,0,-AQ36/'2. Kalkyldata'!$P$16)</f>
        <v>0</v>
      </c>
      <c r="AR46" s="619">
        <f>IF(AR$29&lt;'2. Kalkyldata'!$M28,0,-AR36/'2. Kalkyldata'!$P$16)</f>
        <v>0</v>
      </c>
      <c r="AS46" s="619">
        <f>IF(AS$29&lt;'2. Kalkyldata'!$M28,0,-AS36/'2. Kalkyldata'!$P$16)</f>
        <v>0</v>
      </c>
      <c r="AT46" s="619">
        <f>IF(AT$29&lt;'2. Kalkyldata'!$M28,0,-AT36/'2. Kalkyldata'!$P$16)</f>
        <v>0</v>
      </c>
      <c r="AU46" s="619">
        <f>IF(AU$29&lt;'2. Kalkyldata'!$M28,0,-AU36/'2. Kalkyldata'!$P$16)</f>
        <v>0</v>
      </c>
      <c r="AV46" s="619">
        <f>IF(AV$29&lt;'2. Kalkyldata'!$M28,0,-AV36/'2. Kalkyldata'!$P$16)</f>
        <v>0</v>
      </c>
      <c r="AW46" s="619">
        <f>IF(AW$29&lt;'2. Kalkyldata'!$M28,0,-AW36/'2. Kalkyldata'!$P$16)</f>
        <v>0</v>
      </c>
      <c r="AX46" s="619">
        <f>IF(AX$29&lt;'2. Kalkyldata'!$M28,0,-AX36/'2. Kalkyldata'!$P$16)</f>
        <v>0</v>
      </c>
      <c r="AY46" s="619">
        <f>IF(AY$29&lt;'2. Kalkyldata'!$M28,0,-AY36/'2. Kalkyldata'!$P$16)</f>
        <v>0</v>
      </c>
      <c r="AZ46" s="619">
        <f>IF(AZ$29&lt;'2. Kalkyldata'!$M28,0,-AZ36/'2. Kalkyldata'!$P$16)</f>
        <v>0</v>
      </c>
      <c r="BA46" s="619">
        <f>IF(BA$29&lt;'2. Kalkyldata'!$M28,0,-BA36/'2. Kalkyldata'!$P$16)</f>
        <v>0</v>
      </c>
      <c r="BB46" s="506"/>
      <c r="BC46" s="525"/>
      <c r="BD46" s="525"/>
      <c r="BE46" s="525"/>
      <c r="BF46" s="525"/>
      <c r="BG46" s="525"/>
      <c r="BH46" s="525"/>
      <c r="BI46" s="525"/>
    </row>
    <row r="47" spans="1:61" ht="15" collapsed="1">
      <c r="A47" s="506"/>
      <c r="B47" s="327" t="str">
        <f>B37</f>
        <v>Totalt</v>
      </c>
      <c r="C47" s="619"/>
      <c r="D47" s="213">
        <f>SUM(D40:D46)</f>
        <v>-7272727.2727272715</v>
      </c>
      <c r="E47" s="213">
        <f t="shared" ref="E47:AI47" si="7">SUM(E40:E46)</f>
        <v>-7272727.2727272715</v>
      </c>
      <c r="F47" s="213">
        <f t="shared" si="7"/>
        <v>-7272727.2727272715</v>
      </c>
      <c r="G47" s="213">
        <f t="shared" si="7"/>
        <v>-7272727.2727272715</v>
      </c>
      <c r="H47" s="213">
        <f t="shared" si="7"/>
        <v>-7272727.2727272715</v>
      </c>
      <c r="I47" s="213">
        <f t="shared" si="7"/>
        <v>-7272727.2727272715</v>
      </c>
      <c r="J47" s="213">
        <f t="shared" si="7"/>
        <v>-7272727.2727272715</v>
      </c>
      <c r="K47" s="213">
        <f t="shared" si="7"/>
        <v>-7272727.2727272715</v>
      </c>
      <c r="L47" s="213">
        <f t="shared" si="7"/>
        <v>-7272727.2727272715</v>
      </c>
      <c r="M47" s="213">
        <f t="shared" si="7"/>
        <v>-7272727.2727272715</v>
      </c>
      <c r="N47" s="213">
        <f t="shared" si="7"/>
        <v>-7272727.2727272715</v>
      </c>
      <c r="O47" s="213">
        <f t="shared" si="7"/>
        <v>-7272727.2727272715</v>
      </c>
      <c r="P47" s="213">
        <f t="shared" si="7"/>
        <v>-7272727.2727272715</v>
      </c>
      <c r="Q47" s="213">
        <f t="shared" si="7"/>
        <v>-7272727.2727272715</v>
      </c>
      <c r="R47" s="213">
        <f t="shared" si="7"/>
        <v>-7272727.2727272715</v>
      </c>
      <c r="S47" s="213">
        <f t="shared" si="7"/>
        <v>-7272727.2727272715</v>
      </c>
      <c r="T47" s="213">
        <f t="shared" si="7"/>
        <v>-7272727.2727272715</v>
      </c>
      <c r="U47" s="213">
        <f t="shared" si="7"/>
        <v>-7272727.2727272715</v>
      </c>
      <c r="V47" s="213">
        <f t="shared" si="7"/>
        <v>-7272727.2727272715</v>
      </c>
      <c r="W47" s="213">
        <f t="shared" si="7"/>
        <v>-7272727.2727272715</v>
      </c>
      <c r="X47" s="213">
        <f t="shared" si="7"/>
        <v>-7272727.2727272715</v>
      </c>
      <c r="Y47" s="213">
        <f t="shared" si="7"/>
        <v>0</v>
      </c>
      <c r="Z47" s="213">
        <f t="shared" si="7"/>
        <v>0</v>
      </c>
      <c r="AA47" s="213">
        <f t="shared" si="7"/>
        <v>0</v>
      </c>
      <c r="AB47" s="213">
        <f t="shared" si="7"/>
        <v>0</v>
      </c>
      <c r="AC47" s="213">
        <f t="shared" si="7"/>
        <v>0</v>
      </c>
      <c r="AD47" s="213">
        <f t="shared" si="7"/>
        <v>0</v>
      </c>
      <c r="AE47" s="213">
        <f t="shared" si="7"/>
        <v>0</v>
      </c>
      <c r="AF47" s="213">
        <f t="shared" si="7"/>
        <v>0</v>
      </c>
      <c r="AG47" s="213">
        <f t="shared" si="7"/>
        <v>0</v>
      </c>
      <c r="AH47" s="213">
        <f t="shared" si="7"/>
        <v>0</v>
      </c>
      <c r="AI47" s="213">
        <f t="shared" si="7"/>
        <v>0</v>
      </c>
      <c r="AJ47" s="213">
        <f>SUM(AJ40:AJ46)</f>
        <v>0</v>
      </c>
      <c r="AK47" s="213">
        <f t="shared" ref="AK47:BA47" si="8">SUM(AK40:AK46)</f>
        <v>0</v>
      </c>
      <c r="AL47" s="213">
        <f t="shared" si="8"/>
        <v>0</v>
      </c>
      <c r="AM47" s="213">
        <f t="shared" si="8"/>
        <v>0</v>
      </c>
      <c r="AN47" s="213">
        <f t="shared" si="8"/>
        <v>0</v>
      </c>
      <c r="AO47" s="213">
        <f t="shared" si="8"/>
        <v>0</v>
      </c>
      <c r="AP47" s="213">
        <f t="shared" si="8"/>
        <v>0</v>
      </c>
      <c r="AQ47" s="213">
        <f t="shared" si="8"/>
        <v>0</v>
      </c>
      <c r="AR47" s="213">
        <f t="shared" si="8"/>
        <v>0</v>
      </c>
      <c r="AS47" s="213">
        <f t="shared" si="8"/>
        <v>0</v>
      </c>
      <c r="AT47" s="213">
        <f t="shared" si="8"/>
        <v>0</v>
      </c>
      <c r="AU47" s="213">
        <f t="shared" si="8"/>
        <v>0</v>
      </c>
      <c r="AV47" s="213">
        <f t="shared" si="8"/>
        <v>0</v>
      </c>
      <c r="AW47" s="213">
        <f t="shared" si="8"/>
        <v>0</v>
      </c>
      <c r="AX47" s="213">
        <f t="shared" si="8"/>
        <v>0</v>
      </c>
      <c r="AY47" s="213">
        <f t="shared" si="8"/>
        <v>0</v>
      </c>
      <c r="AZ47" s="213">
        <f t="shared" si="8"/>
        <v>0</v>
      </c>
      <c r="BA47" s="213">
        <f t="shared" si="8"/>
        <v>0</v>
      </c>
      <c r="BB47" s="506"/>
      <c r="BC47" s="525"/>
      <c r="BD47" s="525"/>
      <c r="BE47" s="525"/>
      <c r="BF47" s="525"/>
      <c r="BG47" s="525"/>
      <c r="BH47" s="525"/>
      <c r="BI47" s="525"/>
    </row>
    <row r="48" spans="1:61">
      <c r="A48" s="506"/>
      <c r="B48" s="525"/>
      <c r="C48" s="619"/>
      <c r="D48" s="619"/>
      <c r="E48" s="619"/>
      <c r="F48" s="619"/>
      <c r="G48" s="619"/>
      <c r="H48" s="619"/>
      <c r="I48" s="619"/>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25"/>
      <c r="BD48" s="525"/>
      <c r="BE48" s="525"/>
      <c r="BF48" s="525"/>
      <c r="BG48" s="525"/>
      <c r="BH48" s="525"/>
      <c r="BI48" s="525"/>
    </row>
    <row r="49" spans="1:54" ht="15">
      <c r="A49" s="506"/>
      <c r="B49" s="327" t="s">
        <v>222</v>
      </c>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506"/>
      <c r="AT49" s="506"/>
      <c r="AU49" s="506"/>
      <c r="AV49" s="506"/>
      <c r="AW49" s="506"/>
      <c r="AX49" s="506"/>
      <c r="AY49" s="506"/>
      <c r="AZ49" s="506"/>
      <c r="BA49" s="506"/>
      <c r="BB49" s="506"/>
    </row>
    <row r="50" spans="1:54" hidden="1" outlineLevel="1">
      <c r="A50" s="506"/>
      <c r="B50" s="328" t="s">
        <v>221</v>
      </c>
      <c r="C50" s="506"/>
      <c r="D50" s="619">
        <f>IF(D30+SUM($D$40:D$40)&lt;0,0,(D$30+SUM($D$40:D$40)))</f>
        <v>0</v>
      </c>
      <c r="E50" s="619">
        <f>IF(E30+SUM($D$40:E$40)&lt;0,0,(E$30+SUM($D$40:E$40)))</f>
        <v>0</v>
      </c>
      <c r="F50" s="619">
        <f>IF(F30+SUM($D$40:F$40)&lt;0,0,(F$30+SUM($D$40:F$40)))</f>
        <v>0</v>
      </c>
      <c r="G50" s="619">
        <f>IF(G30+SUM($D$40:G$40)&lt;0,0,(G$30+SUM($D$40:G$40)))</f>
        <v>0</v>
      </c>
      <c r="H50" s="619">
        <f>IF(H30+SUM($D$40:H$40)&lt;0,0,(H$30+SUM($D$40:H$40)))</f>
        <v>0</v>
      </c>
      <c r="I50" s="619">
        <f>IF(I30+SUM($D$40:I$40)&lt;0,0,(I$30+SUM($D$40:I$40)))</f>
        <v>0</v>
      </c>
      <c r="J50" s="619">
        <f>IF(J30+SUM($D$40:J$40)&lt;0,0,(J$30+SUM($D$40:J$40)))</f>
        <v>0</v>
      </c>
      <c r="K50" s="619">
        <f>IF(K30+SUM($D$40:K$40)&lt;0,0,(K$30+SUM($D$40:K$40)))</f>
        <v>0</v>
      </c>
      <c r="L50" s="619">
        <f>IF(L30+SUM($D$40:L$40)&lt;0,0,(L$30+SUM($D$40:L$40)))</f>
        <v>0</v>
      </c>
      <c r="M50" s="619">
        <f>IF(M30+SUM($D$40:M$40)&lt;0,0,(M$30+SUM($D$40:M$40)))</f>
        <v>0</v>
      </c>
      <c r="N50" s="619">
        <f>IF(N30+SUM($D$40:N$40)&lt;0,0,(N$30+SUM($D$40:N$40)))</f>
        <v>0</v>
      </c>
      <c r="O50" s="619">
        <f>IF(O30+SUM($D$40:O$40)&lt;0,0,(O$30+SUM($D$40:O$40)))</f>
        <v>0</v>
      </c>
      <c r="P50" s="619">
        <f>IF(P30+SUM($D$40:P$40)&lt;0,0,(P$30+SUM($D$40:P$40)))</f>
        <v>0</v>
      </c>
      <c r="Q50" s="619">
        <f>IF(Q30+SUM($D$40:Q$40)&lt;0,0,(Q$30+SUM($D$40:Q$40)))</f>
        <v>0</v>
      </c>
      <c r="R50" s="619">
        <f>IF(R30+SUM($D$40:R$40)&lt;0,0,(R$30+SUM($D$40:R$40)))</f>
        <v>0</v>
      </c>
      <c r="S50" s="619">
        <f>IF(S30+SUM($D$40:S$40)&lt;0,0,(S$30+SUM($D$40:S$40)))</f>
        <v>0</v>
      </c>
      <c r="T50" s="619">
        <f>IF(T30+SUM($D$40:T$40)&lt;0,0,(T$30+SUM($D$40:T$40)))</f>
        <v>0</v>
      </c>
      <c r="U50" s="619">
        <f>IF(U30+SUM($D$40:U$40)&lt;0,0,(U$30+SUM($D$40:U$40)))</f>
        <v>0</v>
      </c>
      <c r="V50" s="619">
        <f>IF(V30+SUM($D$40:V$40)&lt;0,0,(V$30+SUM($D$40:V$40)))</f>
        <v>0</v>
      </c>
      <c r="W50" s="619">
        <f>IF(W30+SUM($D$40:W$40)&lt;0,0,(W$30+SUM($D$40:W$40)))</f>
        <v>0</v>
      </c>
      <c r="X50" s="619">
        <f>IF(X30+SUM($D$40:X$40)&lt;0,0,(X$30+SUM($D$40:X$40)))</f>
        <v>0</v>
      </c>
      <c r="Y50" s="619">
        <f>IF(Y30+SUM($D$40:Y$40)&lt;0,0,(Y$30+SUM($D$40:Y$40)))</f>
        <v>0</v>
      </c>
      <c r="Z50" s="619">
        <f>IF(Z30+SUM($D$40:Z$40)&lt;0,0,(Z$30+SUM($D$40:Z$40)))</f>
        <v>0</v>
      </c>
      <c r="AA50" s="619">
        <f>IF(AA30+SUM($D$40:AA$40)&lt;0,0,(AA$30+SUM($D$40:AA$40)))</f>
        <v>0</v>
      </c>
      <c r="AB50" s="619">
        <f>IF(AB30+SUM($D$40:AB$40)&lt;0,0,(AB$30+SUM($D$40:AB$40)))</f>
        <v>0</v>
      </c>
      <c r="AC50" s="619">
        <f>IF(AC30+SUM($D$40:AC$40)&lt;0,0,(AC$30+SUM($D$40:AC$40)))</f>
        <v>0</v>
      </c>
      <c r="AD50" s="619">
        <f>IF(AD30+SUM($D$40:AD$40)&lt;0,0,(AD$30+SUM($D$40:AD$40)))</f>
        <v>0</v>
      </c>
      <c r="AE50" s="619">
        <f>IF(AE30+SUM($D$40:AE$40)&lt;0,0,(AE$30+SUM($D$40:AE$40)))</f>
        <v>0</v>
      </c>
      <c r="AF50" s="619">
        <f>IF(AF30+SUM($D$40:AF$40)&lt;0,0,(AF$30+SUM($D$40:AF$40)))</f>
        <v>0</v>
      </c>
      <c r="AG50" s="619">
        <f>IF(AG30+SUM($D$40:AG$40)&lt;0,0,(AG$30+SUM($D$40:AG$40)))</f>
        <v>0</v>
      </c>
      <c r="AH50" s="619">
        <f>IF(AH30+SUM($D$40:AH$40)&lt;0,0,(AH$30+SUM($D$40:AH$40)))</f>
        <v>0</v>
      </c>
      <c r="AI50" s="619">
        <f>IF(AI30+SUM($D$40:AI$40)&lt;0,0,(AI$30+SUM($D$40:AI$40)))</f>
        <v>0</v>
      </c>
      <c r="AJ50" s="619">
        <f>IF(AJ30+SUM($D$40:AJ$40)&lt;0,0,(AJ$30+SUM($D$40:AJ$40)))</f>
        <v>0</v>
      </c>
      <c r="AK50" s="619">
        <f>IF(AK30+SUM($D$40:AK$40)&lt;0,0,(AK$30+SUM($D$40:AK$40)))</f>
        <v>0</v>
      </c>
      <c r="AL50" s="619">
        <f>IF(AL30+SUM($D$40:AL$40)&lt;0,0,(AL$30+SUM($D$40:AL$40)))</f>
        <v>0</v>
      </c>
      <c r="AM50" s="619">
        <f>IF(AM30+SUM($D$40:AM$40)&lt;0,0,(AM$30+SUM($D$40:AM$40)))</f>
        <v>0</v>
      </c>
      <c r="AN50" s="619">
        <f>IF(AN30+SUM($D$40:AN$40)&lt;0,0,(AN$30+SUM($D$40:AN$40)))</f>
        <v>0</v>
      </c>
      <c r="AO50" s="619">
        <f>IF(AO30+SUM($D$40:AO$40)&lt;0,0,(AO$30+SUM($D$40:AO$40)))</f>
        <v>0</v>
      </c>
      <c r="AP50" s="619">
        <f>IF(AP30+SUM($D$40:AP$40)&lt;0,0,(AP$30+SUM($D$40:AP$40)))</f>
        <v>0</v>
      </c>
      <c r="AQ50" s="619">
        <f>IF(AQ30+SUM($D$40:AQ$40)&lt;0,0,(AQ$30+SUM($D$40:AQ$40)))</f>
        <v>0</v>
      </c>
      <c r="AR50" s="619">
        <f>IF(AR30+SUM($D$40:AR$40)&lt;0,0,(AR$30+SUM($D$40:AR$40)))</f>
        <v>0</v>
      </c>
      <c r="AS50" s="619">
        <f>IF(AS30+SUM($D$40:AS$40)&lt;0,0,(AS$30+SUM($D$40:AS$40)))</f>
        <v>0</v>
      </c>
      <c r="AT50" s="619">
        <f>IF(AT30+SUM($D$40:AT$40)&lt;0,0,(AT$30+SUM($D$40:AT$40)))</f>
        <v>0</v>
      </c>
      <c r="AU50" s="619">
        <f>IF(AU30+SUM($D$40:AU$40)&lt;0,0,(AU$30+SUM($D$40:AU$40)))</f>
        <v>0</v>
      </c>
      <c r="AV50" s="619">
        <f>IF(AV30+SUM($D$40:AV$40)&lt;0,0,(AV$30+SUM($D$40:AV$40)))</f>
        <v>0</v>
      </c>
      <c r="AW50" s="619">
        <f>IF(AW30+SUM($D$40:AW$40)&lt;0,0,(AW$30+SUM($D$40:AW$40)))</f>
        <v>0</v>
      </c>
      <c r="AX50" s="619">
        <f>IF(AX30+SUM($D$40:AX$40)&lt;0,0,(AX$30+SUM($D$40:AX$40)))</f>
        <v>0</v>
      </c>
      <c r="AY50" s="619">
        <f>IF(AY30+SUM($D$40:AY$40)&lt;0,0,(AY$30+SUM($D$40:AY$40)))</f>
        <v>0</v>
      </c>
      <c r="AZ50" s="619">
        <f>IF(AZ30+SUM($D$40:AZ$40)&lt;0,0,(AZ$30+SUM($D$40:AZ$40)))</f>
        <v>0</v>
      </c>
      <c r="BA50" s="619">
        <f>IF(BA30+SUM($D$40:BA$40)&lt;0,0,(BA$30+SUM($D$40:BA$40)))</f>
        <v>0</v>
      </c>
      <c r="BB50" s="506"/>
    </row>
    <row r="51" spans="1:54" hidden="1" outlineLevel="1">
      <c r="A51" s="506"/>
      <c r="B51" s="328" t="str">
        <f t="shared" ref="B51:B56" si="9">B41</f>
        <v>Skola</v>
      </c>
      <c r="C51" s="506"/>
      <c r="D51" s="619">
        <f>IF(D31+SUM($D$41:D$41)&lt;0,0,(D$31+SUM($D$41:D$41)))</f>
        <v>232727272.72727269</v>
      </c>
      <c r="E51" s="619">
        <f>IF(E31+SUM($D$41:E$41)&lt;0,0,(E$31+SUM($D$41:E$41)))</f>
        <v>225454545.45454544</v>
      </c>
      <c r="F51" s="619">
        <f>IF(F31+SUM($D$41:F$41)&lt;0,0,(F$31+SUM($D$41:F$41)))</f>
        <v>218181818.18181816</v>
      </c>
      <c r="G51" s="619">
        <f>IF(G31+SUM($D$41:G$41)&lt;0,0,(G$31+SUM($D$41:G$41)))</f>
        <v>210909090.90909088</v>
      </c>
      <c r="H51" s="619">
        <f>IF(H31+SUM($D$41:H$41)&lt;0,0,(H$31+SUM($D$41:H$41)))</f>
        <v>203636363.63636363</v>
      </c>
      <c r="I51" s="619">
        <f>IF(I31+SUM($D$41:I$41)&lt;0,0,(I$31+SUM($D$41:I$41)))</f>
        <v>196363636.36363634</v>
      </c>
      <c r="J51" s="619">
        <f>IF(J31+SUM($D$41:J$41)&lt;0,0,(J$31+SUM($D$41:J$41)))</f>
        <v>189090909.09090906</v>
      </c>
      <c r="K51" s="619">
        <f>IF(K31+SUM($D$41:K$41)&lt;0,0,(K$31+SUM($D$41:K$41)))</f>
        <v>181818181.81818178</v>
      </c>
      <c r="L51" s="619">
        <f>IF(L31+SUM($D$41:L$41)&lt;0,0,(L$31+SUM($D$41:L$41)))</f>
        <v>174545454.5454545</v>
      </c>
      <c r="M51" s="619">
        <f>IF(M31+SUM($D$41:M$41)&lt;0,0,(M$31+SUM($D$41:M$41)))</f>
        <v>167272727.27272725</v>
      </c>
      <c r="N51" s="619">
        <f>IF(N31+SUM($D$41:N$41)&lt;0,0,(N$31+SUM($D$41:N$41)))</f>
        <v>160000000</v>
      </c>
      <c r="O51" s="619">
        <f>IF(O31+SUM($D$41:O$41)&lt;0,0,(O$31+SUM($D$41:O$41)))</f>
        <v>152727272.72727272</v>
      </c>
      <c r="P51" s="619">
        <f>IF(P31+SUM($D$41:P$41)&lt;0,0,(P$31+SUM($D$41:P$41)))</f>
        <v>145454545.45454544</v>
      </c>
      <c r="Q51" s="619">
        <f>IF(Q31+SUM($D$41:Q$41)&lt;0,0,(Q$31+SUM($D$41:Q$41)))</f>
        <v>138181818.18181819</v>
      </c>
      <c r="R51" s="619">
        <f>IF(R31+SUM($D$41:R$41)&lt;0,0,(R$31+SUM($D$41:R$41)))</f>
        <v>130909090.90909092</v>
      </c>
      <c r="S51" s="619">
        <f>IF(S31+SUM($D$41:S$41)&lt;0,0,(S$31+SUM($D$41:S$41)))</f>
        <v>123636363.63636366</v>
      </c>
      <c r="T51" s="619">
        <f>IF(T31+SUM($D$41:T$41)&lt;0,0,(T$31+SUM($D$41:T$41)))</f>
        <v>116363636.36363639</v>
      </c>
      <c r="U51" s="619">
        <f>IF(U31+SUM($D$41:U$41)&lt;0,0,(U$31+SUM($D$41:U$41)))</f>
        <v>109090909.09090912</v>
      </c>
      <c r="V51" s="619">
        <f>IF(V31+SUM($D$41:V$41)&lt;0,0,(V$31+SUM($D$41:V$41)))</f>
        <v>101818181.81818184</v>
      </c>
      <c r="W51" s="619">
        <f>IF(W31+SUM($D$41:W$41)&lt;0,0,(W$31+SUM($D$41:W$41)))</f>
        <v>94545454.545454562</v>
      </c>
      <c r="X51" s="619">
        <f>IF(X31+SUM($D$41:X$41)&lt;0,0,(X$31+SUM($D$41:X$41)))</f>
        <v>87272727.272727281</v>
      </c>
      <c r="Y51" s="619">
        <f>IF(Y31+SUM($D$41:Y$41)&lt;0,0,(Y$31+SUM($D$41:Y$41)))</f>
        <v>0</v>
      </c>
      <c r="Z51" s="619">
        <f>IF(Z31+SUM($D$41:Z$41)&lt;0,0,(Z$31+SUM($D$41:Z$41)))</f>
        <v>0</v>
      </c>
      <c r="AA51" s="619">
        <f>IF(AA31+SUM($D$41:AA$41)&lt;0,0,(AA$31+SUM($D$41:AA$41)))</f>
        <v>0</v>
      </c>
      <c r="AB51" s="619">
        <f>IF(AB31+SUM($D$41:AB$41)&lt;0,0,(AB$31+SUM($D$41:AB$41)))</f>
        <v>0</v>
      </c>
      <c r="AC51" s="619">
        <f>IF(AC31+SUM($D$41:AC$41)&lt;0,0,(AC$31+SUM($D$41:AC$41)))</f>
        <v>0</v>
      </c>
      <c r="AD51" s="619">
        <f>IF(AD31+SUM($D$41:AD$41)&lt;0,0,(AD$31+SUM($D$41:AD$41)))</f>
        <v>0</v>
      </c>
      <c r="AE51" s="619">
        <f>IF(AE31+SUM($D$41:AE$41)&lt;0,0,(AE$31+SUM($D$41:AE$41)))</f>
        <v>0</v>
      </c>
      <c r="AF51" s="619">
        <f>IF(AF31+SUM($D$41:AF$41)&lt;0,0,(AF$31+SUM($D$41:AF$41)))</f>
        <v>0</v>
      </c>
      <c r="AG51" s="619">
        <f>IF(AG31+SUM($D$41:AG$41)&lt;0,0,(AG$31+SUM($D$41:AG$41)))</f>
        <v>0</v>
      </c>
      <c r="AH51" s="619">
        <f>IF(AH31+SUM($D$41:AH$41)&lt;0,0,(AH$31+SUM($D$41:AH$41)))</f>
        <v>0</v>
      </c>
      <c r="AI51" s="619">
        <f>IF(AI31+SUM($D$41:AI$41)&lt;0,0,(AI$31+SUM($D$41:AI$41)))</f>
        <v>0</v>
      </c>
      <c r="AJ51" s="619">
        <f>IF(AJ31+SUM($D$41:AJ$41)&lt;0,0,(AJ$31+SUM($D$41:AJ$41)))</f>
        <v>0</v>
      </c>
      <c r="AK51" s="619">
        <f>IF(AK31+SUM($D$41:AK$41)&lt;0,0,(AK$31+SUM($D$41:AK$41)))</f>
        <v>0</v>
      </c>
      <c r="AL51" s="619">
        <f>IF(AL31+SUM($D$41:AL$41)&lt;0,0,(AL$31+SUM($D$41:AL$41)))</f>
        <v>0</v>
      </c>
      <c r="AM51" s="619">
        <f>IF(AM31+SUM($D$41:AM$41)&lt;0,0,(AM$31+SUM($D$41:AM$41)))</f>
        <v>0</v>
      </c>
      <c r="AN51" s="619">
        <f>IF(AN31+SUM($D$41:AN$41)&lt;0,0,(AN$31+SUM($D$41:AN$41)))</f>
        <v>0</v>
      </c>
      <c r="AO51" s="619">
        <f>IF(AO31+SUM($D$41:AO$41)&lt;0,0,(AO$31+SUM($D$41:AO$41)))</f>
        <v>0</v>
      </c>
      <c r="AP51" s="619">
        <f>IF(AP31+SUM($D$41:AP$41)&lt;0,0,(AP$31+SUM($D$41:AP$41)))</f>
        <v>0</v>
      </c>
      <c r="AQ51" s="619">
        <f>IF(AQ31+SUM($D$41:AQ$41)&lt;0,0,(AQ$31+SUM($D$41:AQ$41)))</f>
        <v>0</v>
      </c>
      <c r="AR51" s="619">
        <f>IF(AR31+SUM($D$41:AR$41)&lt;0,0,(AR$31+SUM($D$41:AR$41)))</f>
        <v>0</v>
      </c>
      <c r="AS51" s="619">
        <f>IF(AS31+SUM($D$41:AS$41)&lt;0,0,(AS$31+SUM($D$41:AS$41)))</f>
        <v>0</v>
      </c>
      <c r="AT51" s="619">
        <f>IF(AT31+SUM($D$41:AT$41)&lt;0,0,(AT$31+SUM($D$41:AT$41)))</f>
        <v>0</v>
      </c>
      <c r="AU51" s="619">
        <f>IF(AU31+SUM($D$41:AU$41)&lt;0,0,(AU$31+SUM($D$41:AU$41)))</f>
        <v>0</v>
      </c>
      <c r="AV51" s="619">
        <f>IF(AV31+SUM($D$41:AV$41)&lt;0,0,(AV$31+SUM($D$41:AV$41)))</f>
        <v>0</v>
      </c>
      <c r="AW51" s="619">
        <f>IF(AW31+SUM($D$41:AW$41)&lt;0,0,(AW$31+SUM($D$41:AW$41)))</f>
        <v>0</v>
      </c>
      <c r="AX51" s="619">
        <f>IF(AX31+SUM($D$41:AX$41)&lt;0,0,(AX$31+SUM($D$41:AX$41)))</f>
        <v>0</v>
      </c>
      <c r="AY51" s="619">
        <f>IF(AY31+SUM($D$41:AY$41)&lt;0,0,(AY$31+SUM($D$41:AY$41)))</f>
        <v>0</v>
      </c>
      <c r="AZ51" s="619">
        <f>IF(AZ31+SUM($D$41:AZ$41)&lt;0,0,(AZ$31+SUM($D$41:AZ$41)))</f>
        <v>0</v>
      </c>
      <c r="BA51" s="619">
        <f>IF(BA31+SUM($D$41:BA$41)&lt;0,0,(BA$31+SUM($D$41:BA$41)))</f>
        <v>0</v>
      </c>
      <c r="BB51" s="506"/>
    </row>
    <row r="52" spans="1:54" hidden="1" outlineLevel="1">
      <c r="A52" s="506"/>
      <c r="B52" s="328">
        <f t="shared" si="9"/>
        <v>0</v>
      </c>
      <c r="C52" s="506"/>
      <c r="D52" s="619">
        <f>IF(D32+SUM($D$42:D$42)&lt;0,0,(D$32+SUM($D$42:D$42)))</f>
        <v>0</v>
      </c>
      <c r="E52" s="619">
        <f>IF(E32+SUM($D$42:E$42)&lt;0,0,(E$32+SUM($D$42:E$42)))</f>
        <v>0</v>
      </c>
      <c r="F52" s="619">
        <f>IF(F32+SUM($D$42:F$42)&lt;0,0,(F$32+SUM($D$42:F$42)))</f>
        <v>0</v>
      </c>
      <c r="G52" s="619">
        <f>IF(G32+SUM($D$42:G$42)&lt;0,0,(G$32+SUM($D$42:G$42)))</f>
        <v>0</v>
      </c>
      <c r="H52" s="619">
        <f>IF(H32+SUM($D$42:H$42)&lt;0,0,(H$32+SUM($D$42:H$42)))</f>
        <v>0</v>
      </c>
      <c r="I52" s="619">
        <f>IF(I32+SUM($D$42:I$42)&lt;0,0,(I$32+SUM($D$42:I$42)))</f>
        <v>0</v>
      </c>
      <c r="J52" s="619">
        <f>IF(J32+SUM($D$42:J$42)&lt;0,0,(J$32+SUM($D$42:J$42)))</f>
        <v>0</v>
      </c>
      <c r="K52" s="619">
        <f>IF(K32+SUM($D$42:K$42)&lt;0,0,(K$32+SUM($D$42:K$42)))</f>
        <v>0</v>
      </c>
      <c r="L52" s="619">
        <f>IF(L32+SUM($D$42:L$42)&lt;0,0,(L$32+SUM($D$42:L$42)))</f>
        <v>0</v>
      </c>
      <c r="M52" s="619">
        <f>IF(M32+SUM($D$42:M$42)&lt;0,0,(M$32+SUM($D$42:M$42)))</f>
        <v>0</v>
      </c>
      <c r="N52" s="619">
        <f>IF(N32+SUM($D$42:N$42)&lt;0,0,(N$32+SUM($D$42:N$42)))</f>
        <v>0</v>
      </c>
      <c r="O52" s="619">
        <f>IF(O32+SUM($D$42:O$42)&lt;0,0,(O$32+SUM($D$42:O$42)))</f>
        <v>0</v>
      </c>
      <c r="P52" s="619">
        <f>IF(P32+SUM($D$42:P$42)&lt;0,0,(P$32+SUM($D$42:P$42)))</f>
        <v>0</v>
      </c>
      <c r="Q52" s="619">
        <f>IF(Q32+SUM($D$42:Q$42)&lt;0,0,(Q$32+SUM($D$42:Q$42)))</f>
        <v>0</v>
      </c>
      <c r="R52" s="619">
        <f>IF(R32+SUM($D$42:R$42)&lt;0,0,(R$32+SUM($D$42:R$42)))</f>
        <v>0</v>
      </c>
      <c r="S52" s="619">
        <f>IF(S32+SUM($D$42:S$42)&lt;0,0,(S$32+SUM($D$42:S$42)))</f>
        <v>0</v>
      </c>
      <c r="T52" s="619">
        <f>IF(T32+SUM($D$42:T$42)&lt;0,0,(T$32+SUM($D$42:T$42)))</f>
        <v>0</v>
      </c>
      <c r="U52" s="619">
        <f>IF(U32+SUM($D$42:U$42)&lt;0,0,(U$32+SUM($D$42:U$42)))</f>
        <v>0</v>
      </c>
      <c r="V52" s="619">
        <f>IF(V32+SUM($D$42:V$42)&lt;0,0,(V$32+SUM($D$42:V$42)))</f>
        <v>0</v>
      </c>
      <c r="W52" s="619">
        <f>IF(W32+SUM($D$42:W$42)&lt;0,0,(W$32+SUM($D$42:W$42)))</f>
        <v>0</v>
      </c>
      <c r="X52" s="619">
        <f>IF(X32+SUM($D$42:X$42)&lt;0,0,(X$32+SUM($D$42:X$42)))</f>
        <v>0</v>
      </c>
      <c r="Y52" s="619">
        <f>IF(Y32+SUM($D$42:Y$42)&lt;0,0,(Y$32+SUM($D$42:Y$42)))</f>
        <v>0</v>
      </c>
      <c r="Z52" s="619">
        <f>IF(Z32+SUM($D$42:Z$42)&lt;0,0,(Z$32+SUM($D$42:Z$42)))</f>
        <v>0</v>
      </c>
      <c r="AA52" s="619">
        <f>IF(AA32+SUM($D$42:AA$42)&lt;0,0,(AA$32+SUM($D$42:AA$42)))</f>
        <v>0</v>
      </c>
      <c r="AB52" s="619">
        <f>IF(AB32+SUM($D$42:AB$42)&lt;0,0,(AB$32+SUM($D$42:AB$42)))</f>
        <v>0</v>
      </c>
      <c r="AC52" s="619">
        <f>IF(AC32+SUM($D$42:AC$42)&lt;0,0,(AC$32+SUM($D$42:AC$42)))</f>
        <v>0</v>
      </c>
      <c r="AD52" s="619">
        <f>IF(AD32+SUM($D$42:AD$42)&lt;0,0,(AD$32+SUM($D$42:AD$42)))</f>
        <v>0</v>
      </c>
      <c r="AE52" s="619">
        <f>IF(AE32+SUM($D$42:AE$42)&lt;0,0,(AE$32+SUM($D$42:AE$42)))</f>
        <v>0</v>
      </c>
      <c r="AF52" s="619">
        <f>IF(AF32+SUM($D$42:AF$42)&lt;0,0,(AF$32+SUM($D$42:AF$42)))</f>
        <v>0</v>
      </c>
      <c r="AG52" s="619">
        <f>IF(AG32+SUM($D$42:AG$42)&lt;0,0,(AG$32+SUM($D$42:AG$42)))</f>
        <v>0</v>
      </c>
      <c r="AH52" s="619">
        <f>IF(AH32+SUM($D$42:AH$42)&lt;0,0,(AH$32+SUM($D$42:AH$42)))</f>
        <v>0</v>
      </c>
      <c r="AI52" s="619">
        <f>IF(AI32+SUM($D$42:AI$42)&lt;0,0,(AI$32+SUM($D$42:AI$42)))</f>
        <v>0</v>
      </c>
      <c r="AJ52" s="619">
        <f>IF(AJ32+SUM($D$42:AJ$42)&lt;0,0,(AJ$32+SUM($D$42:AJ$42)))</f>
        <v>0</v>
      </c>
      <c r="AK52" s="619">
        <f>IF(AK32+SUM($D$42:AK$42)&lt;0,0,(AK$32+SUM($D$42:AK$42)))</f>
        <v>0</v>
      </c>
      <c r="AL52" s="619">
        <f>IF(AL32+SUM($D$42:AL$42)&lt;0,0,(AL$32+SUM($D$42:AL$42)))</f>
        <v>0</v>
      </c>
      <c r="AM52" s="619">
        <f>IF(AM32+SUM($D$42:AM$42)&lt;0,0,(AM$32+SUM($D$42:AM$42)))</f>
        <v>0</v>
      </c>
      <c r="AN52" s="619">
        <f>IF(AN32+SUM($D$42:AN$42)&lt;0,0,(AN$32+SUM($D$42:AN$42)))</f>
        <v>0</v>
      </c>
      <c r="AO52" s="619">
        <f>IF(AO32+SUM($D$42:AO$42)&lt;0,0,(AO$32+SUM($D$42:AO$42)))</f>
        <v>0</v>
      </c>
      <c r="AP52" s="619">
        <f>IF(AP32+SUM($D$42:AP$42)&lt;0,0,(AP$32+SUM($D$42:AP$42)))</f>
        <v>0</v>
      </c>
      <c r="AQ52" s="619">
        <f>IF(AQ32+SUM($D$42:AQ$42)&lt;0,0,(AQ$32+SUM($D$42:AQ$42)))</f>
        <v>0</v>
      </c>
      <c r="AR52" s="619">
        <f>IF(AR32+SUM($D$42:AR$42)&lt;0,0,(AR$32+SUM($D$42:AR$42)))</f>
        <v>0</v>
      </c>
      <c r="AS52" s="619">
        <f>IF(AS32+SUM($D$42:AS$42)&lt;0,0,(AS$32+SUM($D$42:AS$42)))</f>
        <v>0</v>
      </c>
      <c r="AT52" s="619">
        <f>IF(AT32+SUM($D$42:AT$42)&lt;0,0,(AT$32+SUM($D$42:AT$42)))</f>
        <v>0</v>
      </c>
      <c r="AU52" s="619">
        <f>IF(AU32+SUM($D$42:AU$42)&lt;0,0,(AU$32+SUM($D$42:AU$42)))</f>
        <v>0</v>
      </c>
      <c r="AV52" s="619">
        <f>IF(AV32+SUM($D$42:AV$42)&lt;0,0,(AV$32+SUM($D$42:AV$42)))</f>
        <v>0</v>
      </c>
      <c r="AW52" s="619">
        <f>IF(AW32+SUM($D$42:AW$42)&lt;0,0,(AW$32+SUM($D$42:AW$42)))</f>
        <v>0</v>
      </c>
      <c r="AX52" s="619">
        <f>IF(AX32+SUM($D$42:AX$42)&lt;0,0,(AX$32+SUM($D$42:AX$42)))</f>
        <v>0</v>
      </c>
      <c r="AY52" s="619">
        <f>IF(AY32+SUM($D$42:AY$42)&lt;0,0,(AY$32+SUM($D$42:AY$42)))</f>
        <v>0</v>
      </c>
      <c r="AZ52" s="619">
        <f>IF(AZ32+SUM($D$42:AZ$42)&lt;0,0,(AZ$32+SUM($D$42:AZ$42)))</f>
        <v>0</v>
      </c>
      <c r="BA52" s="619">
        <f>IF(BA32+SUM($D$42:BA$42)&lt;0,0,(BA$32+SUM($D$42:BA$42)))</f>
        <v>0</v>
      </c>
      <c r="BB52" s="506"/>
    </row>
    <row r="53" spans="1:54" hidden="1" outlineLevel="1">
      <c r="A53" s="506"/>
      <c r="B53" s="328">
        <f t="shared" si="9"/>
        <v>0</v>
      </c>
      <c r="C53" s="506"/>
      <c r="D53" s="619">
        <f>IF(D33+SUM($D$43:D$43)&lt;0,0,(D$33+SUM($D$43:D$43)))</f>
        <v>0</v>
      </c>
      <c r="E53" s="619">
        <f>IF(E33+SUM($D$43:E$43)&lt;0,0,(E$33+SUM($D$43:E$43)))</f>
        <v>0</v>
      </c>
      <c r="F53" s="619">
        <f>IF(F33+SUM($D$43:F$43)&lt;0,0,(F$33+SUM($D$43:F$43)))</f>
        <v>0</v>
      </c>
      <c r="G53" s="619">
        <f>IF(G33+SUM($D$43:G$43)&lt;0,0,(G$33+SUM($D$43:G$43)))</f>
        <v>0</v>
      </c>
      <c r="H53" s="619">
        <f>IF(H33+SUM($D$43:H$43)&lt;0,0,(H$33+SUM($D$43:H$43)))</f>
        <v>0</v>
      </c>
      <c r="I53" s="619">
        <f>IF(I33+SUM($D$43:I$43)&lt;0,0,(I$33+SUM($D$43:I$43)))</f>
        <v>0</v>
      </c>
      <c r="J53" s="619">
        <f>IF(J33+SUM($D$43:J$43)&lt;0,0,(J$33+SUM($D$43:J$43)))</f>
        <v>0</v>
      </c>
      <c r="K53" s="619">
        <f>IF(K33+SUM($D$43:K$43)&lt;0,0,(K$33+SUM($D$43:K$43)))</f>
        <v>0</v>
      </c>
      <c r="L53" s="619">
        <f>IF(L33+SUM($D$43:L$43)&lt;0,0,(L$33+SUM($D$43:L$43)))</f>
        <v>0</v>
      </c>
      <c r="M53" s="619">
        <f>IF(M33+SUM($D$43:M$43)&lt;0,0,(M$33+SUM($D$43:M$43)))</f>
        <v>0</v>
      </c>
      <c r="N53" s="619">
        <f>IF(N33+SUM($D$43:N$43)&lt;0,0,(N$33+SUM($D$43:N$43)))</f>
        <v>0</v>
      </c>
      <c r="O53" s="619">
        <f>IF(O33+SUM($D$43:O$43)&lt;0,0,(O$33+SUM($D$43:O$43)))</f>
        <v>0</v>
      </c>
      <c r="P53" s="619">
        <f>IF(P33+SUM($D$43:P$43)&lt;0,0,(P$33+SUM($D$43:P$43)))</f>
        <v>0</v>
      </c>
      <c r="Q53" s="619">
        <f>IF(Q33+SUM($D$43:Q$43)&lt;0,0,(Q$33+SUM($D$43:Q$43)))</f>
        <v>0</v>
      </c>
      <c r="R53" s="619">
        <f>IF(R33+SUM($D$43:R$43)&lt;0,0,(R$33+SUM($D$43:R$43)))</f>
        <v>0</v>
      </c>
      <c r="S53" s="619">
        <f>IF(S33+SUM($D$43:S$43)&lt;0,0,(S$33+SUM($D$43:S$43)))</f>
        <v>0</v>
      </c>
      <c r="T53" s="619">
        <f>IF(T33+SUM($D$43:T$43)&lt;0,0,(T$33+SUM($D$43:T$43)))</f>
        <v>0</v>
      </c>
      <c r="U53" s="619">
        <f>IF(U33+SUM($D$43:U$43)&lt;0,0,(U$33+SUM($D$43:U$43)))</f>
        <v>0</v>
      </c>
      <c r="V53" s="619">
        <f>IF(V33+SUM($D$43:V$43)&lt;0,0,(V$33+SUM($D$43:V$43)))</f>
        <v>0</v>
      </c>
      <c r="W53" s="619">
        <f>IF(W33+SUM($D$43:W$43)&lt;0,0,(W$33+SUM($D$43:W$43)))</f>
        <v>0</v>
      </c>
      <c r="X53" s="619">
        <f>IF(X33+SUM($D$43:X$43)&lt;0,0,(X$33+SUM($D$43:X$43)))</f>
        <v>0</v>
      </c>
      <c r="Y53" s="619">
        <f>IF(Y33+SUM($D$43:Y$43)&lt;0,0,(Y$33+SUM($D$43:Y$43)))</f>
        <v>0</v>
      </c>
      <c r="Z53" s="619">
        <f>IF(Z33+SUM($D$43:Z$43)&lt;0,0,(Z$33+SUM($D$43:Z$43)))</f>
        <v>0</v>
      </c>
      <c r="AA53" s="619">
        <f>IF(AA33+SUM($D$43:AA$43)&lt;0,0,(AA$33+SUM($D$43:AA$43)))</f>
        <v>0</v>
      </c>
      <c r="AB53" s="619">
        <f>IF(AB33+SUM($D$43:AB$43)&lt;0,0,(AB$33+SUM($D$43:AB$43)))</f>
        <v>0</v>
      </c>
      <c r="AC53" s="619">
        <f>IF(AC33+SUM($D$43:AC$43)&lt;0,0,(AC$33+SUM($D$43:AC$43)))</f>
        <v>0</v>
      </c>
      <c r="AD53" s="619">
        <f>IF(AD33+SUM($D$43:AD$43)&lt;0,0,(AD$33+SUM($D$43:AD$43)))</f>
        <v>0</v>
      </c>
      <c r="AE53" s="619">
        <f>IF(AE33+SUM($D$43:AE$43)&lt;0,0,(AE$33+SUM($D$43:AE$43)))</f>
        <v>0</v>
      </c>
      <c r="AF53" s="619">
        <f>IF(AF33+SUM($D$43:AF$43)&lt;0,0,(AF$33+SUM($D$43:AF$43)))</f>
        <v>0</v>
      </c>
      <c r="AG53" s="619">
        <f>IF(AG33+SUM($D$43:AG$43)&lt;0,0,(AG$33+SUM($D$43:AG$43)))</f>
        <v>0</v>
      </c>
      <c r="AH53" s="619">
        <f>IF(AH33+SUM($D$43:AH$43)&lt;0,0,(AH$33+SUM($D$43:AH$43)))</f>
        <v>0</v>
      </c>
      <c r="AI53" s="619">
        <f>IF(AI33+SUM($D$43:AI$43)&lt;0,0,(AI$33+SUM($D$43:AI$43)))</f>
        <v>0</v>
      </c>
      <c r="AJ53" s="619">
        <f>IF(AJ33+SUM($D$43:AJ$43)&lt;0,0,(AJ$33+SUM($D$43:AJ$43)))</f>
        <v>0</v>
      </c>
      <c r="AK53" s="619">
        <f>IF(AK33+SUM($D$43:AK$43)&lt;0,0,(AK$33+SUM($D$43:AK$43)))</f>
        <v>0</v>
      </c>
      <c r="AL53" s="619">
        <f>IF(AL33+SUM($D$43:AL$43)&lt;0,0,(AL$33+SUM($D$43:AL$43)))</f>
        <v>0</v>
      </c>
      <c r="AM53" s="619">
        <f>IF(AM33+SUM($D$43:AM$43)&lt;0,0,(AM$33+SUM($D$43:AM$43)))</f>
        <v>0</v>
      </c>
      <c r="AN53" s="619">
        <f>IF(AN33+SUM($D$43:AN$43)&lt;0,0,(AN$33+SUM($D$43:AN$43)))</f>
        <v>0</v>
      </c>
      <c r="AO53" s="619">
        <f>IF(AO33+SUM($D$43:AO$43)&lt;0,0,(AO$33+SUM($D$43:AO$43)))</f>
        <v>0</v>
      </c>
      <c r="AP53" s="619">
        <f>IF(AP33+SUM($D$43:AP$43)&lt;0,0,(AP$33+SUM($D$43:AP$43)))</f>
        <v>0</v>
      </c>
      <c r="AQ53" s="619">
        <f>IF(AQ33+SUM($D$43:AQ$43)&lt;0,0,(AQ$33+SUM($D$43:AQ$43)))</f>
        <v>0</v>
      </c>
      <c r="AR53" s="619">
        <f>IF(AR33+SUM($D$43:AR$43)&lt;0,0,(AR$33+SUM($D$43:AR$43)))</f>
        <v>0</v>
      </c>
      <c r="AS53" s="619">
        <f>IF(AS33+SUM($D$43:AS$43)&lt;0,0,(AS$33+SUM($D$43:AS$43)))</f>
        <v>0</v>
      </c>
      <c r="AT53" s="619">
        <f>IF(AT33+SUM($D$43:AT$43)&lt;0,0,(AT$33+SUM($D$43:AT$43)))</f>
        <v>0</v>
      </c>
      <c r="AU53" s="619">
        <f>IF(AU33+SUM($D$43:AU$43)&lt;0,0,(AU$33+SUM($D$43:AU$43)))</f>
        <v>0</v>
      </c>
      <c r="AV53" s="619">
        <f>IF(AV33+SUM($D$43:AV$43)&lt;0,0,(AV$33+SUM($D$43:AV$43)))</f>
        <v>0</v>
      </c>
      <c r="AW53" s="619">
        <f>IF(AW33+SUM($D$43:AW$43)&lt;0,0,(AW$33+SUM($D$43:AW$43)))</f>
        <v>0</v>
      </c>
      <c r="AX53" s="619">
        <f>IF(AX33+SUM($D$43:AX$43)&lt;0,0,(AX$33+SUM($D$43:AX$43)))</f>
        <v>0</v>
      </c>
      <c r="AY53" s="619">
        <f>IF(AY33+SUM($D$43:AY$43)&lt;0,0,(AY$33+SUM($D$43:AY$43)))</f>
        <v>0</v>
      </c>
      <c r="AZ53" s="619">
        <f>IF(AZ33+SUM($D$43:AZ$43)&lt;0,0,(AZ$33+SUM($D$43:AZ$43)))</f>
        <v>0</v>
      </c>
      <c r="BA53" s="619">
        <f>IF(BA33+SUM($D$43:BA$43)&lt;0,0,(BA$33+SUM($D$43:BA$43)))</f>
        <v>0</v>
      </c>
      <c r="BB53" s="506"/>
    </row>
    <row r="54" spans="1:54" hidden="1" outlineLevel="1">
      <c r="A54" s="506"/>
      <c r="B54" s="328">
        <f t="shared" si="9"/>
        <v>0</v>
      </c>
      <c r="C54" s="506"/>
      <c r="D54" s="619">
        <f>IF(D34+SUM($D$44:D$44)&lt;0,0,(D$34+SUM($D$44:D$44)))</f>
        <v>0</v>
      </c>
      <c r="E54" s="619">
        <f>IF(E34+SUM($D$44:E$44)&lt;0,0,(E$34+SUM($D$44:E$44)))</f>
        <v>0</v>
      </c>
      <c r="F54" s="619">
        <f>IF(F34+SUM($D$44:F$44)&lt;0,0,(F$34+SUM($D$44:F$44)))</f>
        <v>0</v>
      </c>
      <c r="G54" s="619">
        <f>IF(G34+SUM($D$44:G$44)&lt;0,0,(G$34+SUM($D$44:G$44)))</f>
        <v>0</v>
      </c>
      <c r="H54" s="619">
        <f>IF(H34+SUM($D$44:H$44)&lt;0,0,(H$34+SUM($D$44:H$44)))</f>
        <v>0</v>
      </c>
      <c r="I54" s="619">
        <f>IF(I34+SUM($D$44:I$44)&lt;0,0,(I$34+SUM($D$44:I$44)))</f>
        <v>0</v>
      </c>
      <c r="J54" s="619">
        <f>IF(J34+SUM($D$44:J$44)&lt;0,0,(J$34+SUM($D$44:J$44)))</f>
        <v>0</v>
      </c>
      <c r="K54" s="619">
        <f>IF(K34+SUM($D$44:K$44)&lt;0,0,(K$34+SUM($D$44:K$44)))</f>
        <v>0</v>
      </c>
      <c r="L54" s="619">
        <f>IF(L34+SUM($D$44:L$44)&lt;0,0,(L$34+SUM($D$44:L$44)))</f>
        <v>0</v>
      </c>
      <c r="M54" s="619">
        <f>IF(M34+SUM($D$44:M$44)&lt;0,0,(M$34+SUM($D$44:M$44)))</f>
        <v>0</v>
      </c>
      <c r="N54" s="619">
        <f>IF(N34+SUM($D$44:N$44)&lt;0,0,(N$34+SUM($D$44:N$44)))</f>
        <v>0</v>
      </c>
      <c r="O54" s="619">
        <f>IF(O34+SUM($D$44:O$44)&lt;0,0,(O$34+SUM($D$44:O$44)))</f>
        <v>0</v>
      </c>
      <c r="P54" s="619">
        <f>IF(P34+SUM($D$44:P$44)&lt;0,0,(P$34+SUM($D$44:P$44)))</f>
        <v>0</v>
      </c>
      <c r="Q54" s="619">
        <f>IF(Q34+SUM($D$44:Q$44)&lt;0,0,(Q$34+SUM($D$44:Q$44)))</f>
        <v>0</v>
      </c>
      <c r="R54" s="619">
        <f>IF(R34+SUM($D$44:R$44)&lt;0,0,(R$34+SUM($D$44:R$44)))</f>
        <v>0</v>
      </c>
      <c r="S54" s="619">
        <f>IF(S34+SUM($D$44:S$44)&lt;0,0,(S$34+SUM($D$44:S$44)))</f>
        <v>0</v>
      </c>
      <c r="T54" s="619">
        <f>IF(T34+SUM($D$44:T$44)&lt;0,0,(T$34+SUM($D$44:T$44)))</f>
        <v>0</v>
      </c>
      <c r="U54" s="619">
        <f>IF(U34+SUM($D$44:U$44)&lt;0,0,(U$34+SUM($D$44:U$44)))</f>
        <v>0</v>
      </c>
      <c r="V54" s="619">
        <f>IF(V34+SUM($D$44:V$44)&lt;0,0,(V$34+SUM($D$44:V$44)))</f>
        <v>0</v>
      </c>
      <c r="W54" s="619">
        <f>IF(W34+SUM($D$44:W$44)&lt;0,0,(W$34+SUM($D$44:W$44)))</f>
        <v>0</v>
      </c>
      <c r="X54" s="619">
        <f>IF(X34+SUM($D$44:X$44)&lt;0,0,(X$34+SUM($D$44:X$44)))</f>
        <v>0</v>
      </c>
      <c r="Y54" s="619">
        <f>IF(Y34+SUM($D$44:Y$44)&lt;0,0,(Y$34+SUM($D$44:Y$44)))</f>
        <v>0</v>
      </c>
      <c r="Z54" s="619">
        <f>IF(Z34+SUM($D$44:Z$44)&lt;0,0,(Z$34+SUM($D$44:Z$44)))</f>
        <v>0</v>
      </c>
      <c r="AA54" s="619">
        <f>IF(AA34+SUM($D$44:AA$44)&lt;0,0,(AA$34+SUM($D$44:AA$44)))</f>
        <v>0</v>
      </c>
      <c r="AB54" s="619">
        <f>IF(AB34+SUM($D$44:AB$44)&lt;0,0,(AB$34+SUM($D$44:AB$44)))</f>
        <v>0</v>
      </c>
      <c r="AC54" s="619">
        <f>IF(AC34+SUM($D$44:AC$44)&lt;0,0,(AC$34+SUM($D$44:AC$44)))</f>
        <v>0</v>
      </c>
      <c r="AD54" s="619">
        <f>IF(AD34+SUM($D$44:AD$44)&lt;0,0,(AD$34+SUM($D$44:AD$44)))</f>
        <v>0</v>
      </c>
      <c r="AE54" s="619">
        <f>IF(AE34+SUM($D$44:AE$44)&lt;0,0,(AE$34+SUM($D$44:AE$44)))</f>
        <v>0</v>
      </c>
      <c r="AF54" s="619">
        <f>IF(AF34+SUM($D$44:AF$44)&lt;0,0,(AF$34+SUM($D$44:AF$44)))</f>
        <v>0</v>
      </c>
      <c r="AG54" s="619">
        <f>IF(AG34+SUM($D$44:AG$44)&lt;0,0,(AG$34+SUM($D$44:AG$44)))</f>
        <v>0</v>
      </c>
      <c r="AH54" s="619">
        <f>IF(AH34+SUM($D$44:AH$44)&lt;0,0,(AH$34+SUM($D$44:AH$44)))</f>
        <v>0</v>
      </c>
      <c r="AI54" s="619">
        <f>IF(AI34+SUM($D$44:AI$44)&lt;0,0,(AI$34+SUM($D$44:AI$44)))</f>
        <v>0</v>
      </c>
      <c r="AJ54" s="619">
        <f>IF(AJ34+SUM($D$44:AJ$44)&lt;0,0,(AJ$34+SUM($D$44:AJ$44)))</f>
        <v>0</v>
      </c>
      <c r="AK54" s="619">
        <f>IF(AK34+SUM($D$44:AK$44)&lt;0,0,(AK$34+SUM($D$44:AK$44)))</f>
        <v>0</v>
      </c>
      <c r="AL54" s="619">
        <f>IF(AL34+SUM($D$44:AL$44)&lt;0,0,(AL$34+SUM($D$44:AL$44)))</f>
        <v>0</v>
      </c>
      <c r="AM54" s="619">
        <f>IF(AM34+SUM($D$44:AM$44)&lt;0,0,(AM$34+SUM($D$44:AM$44)))</f>
        <v>0</v>
      </c>
      <c r="AN54" s="619">
        <f>IF(AN34+SUM($D$44:AN$44)&lt;0,0,(AN$34+SUM($D$44:AN$44)))</f>
        <v>0</v>
      </c>
      <c r="AO54" s="619">
        <f>IF(AO34+SUM($D$44:AO$44)&lt;0,0,(AO$34+SUM($D$44:AO$44)))</f>
        <v>0</v>
      </c>
      <c r="AP54" s="619">
        <f>IF(AP34+SUM($D$44:AP$44)&lt;0,0,(AP$34+SUM($D$44:AP$44)))</f>
        <v>0</v>
      </c>
      <c r="AQ54" s="619">
        <f>IF(AQ34+SUM($D$44:AQ$44)&lt;0,0,(AQ$34+SUM($D$44:AQ$44)))</f>
        <v>0</v>
      </c>
      <c r="AR54" s="619">
        <f>IF(AR34+SUM($D$44:AR$44)&lt;0,0,(AR$34+SUM($D$44:AR$44)))</f>
        <v>0</v>
      </c>
      <c r="AS54" s="619">
        <f>IF(AS34+SUM($D$44:AS$44)&lt;0,0,(AS$34+SUM($D$44:AS$44)))</f>
        <v>0</v>
      </c>
      <c r="AT54" s="619">
        <f>IF(AT34+SUM($D$44:AT$44)&lt;0,0,(AT$34+SUM($D$44:AT$44)))</f>
        <v>0</v>
      </c>
      <c r="AU54" s="619">
        <f>IF(AU34+SUM($D$44:AU$44)&lt;0,0,(AU$34+SUM($D$44:AU$44)))</f>
        <v>0</v>
      </c>
      <c r="AV54" s="619">
        <f>IF(AV34+SUM($D$44:AV$44)&lt;0,0,(AV$34+SUM($D$44:AV$44)))</f>
        <v>0</v>
      </c>
      <c r="AW54" s="619">
        <f>IF(AW34+SUM($D$44:AW$44)&lt;0,0,(AW$34+SUM($D$44:AW$44)))</f>
        <v>0</v>
      </c>
      <c r="AX54" s="619">
        <f>IF(AX34+SUM($D$44:AX$44)&lt;0,0,(AX$34+SUM($D$44:AX$44)))</f>
        <v>0</v>
      </c>
      <c r="AY54" s="619">
        <f>IF(AY34+SUM($D$44:AY$44)&lt;0,0,(AY$34+SUM($D$44:AY$44)))</f>
        <v>0</v>
      </c>
      <c r="AZ54" s="619">
        <f>IF(AZ34+SUM($D$44:AZ$44)&lt;0,0,(AZ$34+SUM($D$44:AZ$44)))</f>
        <v>0</v>
      </c>
      <c r="BA54" s="619">
        <f>IF(BA34+SUM($D$44:BA$44)&lt;0,0,(BA$34+SUM($D$44:BA$44)))</f>
        <v>0</v>
      </c>
      <c r="BB54" s="506"/>
    </row>
    <row r="55" spans="1:54" hidden="1" outlineLevel="1">
      <c r="A55" s="506"/>
      <c r="B55" s="328">
        <f t="shared" si="9"/>
        <v>0</v>
      </c>
      <c r="C55" s="506"/>
      <c r="D55" s="619">
        <f>IF(D35+SUM($D$45:D$45)&lt;0,0,(D$35+SUM($D$45:D$45)))</f>
        <v>0</v>
      </c>
      <c r="E55" s="619">
        <f>IF(E35+SUM($D$45:E$45)&lt;0,0,(E$35+SUM($D$45:E$45)))</f>
        <v>0</v>
      </c>
      <c r="F55" s="619">
        <f>IF(F35+SUM($D$45:F$45)&lt;0,0,(F$35+SUM($D$45:F$45)))</f>
        <v>0</v>
      </c>
      <c r="G55" s="619">
        <f>IF(G35+SUM($D$45:G$45)&lt;0,0,(G$35+SUM($D$45:G$45)))</f>
        <v>0</v>
      </c>
      <c r="H55" s="619">
        <f>IF(H35+SUM($D$45:H$45)&lt;0,0,(H$35+SUM($D$45:H$45)))</f>
        <v>0</v>
      </c>
      <c r="I55" s="619">
        <f>IF(I35+SUM($D$45:I$45)&lt;0,0,(I$35+SUM($D$45:I$45)))</f>
        <v>0</v>
      </c>
      <c r="J55" s="619">
        <f>IF(J35+SUM($D$45:J$45)&lt;0,0,(J$35+SUM($D$45:J$45)))</f>
        <v>0</v>
      </c>
      <c r="K55" s="619">
        <f>IF(K35+SUM($D$45:K$45)&lt;0,0,(K$35+SUM($D$45:K$45)))</f>
        <v>0</v>
      </c>
      <c r="L55" s="619">
        <f>IF(L35+SUM($D$45:L$45)&lt;0,0,(L$35+SUM($D$45:L$45)))</f>
        <v>0</v>
      </c>
      <c r="M55" s="619">
        <f>IF(M35+SUM($D$45:M$45)&lt;0,0,(M$35+SUM($D$45:M$45)))</f>
        <v>0</v>
      </c>
      <c r="N55" s="619">
        <f>IF(N35+SUM($D$45:N$45)&lt;0,0,(N$35+SUM($D$45:N$45)))</f>
        <v>0</v>
      </c>
      <c r="O55" s="619">
        <f>IF(O35+SUM($D$45:O$45)&lt;0,0,(O$35+SUM($D$45:O$45)))</f>
        <v>0</v>
      </c>
      <c r="P55" s="619">
        <f>IF(P35+SUM($D$45:P$45)&lt;0,0,(P$35+SUM($D$45:P$45)))</f>
        <v>0</v>
      </c>
      <c r="Q55" s="619">
        <f>IF(Q35+SUM($D$45:Q$45)&lt;0,0,(Q$35+SUM($D$45:Q$45)))</f>
        <v>0</v>
      </c>
      <c r="R55" s="619">
        <f>IF(R35+SUM($D$45:R$45)&lt;0,0,(R$35+SUM($D$45:R$45)))</f>
        <v>0</v>
      </c>
      <c r="S55" s="619">
        <f>IF(S35+SUM($D$45:S$45)&lt;0,0,(S$35+SUM($D$45:S$45)))</f>
        <v>0</v>
      </c>
      <c r="T55" s="619">
        <f>IF(T35+SUM($D$45:T$45)&lt;0,0,(T$35+SUM($D$45:T$45)))</f>
        <v>0</v>
      </c>
      <c r="U55" s="619">
        <f>IF(U35+SUM($D$45:U$45)&lt;0,0,(U$35+SUM($D$45:U$45)))</f>
        <v>0</v>
      </c>
      <c r="V55" s="619">
        <f>IF(V35+SUM($D$45:V$45)&lt;0,0,(V$35+SUM($D$45:V$45)))</f>
        <v>0</v>
      </c>
      <c r="W55" s="619">
        <f>IF(W35+SUM($D$45:W$45)&lt;0,0,(W$35+SUM($D$45:W$45)))</f>
        <v>0</v>
      </c>
      <c r="X55" s="619">
        <f>IF(X35+SUM($D$45:X$45)&lt;0,0,(X$35+SUM($D$45:X$45)))</f>
        <v>0</v>
      </c>
      <c r="Y55" s="619">
        <f>IF(Y35+SUM($D$45:Y$45)&lt;0,0,(Y$35+SUM($D$45:Y$45)))</f>
        <v>0</v>
      </c>
      <c r="Z55" s="619">
        <f>IF(Z35+SUM($D$45:Z$45)&lt;0,0,(Z$35+SUM($D$45:Z$45)))</f>
        <v>0</v>
      </c>
      <c r="AA55" s="619">
        <f>IF(AA35+SUM($D$45:AA$45)&lt;0,0,(AA$35+SUM($D$45:AA$45)))</f>
        <v>0</v>
      </c>
      <c r="AB55" s="619">
        <f>IF(AB35+SUM($D$45:AB$45)&lt;0,0,(AB$35+SUM($D$45:AB$45)))</f>
        <v>0</v>
      </c>
      <c r="AC55" s="619">
        <f>IF(AC35+SUM($D$45:AC$45)&lt;0,0,(AC$35+SUM($D$45:AC$45)))</f>
        <v>0</v>
      </c>
      <c r="AD55" s="619">
        <f>IF(AD35+SUM($D$45:AD$45)&lt;0,0,(AD$35+SUM($D$45:AD$45)))</f>
        <v>0</v>
      </c>
      <c r="AE55" s="619">
        <f>IF(AE35+SUM($D$45:AE$45)&lt;0,0,(AE$35+SUM($D$45:AE$45)))</f>
        <v>0</v>
      </c>
      <c r="AF55" s="619">
        <f>IF(AF35+SUM($D$45:AF$45)&lt;0,0,(AF$35+SUM($D$45:AF$45)))</f>
        <v>0</v>
      </c>
      <c r="AG55" s="619">
        <f>IF(AG35+SUM($D$45:AG$45)&lt;0,0,(AG$35+SUM($D$45:AG$45)))</f>
        <v>0</v>
      </c>
      <c r="AH55" s="619">
        <f>IF(AH35+SUM($D$45:AH$45)&lt;0,0,(AH$35+SUM($D$45:AH$45)))</f>
        <v>0</v>
      </c>
      <c r="AI55" s="619">
        <f>IF(AI35+SUM($D$45:AI$45)&lt;0,0,(AI$35+SUM($D$45:AI$45)))</f>
        <v>0</v>
      </c>
      <c r="AJ55" s="619">
        <f>IF(AJ35+SUM($D$45:AJ$45)&lt;0,0,(AJ$35+SUM($D$45:AJ$45)))</f>
        <v>0</v>
      </c>
      <c r="AK55" s="619">
        <f>IF(AK35+SUM($D$45:AK$45)&lt;0,0,(AK$35+SUM($D$45:AK$45)))</f>
        <v>0</v>
      </c>
      <c r="AL55" s="619">
        <f>IF(AL35+SUM($D$45:AL$45)&lt;0,0,(AL$35+SUM($D$45:AL$45)))</f>
        <v>0</v>
      </c>
      <c r="AM55" s="619">
        <f>IF(AM35+SUM($D$45:AM$45)&lt;0,0,(AM$35+SUM($D$45:AM$45)))</f>
        <v>0</v>
      </c>
      <c r="AN55" s="619">
        <f>IF(AN35+SUM($D$45:AN$45)&lt;0,0,(AN$35+SUM($D$45:AN$45)))</f>
        <v>0</v>
      </c>
      <c r="AO55" s="619">
        <f>IF(AO35+SUM($D$45:AO$45)&lt;0,0,(AO$35+SUM($D$45:AO$45)))</f>
        <v>0</v>
      </c>
      <c r="AP55" s="619">
        <f>IF(AP35+SUM($D$45:AP$45)&lt;0,0,(AP$35+SUM($D$45:AP$45)))</f>
        <v>0</v>
      </c>
      <c r="AQ55" s="619">
        <f>IF(AQ35+SUM($D$45:AQ$45)&lt;0,0,(AQ$35+SUM($D$45:AQ$45)))</f>
        <v>0</v>
      </c>
      <c r="AR55" s="619">
        <f>IF(AR35+SUM($D$45:AR$45)&lt;0,0,(AR$35+SUM($D$45:AR$45)))</f>
        <v>0</v>
      </c>
      <c r="AS55" s="619">
        <f>IF(AS35+SUM($D$45:AS$45)&lt;0,0,(AS$35+SUM($D$45:AS$45)))</f>
        <v>0</v>
      </c>
      <c r="AT55" s="619">
        <f>IF(AT35+SUM($D$45:AT$45)&lt;0,0,(AT$35+SUM($D$45:AT$45)))</f>
        <v>0</v>
      </c>
      <c r="AU55" s="619">
        <f>IF(AU35+SUM($D$45:AU$45)&lt;0,0,(AU$35+SUM($D$45:AU$45)))</f>
        <v>0</v>
      </c>
      <c r="AV55" s="619">
        <f>IF(AV35+SUM($D$45:AV$45)&lt;0,0,(AV$35+SUM($D$45:AV$45)))</f>
        <v>0</v>
      </c>
      <c r="AW55" s="619">
        <f>IF(AW35+SUM($D$45:AW$45)&lt;0,0,(AW$35+SUM($D$45:AW$45)))</f>
        <v>0</v>
      </c>
      <c r="AX55" s="619">
        <f>IF(AX35+SUM($D$45:AX$45)&lt;0,0,(AX$35+SUM($D$45:AX$45)))</f>
        <v>0</v>
      </c>
      <c r="AY55" s="619">
        <f>IF(AY35+SUM($D$45:AY$45)&lt;0,0,(AY$35+SUM($D$45:AY$45)))</f>
        <v>0</v>
      </c>
      <c r="AZ55" s="619">
        <f>IF(AZ35+SUM($D$45:AZ$45)&lt;0,0,(AZ$35+SUM($D$45:AZ$45)))</f>
        <v>0</v>
      </c>
      <c r="BA55" s="619">
        <f>IF(BA35+SUM($D$45:BA$45)&lt;0,0,(BA$35+SUM($D$45:BA$45)))</f>
        <v>0</v>
      </c>
      <c r="BB55" s="506"/>
    </row>
    <row r="56" spans="1:54" hidden="1" outlineLevel="1">
      <c r="A56" s="506"/>
      <c r="B56" s="328" t="str">
        <f t="shared" si="9"/>
        <v>Residual</v>
      </c>
      <c r="C56" s="506"/>
      <c r="D56" s="619">
        <f>IF(D29&lt;&gt;"",IF(D36+SUM($D$46:D$46)=0,0,(D36+SUM($D$46:D$46))),0)</f>
        <v>0</v>
      </c>
      <c r="E56" s="619">
        <f>IF(E29&lt;&gt;"",IF(E36+SUM($D$46:E$46)=0,0,(E36+SUM($D$46:E$46))),0)</f>
        <v>0</v>
      </c>
      <c r="F56" s="619">
        <f>IF(F29&lt;&gt;"",IF(F36+SUM($D$46:F$46)=0,0,(F36+SUM($D$46:F$46))),0)</f>
        <v>0</v>
      </c>
      <c r="G56" s="619">
        <f>IF(G29&lt;&gt;"",IF(G36+SUM($D$46:G$46)=0,0,(G36+SUM($D$46:G$46))),0)</f>
        <v>0</v>
      </c>
      <c r="H56" s="619">
        <f>IF(H29&lt;&gt;"",IF(H36+SUM($D$46:H$46)=0,0,(H36+SUM($D$46:H$46))),0)</f>
        <v>0</v>
      </c>
      <c r="I56" s="619">
        <f>IF(I29&lt;&gt;"",IF(I36+SUM($D$46:I$46)=0,0,(I36+SUM($D$46:I$46))),0)</f>
        <v>0</v>
      </c>
      <c r="J56" s="619">
        <f>IF(J29&lt;&gt;"",IF(J36+SUM($D$46:J$46)=0,0,(J36+SUM($D$46:J$46))),0)</f>
        <v>0</v>
      </c>
      <c r="K56" s="619">
        <f>IF(K29&lt;&gt;"",IF(K36+SUM($D$46:K$46)=0,0,(K36+SUM($D$46:K$46))),0)</f>
        <v>0</v>
      </c>
      <c r="L56" s="619">
        <f>IF(L29&lt;&gt;"",IF(L36+SUM($D$46:L$46)=0,0,(L36+SUM($D$46:L$46))),0)</f>
        <v>0</v>
      </c>
      <c r="M56" s="619">
        <f>IF(M29&lt;&gt;"",IF(M36+SUM($D$46:M$46)=0,0,(M36+SUM($D$46:M$46))),0)</f>
        <v>0</v>
      </c>
      <c r="N56" s="619">
        <f>IF(N29&lt;&gt;"",IF(N36+SUM($D$46:N$46)=0,0,(N36+SUM($D$46:N$46))),0)</f>
        <v>0</v>
      </c>
      <c r="O56" s="619">
        <f>IF(O29&lt;&gt;"",IF(O36+SUM($D$46:O$46)=0,0,(O36+SUM($D$46:O$46))),0)</f>
        <v>0</v>
      </c>
      <c r="P56" s="619">
        <f>IF(P29&lt;&gt;"",IF(P36+SUM($D$46:P$46)=0,0,(P36+SUM($D$46:P$46))),0)</f>
        <v>0</v>
      </c>
      <c r="Q56" s="619">
        <f>IF(Q29&lt;&gt;"",IF(Q36+SUM($D$46:Q$46)=0,0,(Q36+SUM($D$46:Q$46))),0)</f>
        <v>0</v>
      </c>
      <c r="R56" s="619">
        <f>IF(R29&lt;&gt;"",IF(R36+SUM($D$46:R$46)=0,0,(R36+SUM($D$46:R$46))),0)</f>
        <v>0</v>
      </c>
      <c r="S56" s="619">
        <f>IF(S29&lt;&gt;"",IF(S36+SUM($D$46:S$46)=0,0,(S36+SUM($D$46:S$46))),0)</f>
        <v>0</v>
      </c>
      <c r="T56" s="619">
        <f>IF(T29&lt;&gt;"",IF(T36+SUM($D$46:T$46)=0,0,(T36+SUM($D$46:T$46))),0)</f>
        <v>0</v>
      </c>
      <c r="U56" s="619">
        <f>IF(U29&lt;&gt;"",IF(U36+SUM($D$46:U$46)=0,0,(U36+SUM($D$46:U$46))),0)</f>
        <v>0</v>
      </c>
      <c r="V56" s="619">
        <f>IF(V29&lt;&gt;"",IF(V36+SUM($D$46:V$46)=0,0,(V36+SUM($D$46:V$46))),0)</f>
        <v>0</v>
      </c>
      <c r="W56" s="619">
        <f>IF(W29&lt;&gt;"",IF(W36+SUM($D$46:W$46)=0,0,(W36+SUM($D$46:W$46))),0)</f>
        <v>0</v>
      </c>
      <c r="X56" s="619">
        <f>IF(X29&lt;&gt;"",IF(X36+SUM($D$46:X$46)=0,0,(X36+SUM($D$46:X$46))),0)</f>
        <v>0</v>
      </c>
      <c r="Y56" s="619">
        <f>IF(Y29&lt;&gt;"",IF(Y36+SUM($D$46:Y$46)=0,0,(Y36+SUM($D$46:Y$46))),0)</f>
        <v>0</v>
      </c>
      <c r="Z56" s="619">
        <f>IF(Z29&lt;&gt;"",IF(Z36+SUM($D$46:Z$46)=0,0,(Z36+SUM($D$46:Z$46))),0)</f>
        <v>0</v>
      </c>
      <c r="AA56" s="619">
        <f>IF(AA29&lt;&gt;"",IF(AA36+SUM($D$46:AA$46)=0,0,(AA36+SUM($D$46:AA$46))),0)</f>
        <v>0</v>
      </c>
      <c r="AB56" s="619">
        <f>IF(AB29&lt;&gt;"",IF(AB36+SUM($D$46:AB$46)=0,0,(AB36+SUM($D$46:AB$46))),0)</f>
        <v>0</v>
      </c>
      <c r="AC56" s="619">
        <f>IF(AC29&lt;&gt;"",IF(AC36+SUM($D$46:AC$46)=0,0,(AC36+SUM($D$46:AC$46))),0)</f>
        <v>0</v>
      </c>
      <c r="AD56" s="619">
        <f>IF(AD29&lt;&gt;"",IF(AD36+SUM($D$46:AD$46)=0,0,(AD36+SUM($D$46:AD$46))),0)</f>
        <v>0</v>
      </c>
      <c r="AE56" s="619">
        <f>IF(AE29&lt;&gt;"",IF(AE36+SUM($D$46:AE$46)=0,0,(AE36+SUM($D$46:AE$46))),0)</f>
        <v>0</v>
      </c>
      <c r="AF56" s="619">
        <f>IF(AF29&lt;&gt;"",IF(AF36+SUM($D$46:AF$46)=0,0,(AF36+SUM($D$46:AF$46))),0)</f>
        <v>0</v>
      </c>
      <c r="AG56" s="619">
        <f>IF(AG29&lt;&gt;"",IF(AG36+SUM($D$46:AG$46)=0,0,(AG36+SUM($D$46:AG$46))),0)</f>
        <v>0</v>
      </c>
      <c r="AH56" s="619">
        <f>IF(AH29&lt;&gt;"",IF(AH36+SUM($D$46:AH$46)=0,0,(AH36+SUM($D$46:AH$46))),0)</f>
        <v>0</v>
      </c>
      <c r="AI56" s="619">
        <f>IF(AI29&lt;&gt;"",IF(AI36+SUM($D$46:AI$46)=0,0,(AI36+SUM($D$46:AI$46))),0)</f>
        <v>0</v>
      </c>
      <c r="AJ56" s="619">
        <f>IF(AJ29&lt;&gt;"",IF(AJ36+SUM($D$46:AJ$46)=0,0,(AJ36+SUM($D$46:AJ$46))),0)</f>
        <v>0</v>
      </c>
      <c r="AK56" s="619">
        <f>IF(AK29&lt;&gt;"",IF(AK36+SUM($D$46:AK$46)=0,0,(AK36+SUM($D$46:AK$46))),0)</f>
        <v>0</v>
      </c>
      <c r="AL56" s="619">
        <f>IF(AL29&lt;&gt;"",IF(AL36+SUM($D$46:AL$46)=0,0,(AL36+SUM($D$46:AL$46))),0)</f>
        <v>0</v>
      </c>
      <c r="AM56" s="619">
        <f>IF(AM29&lt;&gt;"",IF(AM36+SUM($D$46:AM$46)=0,0,(AM36+SUM($D$46:AM$46))),0)</f>
        <v>0</v>
      </c>
      <c r="AN56" s="619">
        <f>IF(AN29&lt;&gt;"",IF(AN36+SUM($D$46:AN$46)=0,0,(AN36+SUM($D$46:AN$46))),0)</f>
        <v>0</v>
      </c>
      <c r="AO56" s="619">
        <f>IF(AO29&lt;&gt;"",IF(AO36+SUM($D$46:AO$46)=0,0,(AO36+SUM($D$46:AO$46))),0)</f>
        <v>0</v>
      </c>
      <c r="AP56" s="619">
        <f>IF(AP29&lt;&gt;"",IF(AP36+SUM($D$46:AP$46)=0,0,(AP36+SUM($D$46:AP$46))),0)</f>
        <v>0</v>
      </c>
      <c r="AQ56" s="619">
        <f>IF(AQ29&lt;&gt;"",IF(AQ36+SUM($D$46:AQ$46)=0,0,(AQ36+SUM($D$46:AQ$46))),0)</f>
        <v>0</v>
      </c>
      <c r="AR56" s="619">
        <f>IF(AR29&lt;&gt;"",IF(AR36+SUM($D$46:AR$46)=0,0,(AR36+SUM($D$46:AR$46))),0)</f>
        <v>0</v>
      </c>
      <c r="AS56" s="619">
        <f>IF(AS29&lt;&gt;"",IF(AS36+SUM($D$46:AS$46)=0,0,(AS36+SUM($D$46:AS$46))),0)</f>
        <v>0</v>
      </c>
      <c r="AT56" s="619">
        <f>IF(AT29&lt;&gt;"",IF(AT36+SUM($D$46:AT$46)=0,0,(AT36+SUM($D$46:AT$46))),0)</f>
        <v>0</v>
      </c>
      <c r="AU56" s="619">
        <f>IF(AU29&lt;&gt;"",IF(AU36+SUM($D$46:AU$46)=0,0,(AU36+SUM($D$46:AU$46))),0)</f>
        <v>0</v>
      </c>
      <c r="AV56" s="619">
        <f>IF(AV29&lt;&gt;"",IF(AV36+SUM($D$46:AV$46)=0,0,(AV36+SUM($D$46:AV$46))),0)</f>
        <v>0</v>
      </c>
      <c r="AW56" s="619">
        <f>IF(AW29&lt;&gt;"",IF(AW36+SUM($D$46:AW$46)=0,0,(AW36+SUM($D$46:AW$46))),0)</f>
        <v>0</v>
      </c>
      <c r="AX56" s="619">
        <f>IF(AX29&lt;&gt;"",IF(AX36+SUM($D$46:AX$46)=0,0,(AX36+SUM($D$46:AX$46))),0)</f>
        <v>0</v>
      </c>
      <c r="AY56" s="619">
        <f>IF(AY29&lt;&gt;"",IF(AY36+SUM($D$46:AY$46)=0,0,(AY36+SUM($D$46:AY$46))),0)</f>
        <v>0</v>
      </c>
      <c r="AZ56" s="619">
        <f>IF(AZ29&lt;&gt;"",IF(AZ36+SUM($D$46:AZ$46)=0,0,(AZ36+SUM($D$46:AZ$46))),0)</f>
        <v>0</v>
      </c>
      <c r="BA56" s="619">
        <f>IF(BA29&lt;&gt;"",IF(BA36+SUM($D$46:BA$46)=0,0,(BA36+SUM($D$46:BA$46))),0)</f>
        <v>0</v>
      </c>
      <c r="BB56" s="619"/>
    </row>
    <row r="57" spans="1:54" s="115" customFormat="1" ht="15" collapsed="1">
      <c r="A57" s="19"/>
      <c r="B57" s="327" t="str">
        <f t="shared" ref="B57" si="10">B47</f>
        <v>Totalt</v>
      </c>
      <c r="C57" s="19"/>
      <c r="D57" s="213">
        <f t="shared" ref="D57:AI57" si="11">IF(D29&lt;&gt;"",SUM(D50:D56),0)</f>
        <v>232727272.72727269</v>
      </c>
      <c r="E57" s="213">
        <f t="shared" si="11"/>
        <v>225454545.45454544</v>
      </c>
      <c r="F57" s="213">
        <f t="shared" si="11"/>
        <v>218181818.18181816</v>
      </c>
      <c r="G57" s="213">
        <f t="shared" si="11"/>
        <v>210909090.90909088</v>
      </c>
      <c r="H57" s="213">
        <f t="shared" si="11"/>
        <v>203636363.63636363</v>
      </c>
      <c r="I57" s="213">
        <f t="shared" si="11"/>
        <v>196363636.36363634</v>
      </c>
      <c r="J57" s="213">
        <f t="shared" si="11"/>
        <v>189090909.09090906</v>
      </c>
      <c r="K57" s="213">
        <f t="shared" si="11"/>
        <v>181818181.81818178</v>
      </c>
      <c r="L57" s="213">
        <f t="shared" si="11"/>
        <v>174545454.5454545</v>
      </c>
      <c r="M57" s="213">
        <f t="shared" si="11"/>
        <v>167272727.27272725</v>
      </c>
      <c r="N57" s="213">
        <f t="shared" si="11"/>
        <v>160000000</v>
      </c>
      <c r="O57" s="213">
        <f t="shared" si="11"/>
        <v>152727272.72727272</v>
      </c>
      <c r="P57" s="213">
        <f t="shared" si="11"/>
        <v>145454545.45454544</v>
      </c>
      <c r="Q57" s="213">
        <f t="shared" si="11"/>
        <v>138181818.18181819</v>
      </c>
      <c r="R57" s="213">
        <f>IF(R29&lt;&gt;"",SUM(R50:R56),0)</f>
        <v>130909090.90909092</v>
      </c>
      <c r="S57" s="213">
        <f t="shared" si="11"/>
        <v>123636363.63636366</v>
      </c>
      <c r="T57" s="213">
        <f t="shared" si="11"/>
        <v>116363636.36363639</v>
      </c>
      <c r="U57" s="213">
        <f t="shared" si="11"/>
        <v>109090909.09090912</v>
      </c>
      <c r="V57" s="213">
        <f t="shared" si="11"/>
        <v>101818181.81818184</v>
      </c>
      <c r="W57" s="213">
        <f t="shared" si="11"/>
        <v>94545454.545454562</v>
      </c>
      <c r="X57" s="213">
        <f t="shared" si="11"/>
        <v>87272727.272727281</v>
      </c>
      <c r="Y57" s="213">
        <f t="shared" si="11"/>
        <v>0</v>
      </c>
      <c r="Z57" s="213">
        <f t="shared" si="11"/>
        <v>0</v>
      </c>
      <c r="AA57" s="213">
        <f t="shared" si="11"/>
        <v>0</v>
      </c>
      <c r="AB57" s="213">
        <f t="shared" si="11"/>
        <v>0</v>
      </c>
      <c r="AC57" s="213">
        <f t="shared" si="11"/>
        <v>0</v>
      </c>
      <c r="AD57" s="213">
        <f t="shared" si="11"/>
        <v>0</v>
      </c>
      <c r="AE57" s="213">
        <f t="shared" si="11"/>
        <v>0</v>
      </c>
      <c r="AF57" s="213">
        <f t="shared" si="11"/>
        <v>0</v>
      </c>
      <c r="AG57" s="213">
        <f t="shared" si="11"/>
        <v>0</v>
      </c>
      <c r="AH57" s="213">
        <f t="shared" si="11"/>
        <v>0</v>
      </c>
      <c r="AI57" s="213">
        <f t="shared" si="11"/>
        <v>0</v>
      </c>
      <c r="AJ57" s="213">
        <f t="shared" ref="AJ57:BA57" si="12">IF(AJ29&lt;&gt;"",SUM(AJ50:AJ56),0)</f>
        <v>0</v>
      </c>
      <c r="AK57" s="213">
        <f t="shared" si="12"/>
        <v>0</v>
      </c>
      <c r="AL57" s="213">
        <f t="shared" si="12"/>
        <v>0</v>
      </c>
      <c r="AM57" s="213">
        <f t="shared" si="12"/>
        <v>0</v>
      </c>
      <c r="AN57" s="213">
        <f t="shared" si="12"/>
        <v>0</v>
      </c>
      <c r="AO57" s="213">
        <f t="shared" si="12"/>
        <v>0</v>
      </c>
      <c r="AP57" s="213">
        <f t="shared" si="12"/>
        <v>0</v>
      </c>
      <c r="AQ57" s="213">
        <f t="shared" si="12"/>
        <v>0</v>
      </c>
      <c r="AR57" s="213">
        <f t="shared" si="12"/>
        <v>0</v>
      </c>
      <c r="AS57" s="213">
        <f t="shared" si="12"/>
        <v>0</v>
      </c>
      <c r="AT57" s="213">
        <f t="shared" si="12"/>
        <v>0</v>
      </c>
      <c r="AU57" s="213">
        <f t="shared" si="12"/>
        <v>0</v>
      </c>
      <c r="AV57" s="213">
        <f t="shared" si="12"/>
        <v>0</v>
      </c>
      <c r="AW57" s="213">
        <f t="shared" si="12"/>
        <v>0</v>
      </c>
      <c r="AX57" s="213">
        <f t="shared" si="12"/>
        <v>0</v>
      </c>
      <c r="AY57" s="213">
        <f t="shared" si="12"/>
        <v>0</v>
      </c>
      <c r="AZ57" s="213">
        <f t="shared" si="12"/>
        <v>0</v>
      </c>
      <c r="BA57" s="213">
        <f t="shared" si="12"/>
        <v>0</v>
      </c>
      <c r="BB57" s="19"/>
    </row>
    <row r="61" spans="1:54">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619"/>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row>
  </sheetData>
  <mergeCells count="1">
    <mergeCell ref="B4:H4"/>
  </mergeCells>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28" max="16383" man="1"/>
    <brk id="57" max="16383" man="1"/>
  </rowBreaks>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B83"/>
  <sheetViews>
    <sheetView topLeftCell="A35" zoomScaleNormal="100" zoomScaleSheetLayoutView="82" workbookViewId="0">
      <selection activeCell="B82" sqref="B82:E82"/>
    </sheetView>
  </sheetViews>
  <sheetFormatPr defaultColWidth="7.5" defaultRowHeight="14.25" outlineLevelRow="1"/>
  <cols>
    <col min="1" max="1" width="3.5" style="11" customWidth="1"/>
    <col min="2" max="2" width="29.375" style="11" customWidth="1"/>
    <col min="3" max="3" width="12.875" style="73" customWidth="1"/>
    <col min="4" max="4" width="10.625" style="11" customWidth="1"/>
    <col min="5" max="5" width="12.875" style="11" customWidth="1"/>
    <col min="6" max="53" width="10.625" style="11" customWidth="1"/>
    <col min="54" max="16384" width="7.5" style="11"/>
  </cols>
  <sheetData>
    <row r="1" spans="1:53" ht="23.25">
      <c r="A1" s="506"/>
      <c r="B1" s="185" t="s">
        <v>223</v>
      </c>
      <c r="C1" s="186"/>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6"/>
      <c r="BA1" s="506"/>
    </row>
    <row r="2" spans="1:53" ht="47.25" customHeight="1" outlineLevel="1">
      <c r="A2" s="182"/>
      <c r="B2" s="742" t="s">
        <v>224</v>
      </c>
      <c r="C2" s="742"/>
      <c r="D2" s="742"/>
      <c r="E2" s="742"/>
      <c r="F2" s="742"/>
      <c r="G2" s="742"/>
      <c r="H2" s="742"/>
      <c r="I2" s="742"/>
      <c r="J2" s="742"/>
      <c r="K2" s="742"/>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T2" s="506"/>
      <c r="AU2" s="506"/>
      <c r="AV2" s="506"/>
      <c r="AW2" s="506"/>
      <c r="AX2" s="506"/>
      <c r="AY2" s="506"/>
      <c r="AZ2" s="506"/>
      <c r="BA2" s="506"/>
    </row>
    <row r="3" spans="1:53" s="187" customFormat="1" outlineLevel="1">
      <c r="B3" s="506"/>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06"/>
      <c r="B4" s="328"/>
      <c r="C4" s="329"/>
      <c r="D4" s="327">
        <f>_xlfn.NUMBERVALUE('3. Finansiering'!D$13)</f>
        <v>2026</v>
      </c>
      <c r="E4" s="327">
        <f>'3. Finansiering'!E$13</f>
        <v>2027</v>
      </c>
      <c r="F4" s="327">
        <f>'3. Finansiering'!F$13</f>
        <v>2028</v>
      </c>
      <c r="G4" s="327">
        <f>'3. Finansiering'!G$13</f>
        <v>2029</v>
      </c>
      <c r="H4" s="327">
        <f>'3. Finansiering'!H$13</f>
        <v>2030</v>
      </c>
      <c r="I4" s="327">
        <f>'3. Finansiering'!I$13</f>
        <v>2031</v>
      </c>
      <c r="J4" s="327">
        <f>'3. Finansiering'!J$13</f>
        <v>2032</v>
      </c>
      <c r="K4" s="327">
        <f>'3. Finansiering'!K$13</f>
        <v>2033</v>
      </c>
      <c r="L4" s="327">
        <f>'3. Finansiering'!L$13</f>
        <v>2034</v>
      </c>
      <c r="M4" s="327">
        <f>'3. Finansiering'!M$13</f>
        <v>2035</v>
      </c>
      <c r="N4" s="327">
        <f>'3. Finansiering'!N$13</f>
        <v>2036</v>
      </c>
      <c r="O4" s="327">
        <f>'3. Finansiering'!O$13</f>
        <v>2037</v>
      </c>
      <c r="P4" s="327">
        <f>'3. Finansiering'!P$13</f>
        <v>2038</v>
      </c>
      <c r="Q4" s="327">
        <f>'3. Finansiering'!Q$13</f>
        <v>2039</v>
      </c>
      <c r="R4" s="327">
        <f>'3. Finansiering'!R$13</f>
        <v>2040</v>
      </c>
      <c r="S4" s="327">
        <f>'3. Finansiering'!S$13</f>
        <v>2041</v>
      </c>
      <c r="T4" s="327">
        <f>'3. Finansiering'!T$13</f>
        <v>2042</v>
      </c>
      <c r="U4" s="327">
        <f>'3. Finansiering'!U$13</f>
        <v>2043</v>
      </c>
      <c r="V4" s="327">
        <f>'3. Finansiering'!V$13</f>
        <v>2044</v>
      </c>
      <c r="W4" s="327">
        <f>'3. Finansiering'!W$13</f>
        <v>2045</v>
      </c>
      <c r="X4" s="327">
        <f>'3. Finansiering'!X$13</f>
        <v>2046</v>
      </c>
      <c r="Y4" s="327" t="str">
        <f>'3. Finansiering'!Y$13</f>
        <v/>
      </c>
      <c r="Z4" s="327" t="str">
        <f>'3. Finansiering'!Z$13</f>
        <v/>
      </c>
      <c r="AA4" s="327" t="str">
        <f>'3. Finansiering'!AA$13</f>
        <v/>
      </c>
      <c r="AB4" s="327" t="str">
        <f>'3. Finansiering'!AB$13</f>
        <v/>
      </c>
      <c r="AC4" s="327" t="str">
        <f>'3. Finansiering'!AC$13</f>
        <v/>
      </c>
      <c r="AD4" s="327" t="str">
        <f>'3. Finansiering'!AD$13</f>
        <v/>
      </c>
      <c r="AE4" s="327" t="str">
        <f>'3. Finansiering'!AE$13</f>
        <v/>
      </c>
      <c r="AF4" s="327" t="str">
        <f>'3. Finansiering'!AF$13</f>
        <v/>
      </c>
      <c r="AG4" s="327" t="str">
        <f>'3. Finansiering'!AG$13</f>
        <v/>
      </c>
      <c r="AH4" s="327" t="str">
        <f>'3. Finansiering'!AH$13</f>
        <v/>
      </c>
      <c r="AI4" s="327" t="str">
        <f>'3. Finansiering'!AI$13</f>
        <v/>
      </c>
      <c r="AJ4" s="327" t="str">
        <f>'3. Finansiering'!AJ$13</f>
        <v/>
      </c>
      <c r="AK4" s="327" t="str">
        <f>'3. Finansiering'!AK$13</f>
        <v/>
      </c>
      <c r="AL4" s="327" t="str">
        <f>'3. Finansiering'!AL$13</f>
        <v/>
      </c>
      <c r="AM4" s="327" t="str">
        <f>'3. Finansiering'!AM$13</f>
        <v/>
      </c>
      <c r="AN4" s="327" t="str">
        <f>'3. Finansiering'!AN$13</f>
        <v/>
      </c>
      <c r="AO4" s="327" t="str">
        <f>'3. Finansiering'!AO$13</f>
        <v/>
      </c>
      <c r="AP4" s="327" t="str">
        <f>'3. Finansiering'!AP$13</f>
        <v/>
      </c>
      <c r="AQ4" s="327" t="str">
        <f>'3. Finansiering'!AQ$13</f>
        <v/>
      </c>
      <c r="AR4" s="327" t="str">
        <f>'3. Finansiering'!AR$13</f>
        <v/>
      </c>
      <c r="AS4" s="327" t="str">
        <f>'3. Finansiering'!AS$13</f>
        <v/>
      </c>
      <c r="AT4" s="327" t="str">
        <f>'3. Finansiering'!AT$13</f>
        <v/>
      </c>
      <c r="AU4" s="327" t="str">
        <f>'3. Finansiering'!AU$13</f>
        <v/>
      </c>
      <c r="AV4" s="327" t="str">
        <f>'3. Finansiering'!AV$13</f>
        <v/>
      </c>
      <c r="AW4" s="327" t="str">
        <f>'3. Finansiering'!AW$13</f>
        <v/>
      </c>
      <c r="AX4" s="327" t="str">
        <f>'3. Finansiering'!AX$13</f>
        <v/>
      </c>
      <c r="AY4" s="327" t="str">
        <f>'3. Finansiering'!AY$13</f>
        <v/>
      </c>
      <c r="AZ4" s="327" t="str">
        <f>'3. Finansiering'!AZ$13</f>
        <v/>
      </c>
      <c r="BA4" s="327" t="str">
        <f>'3. Finansiering'!BA$13</f>
        <v/>
      </c>
    </row>
    <row r="5" spans="1:53" s="188" customFormat="1" ht="11.25">
      <c r="B5" s="336" t="s">
        <v>225</v>
      </c>
      <c r="C5" s="337"/>
      <c r="D5" s="336">
        <f>'3. Finansiering'!D14</f>
        <v>1</v>
      </c>
      <c r="E5" s="336">
        <f>'3. Finansiering'!E14</f>
        <v>2</v>
      </c>
      <c r="F5" s="336">
        <f>'3. Finansiering'!F14</f>
        <v>3</v>
      </c>
      <c r="G5" s="336">
        <f>'3. Finansiering'!G14</f>
        <v>4</v>
      </c>
      <c r="H5" s="336">
        <f>'3. Finansiering'!H14</f>
        <v>5</v>
      </c>
      <c r="I5" s="336">
        <f>'3. Finansiering'!I14</f>
        <v>6</v>
      </c>
      <c r="J5" s="336">
        <f>'3. Finansiering'!J14</f>
        <v>7</v>
      </c>
      <c r="K5" s="336">
        <f>'3. Finansiering'!K14</f>
        <v>8</v>
      </c>
      <c r="L5" s="336">
        <f>'3. Finansiering'!L14</f>
        <v>9</v>
      </c>
      <c r="M5" s="336">
        <f>'3. Finansiering'!M14</f>
        <v>10</v>
      </c>
      <c r="N5" s="336">
        <f>'3. Finansiering'!N14</f>
        <v>11</v>
      </c>
      <c r="O5" s="336">
        <f>'3. Finansiering'!O14</f>
        <v>12</v>
      </c>
      <c r="P5" s="336">
        <f>'3. Finansiering'!P14</f>
        <v>13</v>
      </c>
      <c r="Q5" s="336">
        <f>'3. Finansiering'!Q14</f>
        <v>14</v>
      </c>
      <c r="R5" s="336">
        <f>'3. Finansiering'!R14</f>
        <v>15</v>
      </c>
      <c r="S5" s="336">
        <f>'3. Finansiering'!S14</f>
        <v>16</v>
      </c>
      <c r="T5" s="336">
        <f>'3. Finansiering'!T14</f>
        <v>17</v>
      </c>
      <c r="U5" s="336">
        <f>'3. Finansiering'!U14</f>
        <v>18</v>
      </c>
      <c r="V5" s="336">
        <f>'3. Finansiering'!V14</f>
        <v>19</v>
      </c>
      <c r="W5" s="336">
        <f>'3. Finansiering'!W14</f>
        <v>20</v>
      </c>
      <c r="X5" s="336">
        <f>'3. Finansiering'!X14</f>
        <v>21</v>
      </c>
      <c r="Y5" s="336">
        <f>'3. Finansiering'!Y14</f>
        <v>22</v>
      </c>
      <c r="Z5" s="336">
        <f>'3. Finansiering'!Z14</f>
        <v>23</v>
      </c>
      <c r="AA5" s="336">
        <f>'3. Finansiering'!AA14</f>
        <v>24</v>
      </c>
      <c r="AB5" s="336">
        <f>'3. Finansiering'!AB14</f>
        <v>25</v>
      </c>
      <c r="AC5" s="336">
        <f>'3. Finansiering'!AC14</f>
        <v>26</v>
      </c>
      <c r="AD5" s="336">
        <f>'3. Finansiering'!AD14</f>
        <v>27</v>
      </c>
      <c r="AE5" s="336">
        <f>'3. Finansiering'!AE14</f>
        <v>28</v>
      </c>
      <c r="AF5" s="336">
        <f>'3. Finansiering'!AF14</f>
        <v>29</v>
      </c>
      <c r="AG5" s="336">
        <f>'3. Finansiering'!AG14</f>
        <v>30</v>
      </c>
      <c r="AH5" s="336">
        <f>'3. Finansiering'!AH14</f>
        <v>31</v>
      </c>
      <c r="AI5" s="336">
        <f>'3. Finansiering'!AI14</f>
        <v>32</v>
      </c>
      <c r="AJ5" s="336">
        <f>'3. Finansiering'!AJ14</f>
        <v>33</v>
      </c>
      <c r="AK5" s="336">
        <f>'3. Finansiering'!AK14</f>
        <v>34</v>
      </c>
      <c r="AL5" s="336">
        <f>'3. Finansiering'!AL14</f>
        <v>35</v>
      </c>
      <c r="AM5" s="336">
        <f>'3. Finansiering'!AM14</f>
        <v>36</v>
      </c>
      <c r="AN5" s="336">
        <f>'3. Finansiering'!AN14</f>
        <v>37</v>
      </c>
      <c r="AO5" s="336">
        <f>'3. Finansiering'!AO14</f>
        <v>38</v>
      </c>
      <c r="AP5" s="336">
        <f>'3. Finansiering'!AP14</f>
        <v>39</v>
      </c>
      <c r="AQ5" s="336">
        <f>'3. Finansiering'!AQ14</f>
        <v>40</v>
      </c>
      <c r="AR5" s="336">
        <f>'3. Finansiering'!AR14</f>
        <v>41</v>
      </c>
      <c r="AS5" s="336">
        <f>'3. Finansiering'!AS14</f>
        <v>42</v>
      </c>
      <c r="AT5" s="336">
        <f>'3. Finansiering'!AT14</f>
        <v>43</v>
      </c>
      <c r="AU5" s="336">
        <f>'3. Finansiering'!AU14</f>
        <v>44</v>
      </c>
      <c r="AV5" s="336">
        <f>'3. Finansiering'!AV14</f>
        <v>45</v>
      </c>
      <c r="AW5" s="336">
        <f>'3. Finansiering'!AW14</f>
        <v>46</v>
      </c>
      <c r="AX5" s="336">
        <f>'3. Finansiering'!AX14</f>
        <v>47</v>
      </c>
      <c r="AY5" s="336">
        <f>'3. Finansiering'!AY14</f>
        <v>48</v>
      </c>
      <c r="AZ5" s="336">
        <f>'3. Finansiering'!AZ14</f>
        <v>49</v>
      </c>
      <c r="BA5" s="336">
        <f>'3. Finansiering'!BA14</f>
        <v>50</v>
      </c>
    </row>
    <row r="6" spans="1:53" s="188" customFormat="1" ht="11.25">
      <c r="B6" s="336" t="s">
        <v>226</v>
      </c>
      <c r="C6" s="337"/>
      <c r="D6" s="336">
        <f>SUMIFS('2. Kalkyldata'!$H$23:$H$27,'2. Kalkyldata'!$E$23:$E$27,"nyb",'2. Kalkyldata'!$M$23:$M$27,'4. NPV'!D3)</f>
        <v>6100</v>
      </c>
      <c r="E6" s="336">
        <f>SUMIFS('2. Kalkyldata'!$H$23:$H$27,'2. Kalkyldata'!$E$23:$E$27,"nyb",'2. Kalkyldata'!$M$23:$M$27,'4. NPV'!E3)</f>
        <v>6100</v>
      </c>
      <c r="F6" s="336">
        <f>SUMIFS('2. Kalkyldata'!$H$23:$H$27,'2. Kalkyldata'!$E$23:$E$27,"nyb",'2. Kalkyldata'!$M$23:$M$27,'4. NPV'!F3)</f>
        <v>6100</v>
      </c>
      <c r="G6" s="336">
        <f>SUMIFS('2. Kalkyldata'!$H$23:$H$27,'2. Kalkyldata'!$E$23:$E$27,"nyb",'2. Kalkyldata'!$M$23:$M$27,'4. NPV'!G3)</f>
        <v>6100</v>
      </c>
      <c r="H6" s="336">
        <f>SUMIFS('2. Kalkyldata'!$H$23:$H$27,'2. Kalkyldata'!$E$23:$E$27,"nyb",'2. Kalkyldata'!$M$23:$M$27,'4. NPV'!H3)</f>
        <v>6100</v>
      </c>
      <c r="I6" s="336">
        <f>SUMIFS('2. Kalkyldata'!$H$23:$H$27,'2. Kalkyldata'!$E$23:$E$27,"nyb",'2. Kalkyldata'!$M$23:$M$27,'4. NPV'!I3)</f>
        <v>6100</v>
      </c>
      <c r="J6" s="336">
        <f>SUMIFS('2. Kalkyldata'!$H$23:$H$27,'2. Kalkyldata'!$E$23:$E$27,"nyb",'2. Kalkyldata'!$M$23:$M$27,'4. NPV'!J3)</f>
        <v>6100</v>
      </c>
      <c r="K6" s="336">
        <f>SUMIFS('2. Kalkyldata'!$H$23:$H$27,'2. Kalkyldata'!$E$23:$E$27,"nyb",'2. Kalkyldata'!$M$23:$M$27,'4. NPV'!K3)</f>
        <v>6100</v>
      </c>
      <c r="L6" s="336">
        <f>SUMIFS('2. Kalkyldata'!$H$23:$H$27,'2. Kalkyldata'!$E$23:$E$27,"nyb",'2. Kalkyldata'!$M$23:$M$27,'4. NPV'!L3)</f>
        <v>6100</v>
      </c>
      <c r="M6" s="336">
        <f>SUMIFS('2. Kalkyldata'!$H$23:$H$27,'2. Kalkyldata'!$E$23:$E$27,"nyb",'2. Kalkyldata'!$M$23:$M$27,'4. NPV'!M3)</f>
        <v>6100</v>
      </c>
      <c r="N6" s="336">
        <f>SUMIFS('2. Kalkyldata'!$H$23:$H$27,'2. Kalkyldata'!$E$23:$E$27,"nyb",'2. Kalkyldata'!$M$23:$M$27,'4. NPV'!N3)</f>
        <v>6100</v>
      </c>
      <c r="O6" s="336">
        <f>SUMIFS('2. Kalkyldata'!$H$23:$H$27,'2. Kalkyldata'!$E$23:$E$27,"nyb",'2. Kalkyldata'!$M$23:$M$27,'4. NPV'!O3)</f>
        <v>6100</v>
      </c>
      <c r="P6" s="336">
        <f>SUMIFS('2. Kalkyldata'!$H$23:$H$27,'2. Kalkyldata'!$E$23:$E$27,"nyb",'2. Kalkyldata'!$M$23:$M$27,'4. NPV'!P3)</f>
        <v>6100</v>
      </c>
      <c r="Q6" s="336">
        <f>SUMIFS('2. Kalkyldata'!$H$23:$H$27,'2. Kalkyldata'!$E$23:$E$27,"nyb",'2. Kalkyldata'!$M$23:$M$27,'4. NPV'!Q3)</f>
        <v>6100</v>
      </c>
      <c r="R6" s="336">
        <f>SUMIFS('2. Kalkyldata'!$H$23:$H$27,'2. Kalkyldata'!$E$23:$E$27,"nyb",'2. Kalkyldata'!$M$23:$M$27,'4. NPV'!R3)</f>
        <v>6100</v>
      </c>
      <c r="S6" s="336">
        <f>SUMIFS('2. Kalkyldata'!$H$23:$H$27,'2. Kalkyldata'!$E$23:$E$27,"nyb",'2. Kalkyldata'!$M$23:$M$27,'4. NPV'!S3)</f>
        <v>6100</v>
      </c>
      <c r="T6" s="336">
        <f>SUMIFS('2. Kalkyldata'!$H$23:$H$27,'2. Kalkyldata'!$E$23:$E$27,"nyb",'2. Kalkyldata'!$M$23:$M$27,'4. NPV'!T3)</f>
        <v>6100</v>
      </c>
      <c r="U6" s="336">
        <f>SUMIFS('2. Kalkyldata'!$H$23:$H$27,'2. Kalkyldata'!$E$23:$E$27,"nyb",'2. Kalkyldata'!$M$23:$M$27,'4. NPV'!U3)</f>
        <v>6100</v>
      </c>
      <c r="V6" s="336">
        <f>SUMIFS('2. Kalkyldata'!$H$23:$H$27,'2. Kalkyldata'!$E$23:$E$27,"nyb",'2. Kalkyldata'!$M$23:$M$27,'4. NPV'!V3)</f>
        <v>6100</v>
      </c>
      <c r="W6" s="336">
        <f>SUMIFS('2. Kalkyldata'!$H$23:$H$27,'2. Kalkyldata'!$E$23:$E$27,"nyb",'2. Kalkyldata'!$M$23:$M$27,'4. NPV'!W3)</f>
        <v>6100</v>
      </c>
      <c r="X6" s="336">
        <f>SUMIFS('2. Kalkyldata'!$H$23:$H$27,'2. Kalkyldata'!$E$23:$E$27,"nyb",'2. Kalkyldata'!$M$23:$M$27,'4. NPV'!X3)</f>
        <v>6100</v>
      </c>
      <c r="Y6" s="336">
        <f>SUMIFS('2. Kalkyldata'!$H$23:$H$27,'2. Kalkyldata'!$E$23:$E$27,"nyb",'2. Kalkyldata'!$M$23:$M$27,'4. NPV'!Y3)</f>
        <v>0</v>
      </c>
      <c r="Z6" s="336">
        <f>SUMIFS('2. Kalkyldata'!$H$23:$H$27,'2. Kalkyldata'!$E$23:$E$27,"nyb",'2. Kalkyldata'!$M$23:$M$27,'4. NPV'!Z3)</f>
        <v>0</v>
      </c>
      <c r="AA6" s="336">
        <f>SUMIFS('2. Kalkyldata'!$H$23:$H$27,'2. Kalkyldata'!$E$23:$E$27,"nyb",'2. Kalkyldata'!$M$23:$M$27,'4. NPV'!AA3)</f>
        <v>0</v>
      </c>
      <c r="AB6" s="336">
        <f>SUMIFS('2. Kalkyldata'!$H$23:$H$27,'2. Kalkyldata'!$E$23:$E$27,"nyb",'2. Kalkyldata'!$M$23:$M$27,'4. NPV'!AB3)</f>
        <v>0</v>
      </c>
      <c r="AC6" s="336">
        <f>SUMIFS('2. Kalkyldata'!$H$23:$H$27,'2. Kalkyldata'!$E$23:$E$27,"nyb",'2. Kalkyldata'!$M$23:$M$27,'4. NPV'!AC3)</f>
        <v>0</v>
      </c>
      <c r="AD6" s="336">
        <f>SUMIFS('2. Kalkyldata'!$H$23:$H$27,'2. Kalkyldata'!$E$23:$E$27,"nyb",'2. Kalkyldata'!$M$23:$M$27,'4. NPV'!AD3)</f>
        <v>0</v>
      </c>
      <c r="AE6" s="336">
        <f>SUMIFS('2. Kalkyldata'!$H$23:$H$27,'2. Kalkyldata'!$E$23:$E$27,"nyb",'2. Kalkyldata'!$M$23:$M$27,'4. NPV'!AE3)</f>
        <v>0</v>
      </c>
      <c r="AF6" s="336">
        <f>SUMIFS('2. Kalkyldata'!$H$23:$H$27,'2. Kalkyldata'!$E$23:$E$27,"nyb",'2. Kalkyldata'!$M$23:$M$27,'4. NPV'!AF3)</f>
        <v>0</v>
      </c>
      <c r="AG6" s="336">
        <f>SUMIFS('2. Kalkyldata'!$H$23:$H$27,'2. Kalkyldata'!$E$23:$E$27,"nyb",'2. Kalkyldata'!$M$23:$M$27,'4. NPV'!AG3)</f>
        <v>0</v>
      </c>
      <c r="AH6" s="336">
        <f>SUMIFS('2. Kalkyldata'!$H$23:$H$27,'2. Kalkyldata'!$E$23:$E$27,"nyb",'2. Kalkyldata'!$M$23:$M$27,'4. NPV'!AH3)</f>
        <v>0</v>
      </c>
      <c r="AI6" s="336">
        <f>SUMIFS('2. Kalkyldata'!$H$23:$H$27,'2. Kalkyldata'!$E$23:$E$27,"nyb",'2. Kalkyldata'!$M$23:$M$27,'4. NPV'!AI3)</f>
        <v>0</v>
      </c>
      <c r="AJ6" s="336">
        <f>SUMIFS('2. Kalkyldata'!$H$23:$H$27,'2. Kalkyldata'!$E$23:$E$27,"nyb",'2. Kalkyldata'!$M$23:$M$27,'4. NPV'!AJ3)</f>
        <v>0</v>
      </c>
      <c r="AK6" s="336">
        <f>SUMIFS('2. Kalkyldata'!$H$23:$H$27,'2. Kalkyldata'!$E$23:$E$27,"nyb",'2. Kalkyldata'!$M$23:$M$27,'4. NPV'!AK3)</f>
        <v>0</v>
      </c>
      <c r="AL6" s="336">
        <f>SUMIFS('2. Kalkyldata'!$H$23:$H$27,'2. Kalkyldata'!$E$23:$E$27,"nyb",'2. Kalkyldata'!$M$23:$M$27,'4. NPV'!AL3)</f>
        <v>0</v>
      </c>
      <c r="AM6" s="336">
        <f>SUMIFS('2. Kalkyldata'!$H$23:$H$27,'2. Kalkyldata'!$E$23:$E$27,"nyb",'2. Kalkyldata'!$M$23:$M$27,'4. NPV'!AM3)</f>
        <v>0</v>
      </c>
      <c r="AN6" s="336">
        <f>SUMIFS('2. Kalkyldata'!$H$23:$H$27,'2. Kalkyldata'!$E$23:$E$27,"nyb",'2. Kalkyldata'!$M$23:$M$27,'4. NPV'!AN3)</f>
        <v>0</v>
      </c>
      <c r="AO6" s="336">
        <f>SUMIFS('2. Kalkyldata'!$H$23:$H$27,'2. Kalkyldata'!$E$23:$E$27,"nyb",'2. Kalkyldata'!$M$23:$M$27,'4. NPV'!AO3)</f>
        <v>0</v>
      </c>
      <c r="AP6" s="336">
        <f>SUMIFS('2. Kalkyldata'!$H$23:$H$27,'2. Kalkyldata'!$E$23:$E$27,"nyb",'2. Kalkyldata'!$M$23:$M$27,'4. NPV'!AP3)</f>
        <v>0</v>
      </c>
      <c r="AQ6" s="336">
        <f>SUMIFS('2. Kalkyldata'!$H$23:$H$27,'2. Kalkyldata'!$E$23:$E$27,"nyb",'2. Kalkyldata'!$M$23:$M$27,'4. NPV'!AQ3)</f>
        <v>0</v>
      </c>
      <c r="AR6" s="336">
        <f>SUMIFS('2. Kalkyldata'!$H$23:$H$27,'2. Kalkyldata'!$E$23:$E$27,"nyb",'2. Kalkyldata'!$M$23:$M$27,'4. NPV'!AR3)</f>
        <v>0</v>
      </c>
      <c r="AS6" s="336">
        <f>SUMIFS('2. Kalkyldata'!$H$23:$H$27,'2. Kalkyldata'!$E$23:$E$27,"nyb",'2. Kalkyldata'!$M$23:$M$27,'4. NPV'!AS3)</f>
        <v>0</v>
      </c>
      <c r="AT6" s="336">
        <f>SUMIFS('2. Kalkyldata'!$H$23:$H$27,'2. Kalkyldata'!$E$23:$E$27,"nyb",'2. Kalkyldata'!$M$23:$M$27,'4. NPV'!AT3)</f>
        <v>0</v>
      </c>
      <c r="AU6" s="336">
        <f>SUMIFS('2. Kalkyldata'!$H$23:$H$27,'2. Kalkyldata'!$E$23:$E$27,"nyb",'2. Kalkyldata'!$M$23:$M$27,'4. NPV'!AU3)</f>
        <v>0</v>
      </c>
      <c r="AV6" s="336">
        <f>SUMIFS('2. Kalkyldata'!$H$23:$H$27,'2. Kalkyldata'!$E$23:$E$27,"nyb",'2. Kalkyldata'!$M$23:$M$27,'4. NPV'!AV3)</f>
        <v>0</v>
      </c>
      <c r="AW6" s="336">
        <f>SUMIFS('2. Kalkyldata'!$H$23:$H$27,'2. Kalkyldata'!$E$23:$E$27,"nyb",'2. Kalkyldata'!$M$23:$M$27,'4. NPV'!AW3)</f>
        <v>0</v>
      </c>
      <c r="AX6" s="336">
        <f>SUMIFS('2. Kalkyldata'!$H$23:$H$27,'2. Kalkyldata'!$E$23:$E$27,"nyb",'2. Kalkyldata'!$M$23:$M$27,'4. NPV'!AX3)</f>
        <v>0</v>
      </c>
      <c r="AY6" s="336">
        <f>SUMIFS('2. Kalkyldata'!$H$23:$H$27,'2. Kalkyldata'!$E$23:$E$27,"nyb",'2. Kalkyldata'!$M$23:$M$27,'4. NPV'!AY3)</f>
        <v>0</v>
      </c>
      <c r="AZ6" s="336">
        <f>SUMIFS('2. Kalkyldata'!$H$23:$H$27,'2. Kalkyldata'!$E$23:$E$27,"nyb",'2. Kalkyldata'!$M$23:$M$27,'4. NPV'!AZ3)</f>
        <v>0</v>
      </c>
      <c r="BA6" s="336">
        <f>SUMIFS('2. Kalkyldata'!$H$23:$H$27,'2. Kalkyldata'!$E$23:$E$27,"nyb",'2. Kalkyldata'!$M$23:$M$27,'4. NPV'!BA3)</f>
        <v>0</v>
      </c>
    </row>
    <row r="7" spans="1:53" s="188" customFormat="1" ht="11.25">
      <c r="B7" s="336" t="s">
        <v>170</v>
      </c>
      <c r="C7" s="337"/>
      <c r="D7" s="338">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38">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38">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38">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38">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38">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38">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38">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38">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38">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38">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38">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38">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38">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38">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38">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38">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38">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38">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38">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38">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38">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38">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38">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38">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38">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38">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38">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38">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38">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38">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38">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38">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38">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38">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38">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38">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38">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38">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38">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38">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38">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38">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38">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38">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38">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38">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38">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38">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38">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06"/>
      <c r="B8" s="311" t="s">
        <v>227</v>
      </c>
      <c r="C8" s="339">
        <f>D8</f>
        <v>6100</v>
      </c>
      <c r="D8" s="311">
        <f>D6+D7</f>
        <v>6100</v>
      </c>
      <c r="E8" s="311">
        <f t="shared" ref="E8:BA8" si="1">E6+E7</f>
        <v>6100</v>
      </c>
      <c r="F8" s="311">
        <f t="shared" si="1"/>
        <v>6100</v>
      </c>
      <c r="G8" s="311">
        <f t="shared" si="1"/>
        <v>6100</v>
      </c>
      <c r="H8" s="311">
        <f t="shared" si="1"/>
        <v>6100</v>
      </c>
      <c r="I8" s="311">
        <f t="shared" si="1"/>
        <v>6100</v>
      </c>
      <c r="J8" s="311">
        <f t="shared" si="1"/>
        <v>6100</v>
      </c>
      <c r="K8" s="311">
        <f t="shared" si="1"/>
        <v>6100</v>
      </c>
      <c r="L8" s="311">
        <f t="shared" si="1"/>
        <v>6100</v>
      </c>
      <c r="M8" s="311">
        <f t="shared" si="1"/>
        <v>6100</v>
      </c>
      <c r="N8" s="311">
        <f t="shared" si="1"/>
        <v>6100</v>
      </c>
      <c r="O8" s="311">
        <f t="shared" si="1"/>
        <v>6100</v>
      </c>
      <c r="P8" s="311">
        <f t="shared" si="1"/>
        <v>6100</v>
      </c>
      <c r="Q8" s="311">
        <f t="shared" si="1"/>
        <v>6100</v>
      </c>
      <c r="R8" s="311">
        <f t="shared" si="1"/>
        <v>6100</v>
      </c>
      <c r="S8" s="311">
        <f t="shared" si="1"/>
        <v>6100</v>
      </c>
      <c r="T8" s="311">
        <f t="shared" si="1"/>
        <v>6100</v>
      </c>
      <c r="U8" s="311">
        <f t="shared" si="1"/>
        <v>6100</v>
      </c>
      <c r="V8" s="311">
        <f t="shared" si="1"/>
        <v>6100</v>
      </c>
      <c r="W8" s="311">
        <f t="shared" si="1"/>
        <v>6100</v>
      </c>
      <c r="X8" s="311">
        <f t="shared" si="1"/>
        <v>6100</v>
      </c>
      <c r="Y8" s="311">
        <f t="shared" si="1"/>
        <v>0</v>
      </c>
      <c r="Z8" s="311">
        <f t="shared" si="1"/>
        <v>0</v>
      </c>
      <c r="AA8" s="311">
        <f t="shared" si="1"/>
        <v>0</v>
      </c>
      <c r="AB8" s="311">
        <f t="shared" si="1"/>
        <v>0</v>
      </c>
      <c r="AC8" s="311">
        <f t="shared" si="1"/>
        <v>0</v>
      </c>
      <c r="AD8" s="311">
        <f t="shared" si="1"/>
        <v>0</v>
      </c>
      <c r="AE8" s="311">
        <f t="shared" si="1"/>
        <v>0</v>
      </c>
      <c r="AF8" s="311">
        <f t="shared" si="1"/>
        <v>0</v>
      </c>
      <c r="AG8" s="311">
        <f t="shared" si="1"/>
        <v>0</v>
      </c>
      <c r="AH8" s="311">
        <f t="shared" si="1"/>
        <v>0</v>
      </c>
      <c r="AI8" s="311">
        <f t="shared" si="1"/>
        <v>0</v>
      </c>
      <c r="AJ8" s="311">
        <f t="shared" si="1"/>
        <v>0</v>
      </c>
      <c r="AK8" s="311">
        <f t="shared" si="1"/>
        <v>0</v>
      </c>
      <c r="AL8" s="311">
        <f t="shared" si="1"/>
        <v>0</v>
      </c>
      <c r="AM8" s="311">
        <f t="shared" si="1"/>
        <v>0</v>
      </c>
      <c r="AN8" s="311">
        <f t="shared" si="1"/>
        <v>0</v>
      </c>
      <c r="AO8" s="311">
        <f t="shared" si="1"/>
        <v>0</v>
      </c>
      <c r="AP8" s="311">
        <f t="shared" si="1"/>
        <v>0</v>
      </c>
      <c r="AQ8" s="311">
        <f t="shared" si="1"/>
        <v>0</v>
      </c>
      <c r="AR8" s="311">
        <f t="shared" si="1"/>
        <v>0</v>
      </c>
      <c r="AS8" s="311">
        <f t="shared" si="1"/>
        <v>0</v>
      </c>
      <c r="AT8" s="311">
        <f t="shared" si="1"/>
        <v>0</v>
      </c>
      <c r="AU8" s="311">
        <f t="shared" si="1"/>
        <v>0</v>
      </c>
      <c r="AV8" s="311">
        <f t="shared" si="1"/>
        <v>0</v>
      </c>
      <c r="AW8" s="311">
        <f t="shared" si="1"/>
        <v>0</v>
      </c>
      <c r="AX8" s="311">
        <f t="shared" si="1"/>
        <v>0</v>
      </c>
      <c r="AY8" s="311">
        <f t="shared" si="1"/>
        <v>0</v>
      </c>
      <c r="AZ8" s="311">
        <f t="shared" si="1"/>
        <v>0</v>
      </c>
      <c r="BA8" s="311">
        <f t="shared" si="1"/>
        <v>0</v>
      </c>
    </row>
    <row r="9" spans="1:53">
      <c r="A9" s="506"/>
      <c r="B9" s="312" t="s">
        <v>166</v>
      </c>
      <c r="C9" s="340"/>
      <c r="D9" s="312">
        <f>'3. Finansiering'!D15</f>
        <v>-239999999.99999997</v>
      </c>
      <c r="E9" s="312">
        <f>'3. Finansiering'!E15</f>
        <v>0</v>
      </c>
      <c r="F9" s="312">
        <f>'3. Finansiering'!F15</f>
        <v>0</v>
      </c>
      <c r="G9" s="312">
        <f>'3. Finansiering'!G15</f>
        <v>0</v>
      </c>
      <c r="H9" s="312">
        <f>'3. Finansiering'!H15</f>
        <v>0</v>
      </c>
      <c r="I9" s="312">
        <f>'3. Finansiering'!I15</f>
        <v>0</v>
      </c>
      <c r="J9" s="312">
        <f>'3. Finansiering'!J15</f>
        <v>0</v>
      </c>
      <c r="K9" s="312">
        <f>'3. Finansiering'!K15</f>
        <v>0</v>
      </c>
      <c r="L9" s="312">
        <f>'3. Finansiering'!L15</f>
        <v>0</v>
      </c>
      <c r="M9" s="312">
        <f>'3. Finansiering'!M15</f>
        <v>0</v>
      </c>
      <c r="N9" s="312">
        <f>'3. Finansiering'!N15</f>
        <v>0</v>
      </c>
      <c r="O9" s="312">
        <f>'3. Finansiering'!O15</f>
        <v>0</v>
      </c>
      <c r="P9" s="312">
        <f>'3. Finansiering'!P15</f>
        <v>0</v>
      </c>
      <c r="Q9" s="312">
        <f>'3. Finansiering'!Q15</f>
        <v>0</v>
      </c>
      <c r="R9" s="312">
        <f>'3. Finansiering'!R15</f>
        <v>0</v>
      </c>
      <c r="S9" s="312">
        <f>'3. Finansiering'!S15</f>
        <v>0</v>
      </c>
      <c r="T9" s="312">
        <f>'3. Finansiering'!T15</f>
        <v>0</v>
      </c>
      <c r="U9" s="312">
        <f>'3. Finansiering'!U15</f>
        <v>0</v>
      </c>
      <c r="V9" s="312">
        <f>'3. Finansiering'!V15</f>
        <v>0</v>
      </c>
      <c r="W9" s="312">
        <f>'3. Finansiering'!W15</f>
        <v>0</v>
      </c>
      <c r="X9" s="312">
        <f>'3. Finansiering'!X15</f>
        <v>0</v>
      </c>
      <c r="Y9" s="312">
        <f>'3. Finansiering'!Y15</f>
        <v>0</v>
      </c>
      <c r="Z9" s="312">
        <f>'3. Finansiering'!Z15</f>
        <v>0</v>
      </c>
      <c r="AA9" s="312">
        <f>'3. Finansiering'!AA15</f>
        <v>0</v>
      </c>
      <c r="AB9" s="312">
        <f>'3. Finansiering'!AB15</f>
        <v>0</v>
      </c>
      <c r="AC9" s="312">
        <f>'3. Finansiering'!AC15</f>
        <v>0</v>
      </c>
      <c r="AD9" s="312">
        <f>'3. Finansiering'!AD15</f>
        <v>0</v>
      </c>
      <c r="AE9" s="312">
        <f>'3. Finansiering'!AE15</f>
        <v>0</v>
      </c>
      <c r="AF9" s="312">
        <f>'3. Finansiering'!AF15</f>
        <v>0</v>
      </c>
      <c r="AG9" s="312">
        <f>'3. Finansiering'!AG15</f>
        <v>0</v>
      </c>
      <c r="AH9" s="312">
        <f>'3. Finansiering'!AH15</f>
        <v>0</v>
      </c>
      <c r="AI9" s="312">
        <f>'3. Finansiering'!AI15</f>
        <v>0</v>
      </c>
      <c r="AJ9" s="312">
        <f>'3. Finansiering'!AJ15</f>
        <v>0</v>
      </c>
      <c r="AK9" s="312">
        <f>'3. Finansiering'!AK15</f>
        <v>0</v>
      </c>
      <c r="AL9" s="312">
        <f>'3. Finansiering'!AL15</f>
        <v>0</v>
      </c>
      <c r="AM9" s="312">
        <f>'3. Finansiering'!AM15</f>
        <v>0</v>
      </c>
      <c r="AN9" s="312">
        <f>'3. Finansiering'!AN15</f>
        <v>0</v>
      </c>
      <c r="AO9" s="312">
        <f>'3. Finansiering'!AO15</f>
        <v>0</v>
      </c>
      <c r="AP9" s="312">
        <f>'3. Finansiering'!AP15</f>
        <v>0</v>
      </c>
      <c r="AQ9" s="312">
        <f>'3. Finansiering'!AQ15</f>
        <v>0</v>
      </c>
      <c r="AR9" s="312">
        <f>'3. Finansiering'!AR15</f>
        <v>0</v>
      </c>
      <c r="AS9" s="312">
        <f>'3. Finansiering'!AS15</f>
        <v>0</v>
      </c>
      <c r="AT9" s="312">
        <f>'3. Finansiering'!AT15</f>
        <v>0</v>
      </c>
      <c r="AU9" s="312">
        <f>'3. Finansiering'!AU15</f>
        <v>0</v>
      </c>
      <c r="AV9" s="312">
        <f>'3. Finansiering'!AV15</f>
        <v>0</v>
      </c>
      <c r="AW9" s="312">
        <f>'3. Finansiering'!AW15</f>
        <v>0</v>
      </c>
      <c r="AX9" s="312">
        <f>'3. Finansiering'!AX15</f>
        <v>0</v>
      </c>
      <c r="AY9" s="312">
        <f>'3. Finansiering'!AY15</f>
        <v>0</v>
      </c>
      <c r="AZ9" s="312">
        <f>'3. Finansiering'!AZ15</f>
        <v>0</v>
      </c>
      <c r="BA9" s="312">
        <f>'3. Finansiering'!BA15</f>
        <v>0</v>
      </c>
    </row>
    <row r="11" spans="1:53">
      <c r="A11" s="506"/>
      <c r="B11" s="331"/>
      <c r="C11" s="331" t="str">
        <f>CONCATENATE("kr/kvm, ",D4)</f>
        <v>kr/kvm, 2026</v>
      </c>
      <c r="D11" s="331">
        <f t="shared" ref="D11:AI11" si="2">D4</f>
        <v>2026</v>
      </c>
      <c r="E11" s="331">
        <f t="shared" si="2"/>
        <v>2027</v>
      </c>
      <c r="F11" s="331">
        <f t="shared" si="2"/>
        <v>2028</v>
      </c>
      <c r="G11" s="331">
        <f t="shared" si="2"/>
        <v>2029</v>
      </c>
      <c r="H11" s="331">
        <f t="shared" si="2"/>
        <v>2030</v>
      </c>
      <c r="I11" s="331">
        <f t="shared" si="2"/>
        <v>2031</v>
      </c>
      <c r="J11" s="331">
        <f t="shared" si="2"/>
        <v>2032</v>
      </c>
      <c r="K11" s="331">
        <f t="shared" si="2"/>
        <v>2033</v>
      </c>
      <c r="L11" s="331">
        <f t="shared" si="2"/>
        <v>2034</v>
      </c>
      <c r="M11" s="331">
        <f t="shared" si="2"/>
        <v>2035</v>
      </c>
      <c r="N11" s="331">
        <f t="shared" si="2"/>
        <v>2036</v>
      </c>
      <c r="O11" s="331">
        <f t="shared" si="2"/>
        <v>2037</v>
      </c>
      <c r="P11" s="331">
        <f t="shared" si="2"/>
        <v>2038</v>
      </c>
      <c r="Q11" s="331">
        <f t="shared" si="2"/>
        <v>2039</v>
      </c>
      <c r="R11" s="331">
        <f t="shared" si="2"/>
        <v>2040</v>
      </c>
      <c r="S11" s="331">
        <f t="shared" si="2"/>
        <v>2041</v>
      </c>
      <c r="T11" s="331">
        <f t="shared" si="2"/>
        <v>2042</v>
      </c>
      <c r="U11" s="331">
        <f t="shared" si="2"/>
        <v>2043</v>
      </c>
      <c r="V11" s="331">
        <f t="shared" si="2"/>
        <v>2044</v>
      </c>
      <c r="W11" s="331">
        <f t="shared" si="2"/>
        <v>2045</v>
      </c>
      <c r="X11" s="331">
        <f t="shared" si="2"/>
        <v>2046</v>
      </c>
      <c r="Y11" s="331" t="str">
        <f t="shared" si="2"/>
        <v/>
      </c>
      <c r="Z11" s="331" t="str">
        <f t="shared" si="2"/>
        <v/>
      </c>
      <c r="AA11" s="331" t="str">
        <f t="shared" si="2"/>
        <v/>
      </c>
      <c r="AB11" s="331" t="str">
        <f t="shared" si="2"/>
        <v/>
      </c>
      <c r="AC11" s="331" t="str">
        <f t="shared" si="2"/>
        <v/>
      </c>
      <c r="AD11" s="331" t="str">
        <f t="shared" si="2"/>
        <v/>
      </c>
      <c r="AE11" s="331" t="str">
        <f t="shared" si="2"/>
        <v/>
      </c>
      <c r="AF11" s="331" t="str">
        <f t="shared" si="2"/>
        <v/>
      </c>
      <c r="AG11" s="331" t="str">
        <f t="shared" si="2"/>
        <v/>
      </c>
      <c r="AH11" s="331" t="str">
        <f t="shared" si="2"/>
        <v/>
      </c>
      <c r="AI11" s="331" t="str">
        <f t="shared" si="2"/>
        <v/>
      </c>
      <c r="AJ11" s="331" t="str">
        <f t="shared" ref="AJ11:BA11" si="3">AJ4</f>
        <v/>
      </c>
      <c r="AK11" s="331" t="str">
        <f t="shared" si="3"/>
        <v/>
      </c>
      <c r="AL11" s="331" t="str">
        <f t="shared" si="3"/>
        <v/>
      </c>
      <c r="AM11" s="331" t="str">
        <f t="shared" si="3"/>
        <v/>
      </c>
      <c r="AN11" s="331" t="str">
        <f t="shared" si="3"/>
        <v/>
      </c>
      <c r="AO11" s="331" t="str">
        <f t="shared" si="3"/>
        <v/>
      </c>
      <c r="AP11" s="331" t="str">
        <f t="shared" si="3"/>
        <v/>
      </c>
      <c r="AQ11" s="331" t="str">
        <f t="shared" si="3"/>
        <v/>
      </c>
      <c r="AR11" s="331" t="str">
        <f t="shared" si="3"/>
        <v/>
      </c>
      <c r="AS11" s="331" t="str">
        <f t="shared" si="3"/>
        <v/>
      </c>
      <c r="AT11" s="331" t="str">
        <f t="shared" si="3"/>
        <v/>
      </c>
      <c r="AU11" s="331" t="str">
        <f t="shared" si="3"/>
        <v/>
      </c>
      <c r="AV11" s="331" t="str">
        <f t="shared" si="3"/>
        <v/>
      </c>
      <c r="AW11" s="331" t="str">
        <f t="shared" si="3"/>
        <v/>
      </c>
      <c r="AX11" s="331" t="str">
        <f t="shared" si="3"/>
        <v/>
      </c>
      <c r="AY11" s="331" t="str">
        <f t="shared" si="3"/>
        <v/>
      </c>
      <c r="AZ11" s="331" t="str">
        <f t="shared" si="3"/>
        <v/>
      </c>
      <c r="BA11" s="331" t="str">
        <f t="shared" si="3"/>
        <v/>
      </c>
    </row>
    <row r="12" spans="1:53">
      <c r="A12" s="506"/>
      <c r="B12" s="229" t="str">
        <f>CONCATENATE("Intäkter ",'2. Kalkyldata'!C23)</f>
        <v>Intäkter Skola</v>
      </c>
      <c r="C12" s="332">
        <f>IFERROR(D12/$C$8,0)</f>
        <v>2650</v>
      </c>
      <c r="D12" s="230">
        <f>IF(D$4="",0,((1+'2. Kalkyldata'!$M$9*'2. Kalkyldata'!$J23)^(D$4-$D$4)))*IF((D$4&gt;='2. Kalkyldata'!$M23),IF(D$4="",0,IF(AND(D$4&gt;='2. Kalkyldata'!$M23,'4. NPV'!D$4&lt;='2. Kalkyldata'!$N23),'2. Kalkyldata'!$L23,'2. Kalkyldata'!$O23*'2. Kalkyldata'!$H23)),0)</f>
        <v>16165000</v>
      </c>
      <c r="E12" s="230">
        <f>IF(E$4="",0,((1+'2. Kalkyldata'!$M$9*'2. Kalkyldata'!$J23)^(E$4-'2. Kalkyldata'!$M23)))*IF((E$4&gt;='2. Kalkyldata'!$M23),IF(E$4="",0,IF(AND(E$4&gt;='2. Kalkyldata'!$M23,'4. NPV'!E$4&lt;='2. Kalkyldata'!$N23),'2. Kalkyldata'!$L23,'2. Kalkyldata'!$O23*'2. Kalkyldata'!$H23)),0)</f>
        <v>16391310</v>
      </c>
      <c r="F12" s="230">
        <f>IF(F$4="",0,((1+'2. Kalkyldata'!$M$9*'2. Kalkyldata'!$J23)^(F$4-'2. Kalkyldata'!$M23)))*IF((F$4&gt;='2. Kalkyldata'!$M23),IF(F$4="",0,IF(AND(F$4&gt;='2. Kalkyldata'!$M23,'4. NPV'!F$4&lt;='2. Kalkyldata'!$N23),'2. Kalkyldata'!$L23,'2. Kalkyldata'!$O23*'2. Kalkyldata'!$H23)),0)</f>
        <v>16620788.340000002</v>
      </c>
      <c r="G12" s="230">
        <f>IF(G$4="",0,((1+'2. Kalkyldata'!$M$9*'2. Kalkyldata'!$J23)^(G$4-'2. Kalkyldata'!$M23)))*IF((G$4&gt;='2. Kalkyldata'!$M23),IF(G$4="",0,IF(AND(G$4&gt;='2. Kalkyldata'!$M23,'4. NPV'!G$4&lt;='2. Kalkyldata'!$N23),'2. Kalkyldata'!$L23,'2. Kalkyldata'!$O23*'2. Kalkyldata'!$H23)),0)</f>
        <v>16853479.376760002</v>
      </c>
      <c r="H12" s="230">
        <f>IF(H$4="",0,((1+'2. Kalkyldata'!$M$9*'2. Kalkyldata'!$J23)^(H$4-'2. Kalkyldata'!$M23)))*IF((H$4&gt;='2. Kalkyldata'!$M23),IF(H$4="",0,IF(AND(H$4&gt;='2. Kalkyldata'!$M23,'4. NPV'!H$4&lt;='2. Kalkyldata'!$N23),'2. Kalkyldata'!$L23,'2. Kalkyldata'!$O23*'2. Kalkyldata'!$H23)),0)</f>
        <v>17089428.088034645</v>
      </c>
      <c r="I12" s="230">
        <f>IF(I$4="",0,((1+'2. Kalkyldata'!$M$9*'2. Kalkyldata'!$J23)^(I$4-'2. Kalkyldata'!$M23)))*IF((I$4&gt;='2. Kalkyldata'!$M23),IF(I$4="",0,IF(AND(I$4&gt;='2. Kalkyldata'!$M23,'4. NPV'!I$4&lt;='2. Kalkyldata'!$N23),'2. Kalkyldata'!$L23,'2. Kalkyldata'!$O23*'2. Kalkyldata'!$H23)),0)</f>
        <v>17328680.08126713</v>
      </c>
      <c r="J12" s="230">
        <f>IF(J$4="",0,((1+'2. Kalkyldata'!$M$9*'2. Kalkyldata'!$J23)^(J$4-'2. Kalkyldata'!$M23)))*IF((J$4&gt;='2. Kalkyldata'!$M23),IF(J$4="",0,IF(AND(J$4&gt;='2. Kalkyldata'!$M23,'4. NPV'!J$4&lt;='2. Kalkyldata'!$N23),'2. Kalkyldata'!$L23,'2. Kalkyldata'!$O23*'2. Kalkyldata'!$H23)),0)</f>
        <v>17571281.60240487</v>
      </c>
      <c r="K12" s="230">
        <f>IF(K$4="",0,((1+'2. Kalkyldata'!$M$9*'2. Kalkyldata'!$J23)^(K$4-'2. Kalkyldata'!$M23)))*IF((K$4&gt;='2. Kalkyldata'!$M23),IF(K$4="",0,IF(AND(K$4&gt;='2. Kalkyldata'!$M23,'4. NPV'!K$4&lt;='2. Kalkyldata'!$N23),'2. Kalkyldata'!$L23,'2. Kalkyldata'!$O23*'2. Kalkyldata'!$H23)),0)</f>
        <v>17817279.54483854</v>
      </c>
      <c r="L12" s="230">
        <f>IF(L$4="",0,((1+'2. Kalkyldata'!$M$9*'2. Kalkyldata'!$J23)^(L$4-'2. Kalkyldata'!$M23)))*IF((L$4&gt;='2. Kalkyldata'!$M23),IF(L$4="",0,IF(AND(L$4&gt;='2. Kalkyldata'!$M23,'4. NPV'!L$4&lt;='2. Kalkyldata'!$N23),'2. Kalkyldata'!$L23,'2. Kalkyldata'!$O23*'2. Kalkyldata'!$H23)),0)</f>
        <v>18066721.458466284</v>
      </c>
      <c r="M12" s="230">
        <f>IF(M$4="",0,((1+'2. Kalkyldata'!$M$9*'2. Kalkyldata'!$J23)^(M$4-'2. Kalkyldata'!$M23)))*IF((M$4&gt;='2. Kalkyldata'!$M23),IF(M$4="",0,IF(AND(M$4&gt;='2. Kalkyldata'!$M23,'4. NPV'!M$4&lt;='2. Kalkyldata'!$N23),'2. Kalkyldata'!$L23,'2. Kalkyldata'!$O23*'2. Kalkyldata'!$H23)),0)</f>
        <v>18319655.558884811</v>
      </c>
      <c r="N12" s="230">
        <f>IF(N$4="",0,((1+'2. Kalkyldata'!$M$9*'2. Kalkyldata'!$J23)^(N$4-'2. Kalkyldata'!$M23)))*IF((N$4&gt;='2. Kalkyldata'!$M23),IF(N$4="",0,IF(AND(N$4&gt;='2. Kalkyldata'!$M23,'4. NPV'!N$4&lt;='2. Kalkyldata'!$N23),'2. Kalkyldata'!$L23,'2. Kalkyldata'!$O23*'2. Kalkyldata'!$H23)),0)</f>
        <v>18576130.7367092</v>
      </c>
      <c r="O12" s="230">
        <f>IF(O$4="",0,((1+'2. Kalkyldata'!$M$9*'2. Kalkyldata'!$J23)^(O$4-'2. Kalkyldata'!$M23)))*IF((O$4&gt;='2. Kalkyldata'!$M23),IF(O$4="",0,IF(AND(O$4&gt;='2. Kalkyldata'!$M23,'4. NPV'!O$4&lt;='2. Kalkyldata'!$N23),'2. Kalkyldata'!$L23,'2. Kalkyldata'!$O23*'2. Kalkyldata'!$H23)),0)</f>
        <v>18836196.567023128</v>
      </c>
      <c r="P12" s="230">
        <f>IF(P$4="",0,((1+'2. Kalkyldata'!$M$9*'2. Kalkyldata'!$J23)^(P$4-'2. Kalkyldata'!$M23)))*IF((P$4&gt;='2. Kalkyldata'!$M23),IF(P$4="",0,IF(AND(P$4&gt;='2. Kalkyldata'!$M23,'4. NPV'!P$4&lt;='2. Kalkyldata'!$N23),'2. Kalkyldata'!$L23,'2. Kalkyldata'!$O23*'2. Kalkyldata'!$H23)),0)</f>
        <v>19099903.318961456</v>
      </c>
      <c r="Q12" s="230">
        <f>IF(Q$4="",0,((1+'2. Kalkyldata'!$M$9*'2. Kalkyldata'!$J23)^(Q$4-'2. Kalkyldata'!$M23)))*IF((Q$4&gt;='2. Kalkyldata'!$M23),IF(Q$4="",0,IF(AND(Q$4&gt;='2. Kalkyldata'!$M23,'4. NPV'!Q$4&lt;='2. Kalkyldata'!$N23),'2. Kalkyldata'!$L23,'2. Kalkyldata'!$O23*'2. Kalkyldata'!$H23)),0)</f>
        <v>19367301.965426914</v>
      </c>
      <c r="R12" s="230">
        <f>IF(R$4="",0,((1+'2. Kalkyldata'!$M$9*'2. Kalkyldata'!$J23)^(R$4-'2. Kalkyldata'!$M23)))*IF((R$4&gt;='2. Kalkyldata'!$M23),IF(R$4="",0,IF(AND(R$4&gt;='2. Kalkyldata'!$M23,'4. NPV'!R$4&lt;='2. Kalkyldata'!$N23),'2. Kalkyldata'!$L23,'2. Kalkyldata'!$O23*'2. Kalkyldata'!$H23)),0)</f>
        <v>19638444.192942895</v>
      </c>
      <c r="S12" s="230">
        <f>IF(S$4="",0,((1+'2. Kalkyldata'!$M$9*'2. Kalkyldata'!$J23)^(S$4-'2. Kalkyldata'!$M23)))*IF((S$4&gt;='2. Kalkyldata'!$M23),IF(S$4="",0,IF(AND(S$4&gt;='2. Kalkyldata'!$M23,'4. NPV'!S$4&lt;='2. Kalkyldata'!$N23),'2. Kalkyldata'!$L23,'2. Kalkyldata'!$O23*'2. Kalkyldata'!$H23)),0)</f>
        <v>19913382.411644097</v>
      </c>
      <c r="T12" s="230">
        <f>IF(T$4="",0,((1+'2. Kalkyldata'!$M$9*'2. Kalkyldata'!$J23)^(T$4-'2. Kalkyldata'!$M23)))*IF((T$4&gt;='2. Kalkyldata'!$M23),IF(T$4="",0,IF(AND(T$4&gt;='2. Kalkyldata'!$M23,'4. NPV'!T$4&lt;='2. Kalkyldata'!$N23),'2. Kalkyldata'!$L23,'2. Kalkyldata'!$O23*'2. Kalkyldata'!$H23)),0)</f>
        <v>20192169.765407119</v>
      </c>
      <c r="U12" s="230">
        <f>IF(U$4="",0,((1+'2. Kalkyldata'!$M$9*'2. Kalkyldata'!$J23)^(U$4-'2. Kalkyldata'!$M23)))*IF((U$4&gt;='2. Kalkyldata'!$M23),IF(U$4="",0,IF(AND(U$4&gt;='2. Kalkyldata'!$M23,'4. NPV'!U$4&lt;='2. Kalkyldata'!$N23),'2. Kalkyldata'!$L23,'2. Kalkyldata'!$O23*'2. Kalkyldata'!$H23)),0)</f>
        <v>20474860.14212282</v>
      </c>
      <c r="V12" s="230">
        <f>IF(V$4="",0,((1+'2. Kalkyldata'!$M$9*'2. Kalkyldata'!$J23)^(V$4-'2. Kalkyldata'!$M23)))*IF((V$4&gt;='2. Kalkyldata'!$M23),IF(V$4="",0,IF(AND(V$4&gt;='2. Kalkyldata'!$M23,'4. NPV'!V$4&lt;='2. Kalkyldata'!$N23),'2. Kalkyldata'!$L23,'2. Kalkyldata'!$O23*'2. Kalkyldata'!$H23)),0)</f>
        <v>20761508.184112541</v>
      </c>
      <c r="W12" s="230">
        <f>IF(W$4="",0,((1+'2. Kalkyldata'!$M$9*'2. Kalkyldata'!$J23)^(W$4-'2. Kalkyldata'!$M23)))*IF((W$4&gt;='2. Kalkyldata'!$M23),IF(W$4="",0,IF(AND(W$4&gt;='2. Kalkyldata'!$M23,'4. NPV'!W$4&lt;='2. Kalkyldata'!$N23),'2. Kalkyldata'!$L23,'2. Kalkyldata'!$O23*'2. Kalkyldata'!$H23)),0)</f>
        <v>21052169.298690114</v>
      </c>
      <c r="X12" s="230">
        <f>IF(X$4="",0,((1+'2. Kalkyldata'!$M$9*'2. Kalkyldata'!$J23)^(X$4-'2. Kalkyldata'!$M23)))*IF((X$4&gt;='2. Kalkyldata'!$M23),IF(X$4="",0,IF(AND(X$4&gt;='2. Kalkyldata'!$M23,'4. NPV'!X$4&lt;='2. Kalkyldata'!$N23),'2. Kalkyldata'!$L23,'2. Kalkyldata'!$O23*'2. Kalkyldata'!$H23)),0)</f>
        <v>21346899.668871779</v>
      </c>
      <c r="Y12" s="230">
        <f>IF(Y$4="",0,((1+'2. Kalkyldata'!$M$9*'2. Kalkyldata'!$J23)^(Y$4-'2. Kalkyldata'!$M23)))*IF((Y$4&gt;='2. Kalkyldata'!$M23),IF(Y$4="",0,IF(AND(Y$4&gt;='2. Kalkyldata'!$M23,'4. NPV'!Y$4&lt;='2. Kalkyldata'!$N23),'2. Kalkyldata'!$L23,'2. Kalkyldata'!$O23*'2. Kalkyldata'!$H23)),0)</f>
        <v>0</v>
      </c>
      <c r="Z12" s="230">
        <f>IF(Z$4="",0,((1+'2. Kalkyldata'!$M$9*'2. Kalkyldata'!$J23)^(Z$4-'2. Kalkyldata'!$M23)))*IF((Z$4&gt;='2. Kalkyldata'!$M23),IF(Z$4="",0,IF(AND(Z$4&gt;='2. Kalkyldata'!$M23,'4. NPV'!Z$4&lt;='2. Kalkyldata'!$N23),'2. Kalkyldata'!$L23,'2. Kalkyldata'!$O23*'2. Kalkyldata'!$H23)),0)</f>
        <v>0</v>
      </c>
      <c r="AA12" s="230">
        <f>IF(AA$4="",0,((1+'2. Kalkyldata'!$M$9*'2. Kalkyldata'!$J23)^(AA$4-'2. Kalkyldata'!$M23)))*IF((AA$4&gt;='2. Kalkyldata'!$M23),IF(AA$4="",0,IF(AND(AA$4&gt;='2. Kalkyldata'!$M23,'4. NPV'!AA$4&lt;='2. Kalkyldata'!$N23),'2. Kalkyldata'!$L23,'2. Kalkyldata'!$O23*'2. Kalkyldata'!$H23)),0)</f>
        <v>0</v>
      </c>
      <c r="AB12" s="230">
        <f>IF(AB$4="",0,((1+'2. Kalkyldata'!$M$9*'2. Kalkyldata'!$J23)^(AB$4-'2. Kalkyldata'!$M23)))*IF((AB$4&gt;='2. Kalkyldata'!$M23),IF(AB$4="",0,IF(AND(AB$4&gt;='2. Kalkyldata'!$M23,'4. NPV'!AB$4&lt;='2. Kalkyldata'!$N23),'2. Kalkyldata'!$L23,'2. Kalkyldata'!$O23*'2. Kalkyldata'!$H23)),0)</f>
        <v>0</v>
      </c>
      <c r="AC12" s="230">
        <f>IF(AC$4="",0,((1+'2. Kalkyldata'!$M$9*'2. Kalkyldata'!$J23)^(AC$4-'2. Kalkyldata'!$M23)))*IF((AC$4&gt;='2. Kalkyldata'!$M23),IF(AC$4="",0,IF(AND(AC$4&gt;='2. Kalkyldata'!$M23,'4. NPV'!AC$4&lt;='2. Kalkyldata'!$N23),'2. Kalkyldata'!$L23,'2. Kalkyldata'!$O23*'2. Kalkyldata'!$H23)),0)</f>
        <v>0</v>
      </c>
      <c r="AD12" s="230">
        <f>IF(AD$4="",0,((1+'2. Kalkyldata'!$M$9*'2. Kalkyldata'!$J23)^(AD$4-'2. Kalkyldata'!$M23)))*IF((AD$4&gt;='2. Kalkyldata'!$M23),IF(AD$4="",0,IF(AND(AD$4&gt;='2. Kalkyldata'!$M23,'4. NPV'!AD$4&lt;='2. Kalkyldata'!$N23),'2. Kalkyldata'!$L23,'2. Kalkyldata'!$O23*'2. Kalkyldata'!$H23)),0)</f>
        <v>0</v>
      </c>
      <c r="AE12" s="230">
        <f>IF(AE$4="",0,((1+'2. Kalkyldata'!$M$9*'2. Kalkyldata'!$J23)^(AE$4-'2. Kalkyldata'!$M23)))*IF((AE$4&gt;='2. Kalkyldata'!$M23),IF(AE$4="",0,IF(AND(AE$4&gt;='2. Kalkyldata'!$M23,'4. NPV'!AE$4&lt;='2. Kalkyldata'!$N23),'2. Kalkyldata'!$L23,'2. Kalkyldata'!$O23*'2. Kalkyldata'!$H23)),0)</f>
        <v>0</v>
      </c>
      <c r="AF12" s="230">
        <f>IF(AF$4="",0,((1+'2. Kalkyldata'!$M$9*'2. Kalkyldata'!$J23)^(AF$4-'2. Kalkyldata'!$M23)))*IF((AF$4&gt;='2. Kalkyldata'!$M23),IF(AF$4="",0,IF(AND(AF$4&gt;='2. Kalkyldata'!$M23,'4. NPV'!AF$4&lt;='2. Kalkyldata'!$N23),'2. Kalkyldata'!$L23,'2. Kalkyldata'!$O23*'2. Kalkyldata'!$H23)),0)</f>
        <v>0</v>
      </c>
      <c r="AG12" s="230">
        <f>IF(AG$4="",0,((1+'2. Kalkyldata'!$M$9*'2. Kalkyldata'!$J23)^(AG$4-'2. Kalkyldata'!$M23)))*IF((AG$4&gt;='2. Kalkyldata'!$M23),IF(AG$4="",0,IF(AND(AG$4&gt;='2. Kalkyldata'!$M23,'4. NPV'!AG$4&lt;='2. Kalkyldata'!$N23),'2. Kalkyldata'!$L23,'2. Kalkyldata'!$O23*'2. Kalkyldata'!$H23)),0)</f>
        <v>0</v>
      </c>
      <c r="AH12" s="230">
        <f>IF(AH$4="",0,((1+'2. Kalkyldata'!$M$9*'2. Kalkyldata'!$J23)^(AH$4-'2. Kalkyldata'!$M23)))*IF((AH$4&gt;='2. Kalkyldata'!$M23),IF(AH$4="",0,IF(AND(AH$4&gt;='2. Kalkyldata'!$M23,'4. NPV'!AH$4&lt;='2. Kalkyldata'!$N23),'2. Kalkyldata'!$L23,'2. Kalkyldata'!$O23*'2. Kalkyldata'!$H23)),0)</f>
        <v>0</v>
      </c>
      <c r="AI12" s="230">
        <f>IF(AI$4="",0,((1+'2. Kalkyldata'!$M$9*'2. Kalkyldata'!$J23)^(AI$4-'2. Kalkyldata'!$M23)))*IF((AI$4&gt;='2. Kalkyldata'!$M23),IF(AI$4="",0,IF(AND(AI$4&gt;='2. Kalkyldata'!$M23,'4. NPV'!AI$4&lt;='2. Kalkyldata'!$N23),'2. Kalkyldata'!$L23,'2. Kalkyldata'!$O23*'2. Kalkyldata'!$H23)),0)</f>
        <v>0</v>
      </c>
      <c r="AJ12" s="230">
        <f>IF(AJ$4="",0,((1+'2. Kalkyldata'!$M$9*'2. Kalkyldata'!$J23)^(AJ$4-'2. Kalkyldata'!$M23)))*IF((AJ$4&gt;='2. Kalkyldata'!$M23),IF(AJ$4="",0,IF(AND(AJ$4&gt;='2. Kalkyldata'!$M23,'4. NPV'!AJ$4&lt;='2. Kalkyldata'!$N23),'2. Kalkyldata'!$L23,'2. Kalkyldata'!$O23*'2. Kalkyldata'!$H23)),0)</f>
        <v>0</v>
      </c>
      <c r="AK12" s="230">
        <f>IF(AK$4="",0,((1+'2. Kalkyldata'!$M$9*'2. Kalkyldata'!$J23)^(AK$4-'2. Kalkyldata'!$M23)))*IF((AK$4&gt;='2. Kalkyldata'!$M23),IF(AK$4="",0,IF(AND(AK$4&gt;='2. Kalkyldata'!$M23,'4. NPV'!AK$4&lt;='2. Kalkyldata'!$N23),'2. Kalkyldata'!$L23,'2. Kalkyldata'!$O23*'2. Kalkyldata'!$H23)),0)</f>
        <v>0</v>
      </c>
      <c r="AL12" s="230">
        <f>IF(AL$4="",0,((1+'2. Kalkyldata'!$M$9*'2. Kalkyldata'!$J23)^(AL$4-'2. Kalkyldata'!$M23)))*IF((AL$4&gt;='2. Kalkyldata'!$M23),IF(AL$4="",0,IF(AND(AL$4&gt;='2. Kalkyldata'!$M23,'4. NPV'!AL$4&lt;='2. Kalkyldata'!$N23),'2. Kalkyldata'!$L23,'2. Kalkyldata'!$O23*'2. Kalkyldata'!$H23)),0)</f>
        <v>0</v>
      </c>
      <c r="AM12" s="230">
        <f>IF(AM$4="",0,((1+'2. Kalkyldata'!$M$9*'2. Kalkyldata'!$J23)^(AM$4-'2. Kalkyldata'!$M23)))*IF((AM$4&gt;='2. Kalkyldata'!$M23),IF(AM$4="",0,IF(AND(AM$4&gt;='2. Kalkyldata'!$M23,'4. NPV'!AM$4&lt;='2. Kalkyldata'!$N23),'2. Kalkyldata'!$L23,'2. Kalkyldata'!$O23*'2. Kalkyldata'!$H23)),0)</f>
        <v>0</v>
      </c>
      <c r="AN12" s="230">
        <f>IF(AN$4="",0,((1+'2. Kalkyldata'!$M$9*'2. Kalkyldata'!$J23)^(AN$4-'2. Kalkyldata'!$M23)))*IF((AN$4&gt;='2. Kalkyldata'!$M23),IF(AN$4="",0,IF(AND(AN$4&gt;='2. Kalkyldata'!$M23,'4. NPV'!AN$4&lt;='2. Kalkyldata'!$N23),'2. Kalkyldata'!$L23,'2. Kalkyldata'!$O23*'2. Kalkyldata'!$H23)),0)</f>
        <v>0</v>
      </c>
      <c r="AO12" s="230">
        <f>IF(AO$4="",0,((1+'2. Kalkyldata'!$M$9*'2. Kalkyldata'!$J23)^(AO$4-'2. Kalkyldata'!$M23)))*IF((AO$4&gt;='2. Kalkyldata'!$M23),IF(AO$4="",0,IF(AND(AO$4&gt;='2. Kalkyldata'!$M23,'4. NPV'!AO$4&lt;='2. Kalkyldata'!$N23),'2. Kalkyldata'!$L23,'2. Kalkyldata'!$O23*'2. Kalkyldata'!$H23)),0)</f>
        <v>0</v>
      </c>
      <c r="AP12" s="230">
        <f>IF(AP$4="",0,((1+'2. Kalkyldata'!$M$9*'2. Kalkyldata'!$J23)^(AP$4-'2. Kalkyldata'!$M23)))*IF((AP$4&gt;='2. Kalkyldata'!$M23),IF(AP$4="",0,IF(AND(AP$4&gt;='2. Kalkyldata'!$M23,'4. NPV'!AP$4&lt;='2. Kalkyldata'!$N23),'2. Kalkyldata'!$L23,'2. Kalkyldata'!$O23*'2. Kalkyldata'!$H23)),0)</f>
        <v>0</v>
      </c>
      <c r="AQ12" s="230">
        <f>IF(AQ$4="",0,((1+'2. Kalkyldata'!$M$9*'2. Kalkyldata'!$J23)^(AQ$4-'2. Kalkyldata'!$M23)))*IF((AQ$4&gt;='2. Kalkyldata'!$M23),IF(AQ$4="",0,IF(AND(AQ$4&gt;='2. Kalkyldata'!$M23,'4. NPV'!AQ$4&lt;='2. Kalkyldata'!$N23),'2. Kalkyldata'!$L23,'2. Kalkyldata'!$O23*'2. Kalkyldata'!$H23)),0)</f>
        <v>0</v>
      </c>
      <c r="AR12" s="230">
        <f>IF(AR$4="",0,((1+'2. Kalkyldata'!$M$9*'2. Kalkyldata'!$J23)^(AR$4-'2. Kalkyldata'!$M23)))*IF((AR$4&gt;='2. Kalkyldata'!$M23),IF(AR$4="",0,IF(AND(AR$4&gt;='2. Kalkyldata'!$M23,'4. NPV'!AR$4&lt;='2. Kalkyldata'!$N23),'2. Kalkyldata'!$L23,'2. Kalkyldata'!$O23*'2. Kalkyldata'!$H23)),0)</f>
        <v>0</v>
      </c>
      <c r="AS12" s="230">
        <f>IF(AS$4="",0,((1+'2. Kalkyldata'!$M$9*'2. Kalkyldata'!$J23)^(AS$4-'2. Kalkyldata'!$M23)))*IF((AS$4&gt;='2. Kalkyldata'!$M23),IF(AS$4="",0,IF(AND(AS$4&gt;='2. Kalkyldata'!$M23,'4. NPV'!AS$4&lt;='2. Kalkyldata'!$N23),'2. Kalkyldata'!$L23,'2. Kalkyldata'!$O23*'2. Kalkyldata'!$H23)),0)</f>
        <v>0</v>
      </c>
      <c r="AT12" s="230">
        <f>IF(AT$4="",0,((1+'2. Kalkyldata'!$M$9*'2. Kalkyldata'!$J23)^(AT$4-'2. Kalkyldata'!$M23)))*IF((AT$4&gt;='2. Kalkyldata'!$M23),IF(AT$4="",0,IF(AND(AT$4&gt;='2. Kalkyldata'!$M23,'4. NPV'!AT$4&lt;='2. Kalkyldata'!$N23),'2. Kalkyldata'!$L23,'2. Kalkyldata'!$O23*'2. Kalkyldata'!$H23)),0)</f>
        <v>0</v>
      </c>
      <c r="AU12" s="230">
        <f>IF(AU$4="",0,((1+'2. Kalkyldata'!$M$9*'2. Kalkyldata'!$J23)^(AU$4-'2. Kalkyldata'!$M23)))*IF((AU$4&gt;='2. Kalkyldata'!$M23),IF(AU$4="",0,IF(AND(AU$4&gt;='2. Kalkyldata'!$M23,'4. NPV'!AU$4&lt;='2. Kalkyldata'!$N23),'2. Kalkyldata'!$L23,'2. Kalkyldata'!$O23*'2. Kalkyldata'!$H23)),0)</f>
        <v>0</v>
      </c>
      <c r="AV12" s="230">
        <f>IF(AV$4="",0,((1+'2. Kalkyldata'!$M$9*'2. Kalkyldata'!$J23)^(AV$4-'2. Kalkyldata'!$M23)))*IF((AV$4&gt;='2. Kalkyldata'!$M23),IF(AV$4="",0,IF(AND(AV$4&gt;='2. Kalkyldata'!$M23,'4. NPV'!AV$4&lt;='2. Kalkyldata'!$N23),'2. Kalkyldata'!$L23,'2. Kalkyldata'!$O23*'2. Kalkyldata'!$H23)),0)</f>
        <v>0</v>
      </c>
      <c r="AW12" s="230">
        <f>IF(AW$4="",0,((1+'2. Kalkyldata'!$M$9*'2. Kalkyldata'!$J23)^(AW$4-'2. Kalkyldata'!$M23)))*IF((AW$4&gt;='2. Kalkyldata'!$M23),IF(AW$4="",0,IF(AND(AW$4&gt;='2. Kalkyldata'!$M23,'4. NPV'!AW$4&lt;='2. Kalkyldata'!$N23),'2. Kalkyldata'!$L23,'2. Kalkyldata'!$O23*'2. Kalkyldata'!$H23)),0)</f>
        <v>0</v>
      </c>
      <c r="AX12" s="230">
        <f>IF(AX$4="",0,((1+'2. Kalkyldata'!$M$9*'2. Kalkyldata'!$J23)^(AX$4-'2. Kalkyldata'!$M23)))*IF((AX$4&gt;='2. Kalkyldata'!$M23),IF(AX$4="",0,IF(AND(AX$4&gt;='2. Kalkyldata'!$M23,'4. NPV'!AX$4&lt;='2. Kalkyldata'!$N23),'2. Kalkyldata'!$L23,'2. Kalkyldata'!$O23*'2. Kalkyldata'!$H23)),0)</f>
        <v>0</v>
      </c>
      <c r="AY12" s="230">
        <f>IF(AY$4="",0,((1+'2. Kalkyldata'!$M$9*'2. Kalkyldata'!$J23)^(AY$4-'2. Kalkyldata'!$M23)))*IF((AY$4&gt;='2. Kalkyldata'!$M23),IF(AY$4="",0,IF(AND(AY$4&gt;='2. Kalkyldata'!$M23,'4. NPV'!AY$4&lt;='2. Kalkyldata'!$N23),'2. Kalkyldata'!$L23,'2. Kalkyldata'!$O23*'2. Kalkyldata'!$H23)),0)</f>
        <v>0</v>
      </c>
      <c r="AZ12" s="230">
        <f>IF(AZ$4="",0,((1+'2. Kalkyldata'!$M$9*'2. Kalkyldata'!$J23)^(AZ$4-'2. Kalkyldata'!$M23)))*IF((AZ$4&gt;='2. Kalkyldata'!$M23),IF(AZ$4="",0,IF(AND(AZ$4&gt;='2. Kalkyldata'!$M23,'4. NPV'!AZ$4&lt;='2. Kalkyldata'!$N23),'2. Kalkyldata'!$L23,'2. Kalkyldata'!$O23*'2. Kalkyldata'!$H23)),0)</f>
        <v>0</v>
      </c>
      <c r="BA12" s="230">
        <f>IF(BA$4="",0,((1+'2. Kalkyldata'!$M$9*'2. Kalkyldata'!$J23)^(BA$4-'2. Kalkyldata'!$M23)))*IF((BA$4&gt;='2. Kalkyldata'!$M23),IF(BA$4="",0,IF(AND(BA$4&gt;='2. Kalkyldata'!$M23,'4. NPV'!BA$4&lt;='2. Kalkyldata'!$N23),'2. Kalkyldata'!$L23,'2. Kalkyldata'!$O23*'2. Kalkyldata'!$H23)),0)</f>
        <v>0</v>
      </c>
    </row>
    <row r="13" spans="1:53">
      <c r="A13" s="506"/>
      <c r="B13" s="229" t="str">
        <f>CONCATENATE("Intäkter ",'2. Kalkyldata'!C24)</f>
        <v xml:space="preserve">Intäkter </v>
      </c>
      <c r="C13" s="332">
        <f t="shared" ref="C13:C16" si="4">IFERROR(D13/$C$8,0)</f>
        <v>0</v>
      </c>
      <c r="D13" s="230">
        <f>IF(D$4="",0,((1+'2. Kalkyldata'!$M$9*'2. Kalkyldata'!$J24)^(D$4-$D$4)))*IF((D$4&gt;='2. Kalkyldata'!$M24),IF(D$4="",0,IF(AND(D$4&gt;='2. Kalkyldata'!$M24,'4. NPV'!D$4&lt;='2. Kalkyldata'!$N24),'2. Kalkyldata'!$L24,'2. Kalkyldata'!$O24*'2. Kalkyldata'!$H24)),0)</f>
        <v>0</v>
      </c>
      <c r="E13" s="230">
        <f>IF(E$4="",0,((1+'2. Kalkyldata'!$M$9*'2. Kalkyldata'!$J24)^(E$4-'2. Kalkyldata'!$M24)))*IF((E$4&gt;='2. Kalkyldata'!$M24),IF(E$4="",0,IF(AND(E$4&gt;='2. Kalkyldata'!$M24,'4. NPV'!E$4&lt;='2. Kalkyldata'!$N24),'2. Kalkyldata'!$L24,'2. Kalkyldata'!$O24*'2. Kalkyldata'!$H24)),0)</f>
        <v>0</v>
      </c>
      <c r="F13" s="230">
        <f>IF(F$4="",0,((1+'2. Kalkyldata'!$M$9*'2. Kalkyldata'!$J24)^(F$4-'2. Kalkyldata'!$M24)))*IF((F$4&gt;='2. Kalkyldata'!$M24),IF(F$4="",0,IF(AND(F$4&gt;='2. Kalkyldata'!$M24,'4. NPV'!F$4&lt;='2. Kalkyldata'!$N24),'2. Kalkyldata'!$L24,'2. Kalkyldata'!$O24*'2. Kalkyldata'!$H24)),0)</f>
        <v>0</v>
      </c>
      <c r="G13" s="230">
        <f>IF(G$4="",0,((1+'2. Kalkyldata'!$M$9*'2. Kalkyldata'!$J24)^(G$4-'2. Kalkyldata'!$M24)))*IF((G$4&gt;='2. Kalkyldata'!$M24),IF(G$4="",0,IF(AND(G$4&gt;='2. Kalkyldata'!$M24,'4. NPV'!G$4&lt;='2. Kalkyldata'!$N24),'2. Kalkyldata'!$L24,'2. Kalkyldata'!$O24*'2. Kalkyldata'!$H24)),0)</f>
        <v>0</v>
      </c>
      <c r="H13" s="230">
        <f>IF(H$4="",0,((1+'2. Kalkyldata'!$M$9*'2. Kalkyldata'!$J24)^(H$4-'2. Kalkyldata'!$M24)))*IF((H$4&gt;='2. Kalkyldata'!$M24),IF(H$4="",0,IF(AND(H$4&gt;='2. Kalkyldata'!$M24,'4. NPV'!H$4&lt;='2. Kalkyldata'!$N24),'2. Kalkyldata'!$L24,'2. Kalkyldata'!$O24*'2. Kalkyldata'!$H24)),0)</f>
        <v>0</v>
      </c>
      <c r="I13" s="230">
        <f>IF(I$4="",0,((1+'2. Kalkyldata'!$M$9*'2. Kalkyldata'!$J24)^(I$4-'2. Kalkyldata'!$M24)))*IF((I$4&gt;='2. Kalkyldata'!$M24),IF(I$4="",0,IF(AND(I$4&gt;='2. Kalkyldata'!$M24,'4. NPV'!I$4&lt;='2. Kalkyldata'!$N24),'2. Kalkyldata'!$L24,'2. Kalkyldata'!$O24*'2. Kalkyldata'!$H24)),0)</f>
        <v>0</v>
      </c>
      <c r="J13" s="230">
        <f>IF(J$4="",0,((1+'2. Kalkyldata'!$M$9*'2. Kalkyldata'!$J24)^(J$4-'2. Kalkyldata'!$M24)))*IF((J$4&gt;='2. Kalkyldata'!$M24),IF(J$4="",0,IF(AND(J$4&gt;='2. Kalkyldata'!$M24,'4. NPV'!J$4&lt;='2. Kalkyldata'!$N24),'2. Kalkyldata'!$L24,'2. Kalkyldata'!$O24*'2. Kalkyldata'!$H24)),0)</f>
        <v>0</v>
      </c>
      <c r="K13" s="230">
        <f>IF(K$4="",0,((1+'2. Kalkyldata'!$M$9*'2. Kalkyldata'!$J24)^(K$4-'2. Kalkyldata'!$M24)))*IF((K$4&gt;='2. Kalkyldata'!$M24),IF(K$4="",0,IF(AND(K$4&gt;='2. Kalkyldata'!$M24,'4. NPV'!K$4&lt;='2. Kalkyldata'!$N24),'2. Kalkyldata'!$L24,'2. Kalkyldata'!$O24*'2. Kalkyldata'!$H24)),0)</f>
        <v>0</v>
      </c>
      <c r="L13" s="230">
        <f>IF(L$4="",0,((1+'2. Kalkyldata'!$M$9*'2. Kalkyldata'!$J24)^(L$4-'2. Kalkyldata'!$M24)))*IF((L$4&gt;='2. Kalkyldata'!$M24),IF(L$4="",0,IF(AND(L$4&gt;='2. Kalkyldata'!$M24,'4. NPV'!L$4&lt;='2. Kalkyldata'!$N24),'2. Kalkyldata'!$L24,'2. Kalkyldata'!$O24*'2. Kalkyldata'!$H24)),0)</f>
        <v>0</v>
      </c>
      <c r="M13" s="230">
        <f>IF(M$4="",0,((1+'2. Kalkyldata'!$M$9*'2. Kalkyldata'!$J24)^(M$4-'2. Kalkyldata'!$M24)))*IF((M$4&gt;='2. Kalkyldata'!$M24),IF(M$4="",0,IF(AND(M$4&gt;='2. Kalkyldata'!$M24,'4. NPV'!M$4&lt;='2. Kalkyldata'!$N24),'2. Kalkyldata'!$L24,'2. Kalkyldata'!$O24*'2. Kalkyldata'!$H24)),0)</f>
        <v>0</v>
      </c>
      <c r="N13" s="230">
        <f>IF(N$4="",0,((1+'2. Kalkyldata'!$M$9*'2. Kalkyldata'!$J24)^(N$4-'2. Kalkyldata'!$M24)))*IF((N$4&gt;='2. Kalkyldata'!$M24),IF(N$4="",0,IF(AND(N$4&gt;='2. Kalkyldata'!$M24,'4. NPV'!N$4&lt;='2. Kalkyldata'!$N24),'2. Kalkyldata'!$L24,'2. Kalkyldata'!$O24*'2. Kalkyldata'!$H24)),0)</f>
        <v>0</v>
      </c>
      <c r="O13" s="230">
        <f>IF(O$4="",0,((1+'2. Kalkyldata'!$M$9*'2. Kalkyldata'!$J24)^(O$4-'2. Kalkyldata'!$M24)))*IF((O$4&gt;='2. Kalkyldata'!$M24),IF(O$4="",0,IF(AND(O$4&gt;='2. Kalkyldata'!$M24,'4. NPV'!O$4&lt;='2. Kalkyldata'!$N24),'2. Kalkyldata'!$L24,'2. Kalkyldata'!$O24*'2. Kalkyldata'!$H24)),0)</f>
        <v>0</v>
      </c>
      <c r="P13" s="230">
        <f>IF(P$4="",0,((1+'2. Kalkyldata'!$M$9*'2. Kalkyldata'!$J24)^(P$4-'2. Kalkyldata'!$M24)))*IF((P$4&gt;='2. Kalkyldata'!$M24),IF(P$4="",0,IF(AND(P$4&gt;='2. Kalkyldata'!$M24,'4. NPV'!P$4&lt;='2. Kalkyldata'!$N24),'2. Kalkyldata'!$L24,'2. Kalkyldata'!$O24*'2. Kalkyldata'!$H24)),0)</f>
        <v>0</v>
      </c>
      <c r="Q13" s="230">
        <f>IF(Q$4="",0,((1+'2. Kalkyldata'!$M$9*'2. Kalkyldata'!$J24)^(Q$4-'2. Kalkyldata'!$M24)))*IF((Q$4&gt;='2. Kalkyldata'!$M24),IF(Q$4="",0,IF(AND(Q$4&gt;='2. Kalkyldata'!$M24,'4. NPV'!Q$4&lt;='2. Kalkyldata'!$N24),'2. Kalkyldata'!$L24,'2. Kalkyldata'!$O24*'2. Kalkyldata'!$H24)),0)</f>
        <v>0</v>
      </c>
      <c r="R13" s="230">
        <f>IF(R$4="",0,((1+'2. Kalkyldata'!$M$9*'2. Kalkyldata'!$J24)^(R$4-'2. Kalkyldata'!$M24)))*IF((R$4&gt;='2. Kalkyldata'!$M24),IF(R$4="",0,IF(AND(R$4&gt;='2. Kalkyldata'!$M24,'4. NPV'!R$4&lt;='2. Kalkyldata'!$N24),'2. Kalkyldata'!$L24,'2. Kalkyldata'!$O24*'2. Kalkyldata'!$H24)),0)</f>
        <v>0</v>
      </c>
      <c r="S13" s="230">
        <f>IF(S$4="",0,((1+'2. Kalkyldata'!$M$9*'2. Kalkyldata'!$J24)^(S$4-'2. Kalkyldata'!$M24)))*IF((S$4&gt;='2. Kalkyldata'!$M24),IF(S$4="",0,IF(AND(S$4&gt;='2. Kalkyldata'!$M24,'4. NPV'!S$4&lt;='2. Kalkyldata'!$N24),'2. Kalkyldata'!$L24,'2. Kalkyldata'!$O24*'2. Kalkyldata'!$H24)),0)</f>
        <v>0</v>
      </c>
      <c r="T13" s="230">
        <f>IF(T$4="",0,((1+'2. Kalkyldata'!$M$9*'2. Kalkyldata'!$J24)^(T$4-'2. Kalkyldata'!$M24)))*IF((T$4&gt;='2. Kalkyldata'!$M24),IF(T$4="",0,IF(AND(T$4&gt;='2. Kalkyldata'!$M24,'4. NPV'!T$4&lt;='2. Kalkyldata'!$N24),'2. Kalkyldata'!$L24,'2. Kalkyldata'!$O24*'2. Kalkyldata'!$H24)),0)</f>
        <v>0</v>
      </c>
      <c r="U13" s="230">
        <f>IF(U$4="",0,((1+'2. Kalkyldata'!$M$9*'2. Kalkyldata'!$J24)^(U$4-'2. Kalkyldata'!$M24)))*IF((U$4&gt;='2. Kalkyldata'!$M24),IF(U$4="",0,IF(AND(U$4&gt;='2. Kalkyldata'!$M24,'4. NPV'!U$4&lt;='2. Kalkyldata'!$N24),'2. Kalkyldata'!$L24,'2. Kalkyldata'!$O24*'2. Kalkyldata'!$H24)),0)</f>
        <v>0</v>
      </c>
      <c r="V13" s="230">
        <f>IF(V$4="",0,((1+'2. Kalkyldata'!$M$9*'2. Kalkyldata'!$J24)^(V$4-'2. Kalkyldata'!$M24)))*IF((V$4&gt;='2. Kalkyldata'!$M24),IF(V$4="",0,IF(AND(V$4&gt;='2. Kalkyldata'!$M24,'4. NPV'!V$4&lt;='2. Kalkyldata'!$N24),'2. Kalkyldata'!$L24,'2. Kalkyldata'!$O24*'2. Kalkyldata'!$H24)),0)</f>
        <v>0</v>
      </c>
      <c r="W13" s="230">
        <f>IF(W$4="",0,((1+'2. Kalkyldata'!$M$9*'2. Kalkyldata'!$J24)^(W$4-'2. Kalkyldata'!$M24)))*IF((W$4&gt;='2. Kalkyldata'!$M24),IF(W$4="",0,IF(AND(W$4&gt;='2. Kalkyldata'!$M24,'4. NPV'!W$4&lt;='2. Kalkyldata'!$N24),'2. Kalkyldata'!$L24,'2. Kalkyldata'!$O24*'2. Kalkyldata'!$H24)),0)</f>
        <v>0</v>
      </c>
      <c r="X13" s="230">
        <f>IF(X$4="",0,((1+'2. Kalkyldata'!$M$9*'2. Kalkyldata'!$J24)^(X$4-'2. Kalkyldata'!$M24)))*IF((X$4&gt;='2. Kalkyldata'!$M24),IF(X$4="",0,IF(AND(X$4&gt;='2. Kalkyldata'!$M24,'4. NPV'!X$4&lt;='2. Kalkyldata'!$N24),'2. Kalkyldata'!$L24,'2. Kalkyldata'!$O24*'2. Kalkyldata'!$H24)),0)</f>
        <v>0</v>
      </c>
      <c r="Y13" s="230">
        <f>IF(Y$4="",0,((1+'2. Kalkyldata'!$M$9*'2. Kalkyldata'!$J24)^(Y$4-'2. Kalkyldata'!$M24)))*IF((Y$4&gt;='2. Kalkyldata'!$M24),IF(Y$4="",0,IF(AND(Y$4&gt;='2. Kalkyldata'!$M24,'4. NPV'!Y$4&lt;='2. Kalkyldata'!$N24),'2. Kalkyldata'!$L24,'2. Kalkyldata'!$O24*'2. Kalkyldata'!$H24)),0)</f>
        <v>0</v>
      </c>
      <c r="Z13" s="230">
        <f>IF(Z$4="",0,((1+'2. Kalkyldata'!$M$9*'2. Kalkyldata'!$J24)^(Z$4-'2. Kalkyldata'!$M24)))*IF((Z$4&gt;='2. Kalkyldata'!$M24),IF(Z$4="",0,IF(AND(Z$4&gt;='2. Kalkyldata'!$M24,'4. NPV'!Z$4&lt;='2. Kalkyldata'!$N24),'2. Kalkyldata'!$L24,'2. Kalkyldata'!$O24*'2. Kalkyldata'!$H24)),0)</f>
        <v>0</v>
      </c>
      <c r="AA13" s="230">
        <f>IF(AA$4="",0,((1+'2. Kalkyldata'!$M$9*'2. Kalkyldata'!$J24)^(AA$4-'2. Kalkyldata'!$M24)))*IF((AA$4&gt;='2. Kalkyldata'!$M24),IF(AA$4="",0,IF(AND(AA$4&gt;='2. Kalkyldata'!$M24,'4. NPV'!AA$4&lt;='2. Kalkyldata'!$N24),'2. Kalkyldata'!$L24,'2. Kalkyldata'!$O24*'2. Kalkyldata'!$H24)),0)</f>
        <v>0</v>
      </c>
      <c r="AB13" s="230">
        <f>IF(AB$4="",0,((1+'2. Kalkyldata'!$M$9*'2. Kalkyldata'!$J24)^(AB$4-'2. Kalkyldata'!$M24)))*IF((AB$4&gt;='2. Kalkyldata'!$M24),IF(AB$4="",0,IF(AND(AB$4&gt;='2. Kalkyldata'!$M24,'4. NPV'!AB$4&lt;='2. Kalkyldata'!$N24),'2. Kalkyldata'!$L24,'2. Kalkyldata'!$O24*'2. Kalkyldata'!$H24)),0)</f>
        <v>0</v>
      </c>
      <c r="AC13" s="230">
        <f>IF(AC$4="",0,((1+'2. Kalkyldata'!$M$9*'2. Kalkyldata'!$J24)^(AC$4-'2. Kalkyldata'!$M24)))*IF((AC$4&gt;='2. Kalkyldata'!$M24),IF(AC$4="",0,IF(AND(AC$4&gt;='2. Kalkyldata'!$M24,'4. NPV'!AC$4&lt;='2. Kalkyldata'!$N24),'2. Kalkyldata'!$L24,'2. Kalkyldata'!$O24*'2. Kalkyldata'!$H24)),0)</f>
        <v>0</v>
      </c>
      <c r="AD13" s="230">
        <f>IF(AD$4="",0,((1+'2. Kalkyldata'!$M$9*'2. Kalkyldata'!$J24)^(AD$4-'2. Kalkyldata'!$M24)))*IF((AD$4&gt;='2. Kalkyldata'!$M24),IF(AD$4="",0,IF(AND(AD$4&gt;='2. Kalkyldata'!$M24,'4. NPV'!AD$4&lt;='2. Kalkyldata'!$N24),'2. Kalkyldata'!$L24,'2. Kalkyldata'!$O24*'2. Kalkyldata'!$H24)),0)</f>
        <v>0</v>
      </c>
      <c r="AE13" s="230">
        <f>IF(AE$4="",0,((1+'2. Kalkyldata'!$M$9*'2. Kalkyldata'!$J24)^(AE$4-'2. Kalkyldata'!$M24)))*IF((AE$4&gt;='2. Kalkyldata'!$M24),IF(AE$4="",0,IF(AND(AE$4&gt;='2. Kalkyldata'!$M24,'4. NPV'!AE$4&lt;='2. Kalkyldata'!$N24),'2. Kalkyldata'!$L24,'2. Kalkyldata'!$O24*'2. Kalkyldata'!$H24)),0)</f>
        <v>0</v>
      </c>
      <c r="AF13" s="230">
        <f>IF(AF$4="",0,((1+'2. Kalkyldata'!$M$9*'2. Kalkyldata'!$J24)^(AF$4-'2. Kalkyldata'!$M24)))*IF((AF$4&gt;='2. Kalkyldata'!$M24),IF(AF$4="",0,IF(AND(AF$4&gt;='2. Kalkyldata'!$M24,'4. NPV'!AF$4&lt;='2. Kalkyldata'!$N24),'2. Kalkyldata'!$L24,'2. Kalkyldata'!$O24*'2. Kalkyldata'!$H24)),0)</f>
        <v>0</v>
      </c>
      <c r="AG13" s="230">
        <f>IF(AG$4="",0,((1+'2. Kalkyldata'!$M$9*'2. Kalkyldata'!$J24)^(AG$4-'2. Kalkyldata'!$M24)))*IF((AG$4&gt;='2. Kalkyldata'!$M24),IF(AG$4="",0,IF(AND(AG$4&gt;='2. Kalkyldata'!$M24,'4. NPV'!AG$4&lt;='2. Kalkyldata'!$N24),'2. Kalkyldata'!$L24,'2. Kalkyldata'!$O24*'2. Kalkyldata'!$H24)),0)</f>
        <v>0</v>
      </c>
      <c r="AH13" s="230">
        <f>IF(AH$4="",0,((1+'2. Kalkyldata'!$M$9*'2. Kalkyldata'!$J24)^(AH$4-'2. Kalkyldata'!$M24)))*IF((AH$4&gt;='2. Kalkyldata'!$M24),IF(AH$4="",0,IF(AND(AH$4&gt;='2. Kalkyldata'!$M24,'4. NPV'!AH$4&lt;='2. Kalkyldata'!$N24),'2. Kalkyldata'!$L24,'2. Kalkyldata'!$O24*'2. Kalkyldata'!$H24)),0)</f>
        <v>0</v>
      </c>
      <c r="AI13" s="230">
        <f>IF(AI$4="",0,((1+'2. Kalkyldata'!$M$9*'2. Kalkyldata'!$J24)^(AI$4-'2. Kalkyldata'!$M24)))*IF((AI$4&gt;='2. Kalkyldata'!$M24),IF(AI$4="",0,IF(AND(AI$4&gt;='2. Kalkyldata'!$M24,'4. NPV'!AI$4&lt;='2. Kalkyldata'!$N24),'2. Kalkyldata'!$L24,'2. Kalkyldata'!$O24*'2. Kalkyldata'!$H24)),0)</f>
        <v>0</v>
      </c>
      <c r="AJ13" s="230">
        <f>IF(AJ$4="",0,((1+'2. Kalkyldata'!$M$9*'2. Kalkyldata'!$J24)^(AJ$4-'2. Kalkyldata'!$M24)))*IF((AJ$4&gt;='2. Kalkyldata'!$M24),IF(AJ$4="",0,IF(AND(AJ$4&gt;='2. Kalkyldata'!$M24,'4. NPV'!AJ$4&lt;='2. Kalkyldata'!$N24),'2. Kalkyldata'!$L24,'2. Kalkyldata'!$O24*'2. Kalkyldata'!$H24)),0)</f>
        <v>0</v>
      </c>
      <c r="AK13" s="230">
        <f>IF(AK$4="",0,((1+'2. Kalkyldata'!$M$9*'2. Kalkyldata'!$J24)^(AK$4-'2. Kalkyldata'!$M24)))*IF((AK$4&gt;='2. Kalkyldata'!$M24),IF(AK$4="",0,IF(AND(AK$4&gt;='2. Kalkyldata'!$M24,'4. NPV'!AK$4&lt;='2. Kalkyldata'!$N24),'2. Kalkyldata'!$L24,'2. Kalkyldata'!$O24*'2. Kalkyldata'!$H24)),0)</f>
        <v>0</v>
      </c>
      <c r="AL13" s="230">
        <f>IF(AL$4="",0,((1+'2. Kalkyldata'!$M$9*'2. Kalkyldata'!$J24)^(AL$4-'2. Kalkyldata'!$M24)))*IF((AL$4&gt;='2. Kalkyldata'!$M24),IF(AL$4="",0,IF(AND(AL$4&gt;='2. Kalkyldata'!$M24,'4. NPV'!AL$4&lt;='2. Kalkyldata'!$N24),'2. Kalkyldata'!$L24,'2. Kalkyldata'!$O24*'2. Kalkyldata'!$H24)),0)</f>
        <v>0</v>
      </c>
      <c r="AM13" s="230">
        <f>IF(AM$4="",0,((1+'2. Kalkyldata'!$M$9*'2. Kalkyldata'!$J24)^(AM$4-'2. Kalkyldata'!$M24)))*IF((AM$4&gt;='2. Kalkyldata'!$M24),IF(AM$4="",0,IF(AND(AM$4&gt;='2. Kalkyldata'!$M24,'4. NPV'!AM$4&lt;='2. Kalkyldata'!$N24),'2. Kalkyldata'!$L24,'2. Kalkyldata'!$O24*'2. Kalkyldata'!$H24)),0)</f>
        <v>0</v>
      </c>
      <c r="AN13" s="230">
        <f>IF(AN$4="",0,((1+'2. Kalkyldata'!$M$9*'2. Kalkyldata'!$J24)^(AN$4-'2. Kalkyldata'!$M24)))*IF((AN$4&gt;='2. Kalkyldata'!$M24),IF(AN$4="",0,IF(AND(AN$4&gt;='2. Kalkyldata'!$M24,'4. NPV'!AN$4&lt;='2. Kalkyldata'!$N24),'2. Kalkyldata'!$L24,'2. Kalkyldata'!$O24*'2. Kalkyldata'!$H24)),0)</f>
        <v>0</v>
      </c>
      <c r="AO13" s="230">
        <f>IF(AO$4="",0,((1+'2. Kalkyldata'!$M$9*'2. Kalkyldata'!$J24)^(AO$4-'2. Kalkyldata'!$M24)))*IF((AO$4&gt;='2. Kalkyldata'!$M24),IF(AO$4="",0,IF(AND(AO$4&gt;='2. Kalkyldata'!$M24,'4. NPV'!AO$4&lt;='2. Kalkyldata'!$N24),'2. Kalkyldata'!$L24,'2. Kalkyldata'!$O24*'2. Kalkyldata'!$H24)),0)</f>
        <v>0</v>
      </c>
      <c r="AP13" s="230">
        <f>IF(AP$4="",0,((1+'2. Kalkyldata'!$M$9*'2. Kalkyldata'!$J24)^(AP$4-'2. Kalkyldata'!$M24)))*IF((AP$4&gt;='2. Kalkyldata'!$M24),IF(AP$4="",0,IF(AND(AP$4&gt;='2. Kalkyldata'!$M24,'4. NPV'!AP$4&lt;='2. Kalkyldata'!$N24),'2. Kalkyldata'!$L24,'2. Kalkyldata'!$O24*'2. Kalkyldata'!$H24)),0)</f>
        <v>0</v>
      </c>
      <c r="AQ13" s="230">
        <f>IF(AQ$4="",0,((1+'2. Kalkyldata'!$M$9*'2. Kalkyldata'!$J24)^(AQ$4-'2. Kalkyldata'!$M24)))*IF((AQ$4&gt;='2. Kalkyldata'!$M24),IF(AQ$4="",0,IF(AND(AQ$4&gt;='2. Kalkyldata'!$M24,'4. NPV'!AQ$4&lt;='2. Kalkyldata'!$N24),'2. Kalkyldata'!$L24,'2. Kalkyldata'!$O24*'2. Kalkyldata'!$H24)),0)</f>
        <v>0</v>
      </c>
      <c r="AR13" s="230">
        <f>IF(AR$4="",0,((1+'2. Kalkyldata'!$M$9*'2. Kalkyldata'!$J24)^(AR$4-'2. Kalkyldata'!$M24)))*IF((AR$4&gt;='2. Kalkyldata'!$M24),IF(AR$4="",0,IF(AND(AR$4&gt;='2. Kalkyldata'!$M24,'4. NPV'!AR$4&lt;='2. Kalkyldata'!$N24),'2. Kalkyldata'!$L24,'2. Kalkyldata'!$O24*'2. Kalkyldata'!$H24)),0)</f>
        <v>0</v>
      </c>
      <c r="AS13" s="230">
        <f>IF(AS$4="",0,((1+'2. Kalkyldata'!$M$9*'2. Kalkyldata'!$J24)^(AS$4-'2. Kalkyldata'!$M24)))*IF((AS$4&gt;='2. Kalkyldata'!$M24),IF(AS$4="",0,IF(AND(AS$4&gt;='2. Kalkyldata'!$M24,'4. NPV'!AS$4&lt;='2. Kalkyldata'!$N24),'2. Kalkyldata'!$L24,'2. Kalkyldata'!$O24*'2. Kalkyldata'!$H24)),0)</f>
        <v>0</v>
      </c>
      <c r="AT13" s="230">
        <f>IF(AT$4="",0,((1+'2. Kalkyldata'!$M$9*'2. Kalkyldata'!$J24)^(AT$4-'2. Kalkyldata'!$M24)))*IF((AT$4&gt;='2. Kalkyldata'!$M24),IF(AT$4="",0,IF(AND(AT$4&gt;='2. Kalkyldata'!$M24,'4. NPV'!AT$4&lt;='2. Kalkyldata'!$N24),'2. Kalkyldata'!$L24,'2. Kalkyldata'!$O24*'2. Kalkyldata'!$H24)),0)</f>
        <v>0</v>
      </c>
      <c r="AU13" s="230">
        <f>IF(AU$4="",0,((1+'2. Kalkyldata'!$M$9*'2. Kalkyldata'!$J24)^(AU$4-'2. Kalkyldata'!$M24)))*IF((AU$4&gt;='2. Kalkyldata'!$M24),IF(AU$4="",0,IF(AND(AU$4&gt;='2. Kalkyldata'!$M24,'4. NPV'!AU$4&lt;='2. Kalkyldata'!$N24),'2. Kalkyldata'!$L24,'2. Kalkyldata'!$O24*'2. Kalkyldata'!$H24)),0)</f>
        <v>0</v>
      </c>
      <c r="AV13" s="230">
        <f>IF(AV$4="",0,((1+'2. Kalkyldata'!$M$9*'2. Kalkyldata'!$J24)^(AV$4-'2. Kalkyldata'!$M24)))*IF((AV$4&gt;='2. Kalkyldata'!$M24),IF(AV$4="",0,IF(AND(AV$4&gt;='2. Kalkyldata'!$M24,'4. NPV'!AV$4&lt;='2. Kalkyldata'!$N24),'2. Kalkyldata'!$L24,'2. Kalkyldata'!$O24*'2. Kalkyldata'!$H24)),0)</f>
        <v>0</v>
      </c>
      <c r="AW13" s="230">
        <f>IF(AW$4="",0,((1+'2. Kalkyldata'!$M$9*'2. Kalkyldata'!$J24)^(AW$4-'2. Kalkyldata'!$M24)))*IF((AW$4&gt;='2. Kalkyldata'!$M24),IF(AW$4="",0,IF(AND(AW$4&gt;='2. Kalkyldata'!$M24,'4. NPV'!AW$4&lt;='2. Kalkyldata'!$N24),'2. Kalkyldata'!$L24,'2. Kalkyldata'!$O24*'2. Kalkyldata'!$H24)),0)</f>
        <v>0</v>
      </c>
      <c r="AX13" s="230">
        <f>IF(AX$4="",0,((1+'2. Kalkyldata'!$M$9*'2. Kalkyldata'!$J24)^(AX$4-'2. Kalkyldata'!$M24)))*IF((AX$4&gt;='2. Kalkyldata'!$M24),IF(AX$4="",0,IF(AND(AX$4&gt;='2. Kalkyldata'!$M24,'4. NPV'!AX$4&lt;='2. Kalkyldata'!$N24),'2. Kalkyldata'!$L24,'2. Kalkyldata'!$O24*'2. Kalkyldata'!$H24)),0)</f>
        <v>0</v>
      </c>
      <c r="AY13" s="230">
        <f>IF(AY$4="",0,((1+'2. Kalkyldata'!$M$9*'2. Kalkyldata'!$J24)^(AY$4-'2. Kalkyldata'!$M24)))*IF((AY$4&gt;='2. Kalkyldata'!$M24),IF(AY$4="",0,IF(AND(AY$4&gt;='2. Kalkyldata'!$M24,'4. NPV'!AY$4&lt;='2. Kalkyldata'!$N24),'2. Kalkyldata'!$L24,'2. Kalkyldata'!$O24*'2. Kalkyldata'!$H24)),0)</f>
        <v>0</v>
      </c>
      <c r="AZ13" s="230">
        <f>IF(AZ$4="",0,((1+'2. Kalkyldata'!$M$9*'2. Kalkyldata'!$J24)^(AZ$4-'2. Kalkyldata'!$M24)))*IF((AZ$4&gt;='2. Kalkyldata'!$M24),IF(AZ$4="",0,IF(AND(AZ$4&gt;='2. Kalkyldata'!$M24,'4. NPV'!AZ$4&lt;='2. Kalkyldata'!$N24),'2. Kalkyldata'!$L24,'2. Kalkyldata'!$O24*'2. Kalkyldata'!$H24)),0)</f>
        <v>0</v>
      </c>
      <c r="BA13" s="230">
        <f>IF(BA$4="",0,((1+'2. Kalkyldata'!$M$9*'2. Kalkyldata'!$J24)^(BA$4-'2. Kalkyldata'!$M24)))*IF((BA$4&gt;='2. Kalkyldata'!$M24),IF(BA$4="",0,IF(AND(BA$4&gt;='2. Kalkyldata'!$M24,'4. NPV'!BA$4&lt;='2. Kalkyldata'!$N24),'2. Kalkyldata'!$L24,'2. Kalkyldata'!$O24*'2. Kalkyldata'!$H24)),0)</f>
        <v>0</v>
      </c>
    </row>
    <row r="14" spans="1:53">
      <c r="A14" s="506"/>
      <c r="B14" s="229" t="str">
        <f>CONCATENATE("Intäkter ",'2. Kalkyldata'!C25)</f>
        <v xml:space="preserve">Intäkter </v>
      </c>
      <c r="C14" s="332">
        <f t="shared" si="4"/>
        <v>0</v>
      </c>
      <c r="D14" s="230">
        <f>IF(D$4="",0,((1+'2. Kalkyldata'!$M$9*'2. Kalkyldata'!$J25)^(D$4-$D$4)))*IF((D$4&gt;='2. Kalkyldata'!$M25),IF(D$4="",0,IF(AND(D$4&gt;='2. Kalkyldata'!$M25,'4. NPV'!D$4&lt;='2. Kalkyldata'!$N25),'2. Kalkyldata'!$L25,'2. Kalkyldata'!$O25*'2. Kalkyldata'!$H25)),0)</f>
        <v>0</v>
      </c>
      <c r="E14" s="230">
        <f>IF(E$4="",0,((1+'2. Kalkyldata'!$M$9*'2. Kalkyldata'!$J25)^(E$4-'2. Kalkyldata'!$M25)))*IF((E$4&gt;='2. Kalkyldata'!$M25),IF(E$4="",0,IF(AND(E$4&gt;='2. Kalkyldata'!$M25,'4. NPV'!E$4&lt;='2. Kalkyldata'!$N25),'2. Kalkyldata'!$L25,'2. Kalkyldata'!$O25*'2. Kalkyldata'!$H25)),0)</f>
        <v>0</v>
      </c>
      <c r="F14" s="230">
        <f>IF(F$4="",0,((1+'2. Kalkyldata'!$M$9*'2. Kalkyldata'!$J25)^(F$4-'2. Kalkyldata'!$M25)))*IF((F$4&gt;='2. Kalkyldata'!$M25),IF(F$4="",0,IF(AND(F$4&gt;='2. Kalkyldata'!$M25,'4. NPV'!F$4&lt;='2. Kalkyldata'!$N25),'2. Kalkyldata'!$L25,'2. Kalkyldata'!$O25*'2. Kalkyldata'!$H25)),0)</f>
        <v>0</v>
      </c>
      <c r="G14" s="230">
        <f>IF(G$4="",0,((1+'2. Kalkyldata'!$M$9*'2. Kalkyldata'!$J25)^(G$4-'2. Kalkyldata'!$M25)))*IF((G$4&gt;='2. Kalkyldata'!$M25),IF(G$4="",0,IF(AND(G$4&gt;='2. Kalkyldata'!$M25,'4. NPV'!G$4&lt;='2. Kalkyldata'!$N25),'2. Kalkyldata'!$L25,'2. Kalkyldata'!$O25*'2. Kalkyldata'!$H25)),0)</f>
        <v>0</v>
      </c>
      <c r="H14" s="230">
        <f>IF(H$4="",0,((1+'2. Kalkyldata'!$M$9*'2. Kalkyldata'!$J25)^(H$4-'2. Kalkyldata'!$M25)))*IF((H$4&gt;='2. Kalkyldata'!$M25),IF(H$4="",0,IF(AND(H$4&gt;='2. Kalkyldata'!$M25,'4. NPV'!H$4&lt;='2. Kalkyldata'!$N25),'2. Kalkyldata'!$L25,'2. Kalkyldata'!$O25*'2. Kalkyldata'!$H25)),0)</f>
        <v>0</v>
      </c>
      <c r="I14" s="230">
        <f>IF(I$4="",0,((1+'2. Kalkyldata'!$M$9*'2. Kalkyldata'!$J25)^(I$4-'2. Kalkyldata'!$M25)))*IF((I$4&gt;='2. Kalkyldata'!$M25),IF(I$4="",0,IF(AND(I$4&gt;='2. Kalkyldata'!$M25,'4. NPV'!I$4&lt;='2. Kalkyldata'!$N25),'2. Kalkyldata'!$L25,'2. Kalkyldata'!$O25*'2. Kalkyldata'!$H25)),0)</f>
        <v>0</v>
      </c>
      <c r="J14" s="230">
        <f>IF(J$4="",0,((1+'2. Kalkyldata'!$M$9*'2. Kalkyldata'!$J25)^(J$4-'2. Kalkyldata'!$M25)))*IF((J$4&gt;='2. Kalkyldata'!$M25),IF(J$4="",0,IF(AND(J$4&gt;='2. Kalkyldata'!$M25,'4. NPV'!J$4&lt;='2. Kalkyldata'!$N25),'2. Kalkyldata'!$L25,'2. Kalkyldata'!$O25*'2. Kalkyldata'!$H25)),0)</f>
        <v>0</v>
      </c>
      <c r="K14" s="230">
        <f>IF(K$4="",0,((1+'2. Kalkyldata'!$M$9*'2. Kalkyldata'!$J25)^(K$4-'2. Kalkyldata'!$M25)))*IF((K$4&gt;='2. Kalkyldata'!$M25),IF(K$4="",0,IF(AND(K$4&gt;='2. Kalkyldata'!$M25,'4. NPV'!K$4&lt;='2. Kalkyldata'!$N25),'2. Kalkyldata'!$L25,'2. Kalkyldata'!$O25*'2. Kalkyldata'!$H25)),0)</f>
        <v>0</v>
      </c>
      <c r="L14" s="230">
        <f>IF(L$4="",0,((1+'2. Kalkyldata'!$M$9*'2. Kalkyldata'!$J25)^(L$4-'2. Kalkyldata'!$M25)))*IF((L$4&gt;='2. Kalkyldata'!$M25),IF(L$4="",0,IF(AND(L$4&gt;='2. Kalkyldata'!$M25,'4. NPV'!L$4&lt;='2. Kalkyldata'!$N25),'2. Kalkyldata'!$L25,'2. Kalkyldata'!$O25*'2. Kalkyldata'!$H25)),0)</f>
        <v>0</v>
      </c>
      <c r="M14" s="230">
        <f>IF(M$4="",0,((1+'2. Kalkyldata'!$M$9*'2. Kalkyldata'!$J25)^(M$4-'2. Kalkyldata'!$M25)))*IF((M$4&gt;='2. Kalkyldata'!$M25),IF(M$4="",0,IF(AND(M$4&gt;='2. Kalkyldata'!$M25,'4. NPV'!M$4&lt;='2. Kalkyldata'!$N25),'2. Kalkyldata'!$L25,'2. Kalkyldata'!$O25*'2. Kalkyldata'!$H25)),0)</f>
        <v>0</v>
      </c>
      <c r="N14" s="230">
        <f>IF(N$4="",0,((1+'2. Kalkyldata'!$M$9*'2. Kalkyldata'!$J25)^(N$4-'2. Kalkyldata'!$M25)))*IF((N$4&gt;='2. Kalkyldata'!$M25),IF(N$4="",0,IF(AND(N$4&gt;='2. Kalkyldata'!$M25,'4. NPV'!N$4&lt;='2. Kalkyldata'!$N25),'2. Kalkyldata'!$L25,'2. Kalkyldata'!$O25*'2. Kalkyldata'!$H25)),0)</f>
        <v>0</v>
      </c>
      <c r="O14" s="230">
        <f>IF(O$4="",0,((1+'2. Kalkyldata'!$M$9*'2. Kalkyldata'!$J25)^(O$4-'2. Kalkyldata'!$M25)))*IF((O$4&gt;='2. Kalkyldata'!$M25),IF(O$4="",0,IF(AND(O$4&gt;='2. Kalkyldata'!$M25,'4. NPV'!O$4&lt;='2. Kalkyldata'!$N25),'2. Kalkyldata'!$L25,'2. Kalkyldata'!$O25*'2. Kalkyldata'!$H25)),0)</f>
        <v>0</v>
      </c>
      <c r="P14" s="230">
        <f>IF(P$4="",0,((1+'2. Kalkyldata'!$M$9*'2. Kalkyldata'!$J25)^(P$4-'2. Kalkyldata'!$M25)))*IF((P$4&gt;='2. Kalkyldata'!$M25),IF(P$4="",0,IF(AND(P$4&gt;='2. Kalkyldata'!$M25,'4. NPV'!P$4&lt;='2. Kalkyldata'!$N25),'2. Kalkyldata'!$L25,'2. Kalkyldata'!$O25*'2. Kalkyldata'!$H25)),0)</f>
        <v>0</v>
      </c>
      <c r="Q14" s="230">
        <f>IF(Q$4="",0,((1+'2. Kalkyldata'!$M$9*'2. Kalkyldata'!$J25)^(Q$4-'2. Kalkyldata'!$M25)))*IF((Q$4&gt;='2. Kalkyldata'!$M25),IF(Q$4="",0,IF(AND(Q$4&gt;='2. Kalkyldata'!$M25,'4. NPV'!Q$4&lt;='2. Kalkyldata'!$N25),'2. Kalkyldata'!$L25,'2. Kalkyldata'!$O25*'2. Kalkyldata'!$H25)),0)</f>
        <v>0</v>
      </c>
      <c r="R14" s="230">
        <f>IF(R$4="",0,((1+'2. Kalkyldata'!$M$9*'2. Kalkyldata'!$J25)^(R$4-'2. Kalkyldata'!$M25)))*IF((R$4&gt;='2. Kalkyldata'!$M25),IF(R$4="",0,IF(AND(R$4&gt;='2. Kalkyldata'!$M25,'4. NPV'!R$4&lt;='2. Kalkyldata'!$N25),'2. Kalkyldata'!$L25,'2. Kalkyldata'!$O25*'2. Kalkyldata'!$H25)),0)</f>
        <v>0</v>
      </c>
      <c r="S14" s="230">
        <f>IF(S$4="",0,((1+'2. Kalkyldata'!$M$9*'2. Kalkyldata'!$J25)^(S$4-'2. Kalkyldata'!$M25)))*IF((S$4&gt;='2. Kalkyldata'!$M25),IF(S$4="",0,IF(AND(S$4&gt;='2. Kalkyldata'!$M25,'4. NPV'!S$4&lt;='2. Kalkyldata'!$N25),'2. Kalkyldata'!$L25,'2. Kalkyldata'!$O25*'2. Kalkyldata'!$H25)),0)</f>
        <v>0</v>
      </c>
      <c r="T14" s="230">
        <f>IF(T$4="",0,((1+'2. Kalkyldata'!$M$9*'2. Kalkyldata'!$J25)^(T$4-'2. Kalkyldata'!$M25)))*IF((T$4&gt;='2. Kalkyldata'!$M25),IF(T$4="",0,IF(AND(T$4&gt;='2. Kalkyldata'!$M25,'4. NPV'!T$4&lt;='2. Kalkyldata'!$N25),'2. Kalkyldata'!$L25,'2. Kalkyldata'!$O25*'2. Kalkyldata'!$H25)),0)</f>
        <v>0</v>
      </c>
      <c r="U14" s="230">
        <f>IF(U$4="",0,((1+'2. Kalkyldata'!$M$9*'2. Kalkyldata'!$J25)^(U$4-'2. Kalkyldata'!$M25)))*IF((U$4&gt;='2. Kalkyldata'!$M25),IF(U$4="",0,IF(AND(U$4&gt;='2. Kalkyldata'!$M25,'4. NPV'!U$4&lt;='2. Kalkyldata'!$N25),'2. Kalkyldata'!$L25,'2. Kalkyldata'!$O25*'2. Kalkyldata'!$H25)),0)</f>
        <v>0</v>
      </c>
      <c r="V14" s="230">
        <f>IF(V$4="",0,((1+'2. Kalkyldata'!$M$9*'2. Kalkyldata'!$J25)^(V$4-'2. Kalkyldata'!$M25)))*IF((V$4&gt;='2. Kalkyldata'!$M25),IF(V$4="",0,IF(AND(V$4&gt;='2. Kalkyldata'!$M25,'4. NPV'!V$4&lt;='2. Kalkyldata'!$N25),'2. Kalkyldata'!$L25,'2. Kalkyldata'!$O25*'2. Kalkyldata'!$H25)),0)</f>
        <v>0</v>
      </c>
      <c r="W14" s="230">
        <f>IF(W$4="",0,((1+'2. Kalkyldata'!$M$9*'2. Kalkyldata'!$J25)^(W$4-'2. Kalkyldata'!$M25)))*IF((W$4&gt;='2. Kalkyldata'!$M25),IF(W$4="",0,IF(AND(W$4&gt;='2. Kalkyldata'!$M25,'4. NPV'!W$4&lt;='2. Kalkyldata'!$N25),'2. Kalkyldata'!$L25,'2. Kalkyldata'!$O25*'2. Kalkyldata'!$H25)),0)</f>
        <v>0</v>
      </c>
      <c r="X14" s="230">
        <f>IF(X$4="",0,((1+'2. Kalkyldata'!$M$9*'2. Kalkyldata'!$J25)^(X$4-'2. Kalkyldata'!$M25)))*IF((X$4&gt;='2. Kalkyldata'!$M25),IF(X$4="",0,IF(AND(X$4&gt;='2. Kalkyldata'!$M25,'4. NPV'!X$4&lt;='2. Kalkyldata'!$N25),'2. Kalkyldata'!$L25,'2. Kalkyldata'!$O25*'2. Kalkyldata'!$H25)),0)</f>
        <v>0</v>
      </c>
      <c r="Y14" s="230">
        <f>IF(Y$4="",0,((1+'2. Kalkyldata'!$M$9*'2. Kalkyldata'!$J25)^(Y$4-'2. Kalkyldata'!$M25)))*IF((Y$4&gt;='2. Kalkyldata'!$M25),IF(Y$4="",0,IF(AND(Y$4&gt;='2. Kalkyldata'!$M25,'4. NPV'!Y$4&lt;='2. Kalkyldata'!$N25),'2. Kalkyldata'!$L25,'2. Kalkyldata'!$O25*'2. Kalkyldata'!$H25)),0)</f>
        <v>0</v>
      </c>
      <c r="Z14" s="230">
        <f>IF(Z$4="",0,((1+'2. Kalkyldata'!$M$9*'2. Kalkyldata'!$J25)^(Z$4-'2. Kalkyldata'!$M25)))*IF((Z$4&gt;='2. Kalkyldata'!$M25),IF(Z$4="",0,IF(AND(Z$4&gt;='2. Kalkyldata'!$M25,'4. NPV'!Z$4&lt;='2. Kalkyldata'!$N25),'2. Kalkyldata'!$L25,'2. Kalkyldata'!$O25*'2. Kalkyldata'!$H25)),0)</f>
        <v>0</v>
      </c>
      <c r="AA14" s="230">
        <f>IF(AA$4="",0,((1+'2. Kalkyldata'!$M$9*'2. Kalkyldata'!$J25)^(AA$4-'2. Kalkyldata'!$M25)))*IF((AA$4&gt;='2. Kalkyldata'!$M25),IF(AA$4="",0,IF(AND(AA$4&gt;='2. Kalkyldata'!$M25,'4. NPV'!AA$4&lt;='2. Kalkyldata'!$N25),'2. Kalkyldata'!$L25,'2. Kalkyldata'!$O25*'2. Kalkyldata'!$H25)),0)</f>
        <v>0</v>
      </c>
      <c r="AB14" s="230">
        <f>IF(AB$4="",0,((1+'2. Kalkyldata'!$M$9*'2. Kalkyldata'!$J25)^(AB$4-'2. Kalkyldata'!$M25)))*IF((AB$4&gt;='2. Kalkyldata'!$M25),IF(AB$4="",0,IF(AND(AB$4&gt;='2. Kalkyldata'!$M25,'4. NPV'!AB$4&lt;='2. Kalkyldata'!$N25),'2. Kalkyldata'!$L25,'2. Kalkyldata'!$O25*'2. Kalkyldata'!$H25)),0)</f>
        <v>0</v>
      </c>
      <c r="AC14" s="230">
        <f>IF(AC$4="",0,((1+'2. Kalkyldata'!$M$9*'2. Kalkyldata'!$J25)^(AC$4-'2. Kalkyldata'!$M25)))*IF((AC$4&gt;='2. Kalkyldata'!$M25),IF(AC$4="",0,IF(AND(AC$4&gt;='2. Kalkyldata'!$M25,'4. NPV'!AC$4&lt;='2. Kalkyldata'!$N25),'2. Kalkyldata'!$L25,'2. Kalkyldata'!$O25*'2. Kalkyldata'!$H25)),0)</f>
        <v>0</v>
      </c>
      <c r="AD14" s="230">
        <f>IF(AD$4="",0,((1+'2. Kalkyldata'!$M$9*'2. Kalkyldata'!$J25)^(AD$4-'2. Kalkyldata'!$M25)))*IF((AD$4&gt;='2. Kalkyldata'!$M25),IF(AD$4="",0,IF(AND(AD$4&gt;='2. Kalkyldata'!$M25,'4. NPV'!AD$4&lt;='2. Kalkyldata'!$N25),'2. Kalkyldata'!$L25,'2. Kalkyldata'!$O25*'2. Kalkyldata'!$H25)),0)</f>
        <v>0</v>
      </c>
      <c r="AE14" s="230">
        <f>IF(AE$4="",0,((1+'2. Kalkyldata'!$M$9*'2. Kalkyldata'!$J25)^(AE$4-'2. Kalkyldata'!$M25)))*IF((AE$4&gt;='2. Kalkyldata'!$M25),IF(AE$4="",0,IF(AND(AE$4&gt;='2. Kalkyldata'!$M25,'4. NPV'!AE$4&lt;='2. Kalkyldata'!$N25),'2. Kalkyldata'!$L25,'2. Kalkyldata'!$O25*'2. Kalkyldata'!$H25)),0)</f>
        <v>0</v>
      </c>
      <c r="AF14" s="230">
        <f>IF(AF$4="",0,((1+'2. Kalkyldata'!$M$9*'2. Kalkyldata'!$J25)^(AF$4-'2. Kalkyldata'!$M25)))*IF((AF$4&gt;='2. Kalkyldata'!$M25),IF(AF$4="",0,IF(AND(AF$4&gt;='2. Kalkyldata'!$M25,'4. NPV'!AF$4&lt;='2. Kalkyldata'!$N25),'2. Kalkyldata'!$L25,'2. Kalkyldata'!$O25*'2. Kalkyldata'!$H25)),0)</f>
        <v>0</v>
      </c>
      <c r="AG14" s="230">
        <f>IF(AG$4="",0,((1+'2. Kalkyldata'!$M$9*'2. Kalkyldata'!$J25)^(AG$4-'2. Kalkyldata'!$M25)))*IF((AG$4&gt;='2. Kalkyldata'!$M25),IF(AG$4="",0,IF(AND(AG$4&gt;='2. Kalkyldata'!$M25,'4. NPV'!AG$4&lt;='2. Kalkyldata'!$N25),'2. Kalkyldata'!$L25,'2. Kalkyldata'!$O25*'2. Kalkyldata'!$H25)),0)</f>
        <v>0</v>
      </c>
      <c r="AH14" s="230">
        <f>IF(AH$4="",0,((1+'2. Kalkyldata'!$M$9*'2. Kalkyldata'!$J25)^(AH$4-'2. Kalkyldata'!$M25)))*IF((AH$4&gt;='2. Kalkyldata'!$M25),IF(AH$4="",0,IF(AND(AH$4&gt;='2. Kalkyldata'!$M25,'4. NPV'!AH$4&lt;='2. Kalkyldata'!$N25),'2. Kalkyldata'!$L25,'2. Kalkyldata'!$O25*'2. Kalkyldata'!$H25)),0)</f>
        <v>0</v>
      </c>
      <c r="AI14" s="230">
        <f>IF(AI$4="",0,((1+'2. Kalkyldata'!$M$9*'2. Kalkyldata'!$J25)^(AI$4-'2. Kalkyldata'!$M25)))*IF((AI$4&gt;='2. Kalkyldata'!$M25),IF(AI$4="",0,IF(AND(AI$4&gt;='2. Kalkyldata'!$M25,'4. NPV'!AI$4&lt;='2. Kalkyldata'!$N25),'2. Kalkyldata'!$L25,'2. Kalkyldata'!$O25*'2. Kalkyldata'!$H25)),0)</f>
        <v>0</v>
      </c>
      <c r="AJ14" s="230">
        <f>IF(AJ$4="",0,((1+'2. Kalkyldata'!$M$9*'2. Kalkyldata'!$J25)^(AJ$4-'2. Kalkyldata'!$M25)))*IF((AJ$4&gt;='2. Kalkyldata'!$M25),IF(AJ$4="",0,IF(AND(AJ$4&gt;='2. Kalkyldata'!$M25,'4. NPV'!AJ$4&lt;='2. Kalkyldata'!$N25),'2. Kalkyldata'!$L25,'2. Kalkyldata'!$O25*'2. Kalkyldata'!$H25)),0)</f>
        <v>0</v>
      </c>
      <c r="AK14" s="230">
        <f>IF(AK$4="",0,((1+'2. Kalkyldata'!$M$9*'2. Kalkyldata'!$J25)^(AK$4-'2. Kalkyldata'!$M25)))*IF((AK$4&gt;='2. Kalkyldata'!$M25),IF(AK$4="",0,IF(AND(AK$4&gt;='2. Kalkyldata'!$M25,'4. NPV'!AK$4&lt;='2. Kalkyldata'!$N25),'2. Kalkyldata'!$L25,'2. Kalkyldata'!$O25*'2. Kalkyldata'!$H25)),0)</f>
        <v>0</v>
      </c>
      <c r="AL14" s="230">
        <f>IF(AL$4="",0,((1+'2. Kalkyldata'!$M$9*'2. Kalkyldata'!$J25)^(AL$4-'2. Kalkyldata'!$M25)))*IF((AL$4&gt;='2. Kalkyldata'!$M25),IF(AL$4="",0,IF(AND(AL$4&gt;='2. Kalkyldata'!$M25,'4. NPV'!AL$4&lt;='2. Kalkyldata'!$N25),'2. Kalkyldata'!$L25,'2. Kalkyldata'!$O25*'2. Kalkyldata'!$H25)),0)</f>
        <v>0</v>
      </c>
      <c r="AM14" s="230">
        <f>IF(AM$4="",0,((1+'2. Kalkyldata'!$M$9*'2. Kalkyldata'!$J25)^(AM$4-'2. Kalkyldata'!$M25)))*IF((AM$4&gt;='2. Kalkyldata'!$M25),IF(AM$4="",0,IF(AND(AM$4&gt;='2. Kalkyldata'!$M25,'4. NPV'!AM$4&lt;='2. Kalkyldata'!$N25),'2. Kalkyldata'!$L25,'2. Kalkyldata'!$O25*'2. Kalkyldata'!$H25)),0)</f>
        <v>0</v>
      </c>
      <c r="AN14" s="230">
        <f>IF(AN$4="",0,((1+'2. Kalkyldata'!$M$9*'2. Kalkyldata'!$J25)^(AN$4-'2. Kalkyldata'!$M25)))*IF((AN$4&gt;='2. Kalkyldata'!$M25),IF(AN$4="",0,IF(AND(AN$4&gt;='2. Kalkyldata'!$M25,'4. NPV'!AN$4&lt;='2. Kalkyldata'!$N25),'2. Kalkyldata'!$L25,'2. Kalkyldata'!$O25*'2. Kalkyldata'!$H25)),0)</f>
        <v>0</v>
      </c>
      <c r="AO14" s="230">
        <f>IF(AO$4="",0,((1+'2. Kalkyldata'!$M$9*'2. Kalkyldata'!$J25)^(AO$4-'2. Kalkyldata'!$M25)))*IF((AO$4&gt;='2. Kalkyldata'!$M25),IF(AO$4="",0,IF(AND(AO$4&gt;='2. Kalkyldata'!$M25,'4. NPV'!AO$4&lt;='2. Kalkyldata'!$N25),'2. Kalkyldata'!$L25,'2. Kalkyldata'!$O25*'2. Kalkyldata'!$H25)),0)</f>
        <v>0</v>
      </c>
      <c r="AP14" s="230">
        <f>IF(AP$4="",0,((1+'2. Kalkyldata'!$M$9*'2. Kalkyldata'!$J25)^(AP$4-'2. Kalkyldata'!$M25)))*IF((AP$4&gt;='2. Kalkyldata'!$M25),IF(AP$4="",0,IF(AND(AP$4&gt;='2. Kalkyldata'!$M25,'4. NPV'!AP$4&lt;='2. Kalkyldata'!$N25),'2. Kalkyldata'!$L25,'2. Kalkyldata'!$O25*'2. Kalkyldata'!$H25)),0)</f>
        <v>0</v>
      </c>
      <c r="AQ14" s="230">
        <f>IF(AQ$4="",0,((1+'2. Kalkyldata'!$M$9*'2. Kalkyldata'!$J25)^(AQ$4-'2. Kalkyldata'!$M25)))*IF((AQ$4&gt;='2. Kalkyldata'!$M25),IF(AQ$4="",0,IF(AND(AQ$4&gt;='2. Kalkyldata'!$M25,'4. NPV'!AQ$4&lt;='2. Kalkyldata'!$N25),'2. Kalkyldata'!$L25,'2. Kalkyldata'!$O25*'2. Kalkyldata'!$H25)),0)</f>
        <v>0</v>
      </c>
      <c r="AR14" s="230">
        <f>IF(AR$4="",0,((1+'2. Kalkyldata'!$M$9*'2. Kalkyldata'!$J25)^(AR$4-'2. Kalkyldata'!$M25)))*IF((AR$4&gt;='2. Kalkyldata'!$M25),IF(AR$4="",0,IF(AND(AR$4&gt;='2. Kalkyldata'!$M25,'4. NPV'!AR$4&lt;='2. Kalkyldata'!$N25),'2. Kalkyldata'!$L25,'2. Kalkyldata'!$O25*'2. Kalkyldata'!$H25)),0)</f>
        <v>0</v>
      </c>
      <c r="AS14" s="230">
        <f>IF(AS$4="",0,((1+'2. Kalkyldata'!$M$9*'2. Kalkyldata'!$J25)^(AS$4-'2. Kalkyldata'!$M25)))*IF((AS$4&gt;='2. Kalkyldata'!$M25),IF(AS$4="",0,IF(AND(AS$4&gt;='2. Kalkyldata'!$M25,'4. NPV'!AS$4&lt;='2. Kalkyldata'!$N25),'2. Kalkyldata'!$L25,'2. Kalkyldata'!$O25*'2. Kalkyldata'!$H25)),0)</f>
        <v>0</v>
      </c>
      <c r="AT14" s="230">
        <f>IF(AT$4="",0,((1+'2. Kalkyldata'!$M$9*'2. Kalkyldata'!$J25)^(AT$4-'2. Kalkyldata'!$M25)))*IF((AT$4&gt;='2. Kalkyldata'!$M25),IF(AT$4="",0,IF(AND(AT$4&gt;='2. Kalkyldata'!$M25,'4. NPV'!AT$4&lt;='2. Kalkyldata'!$N25),'2. Kalkyldata'!$L25,'2. Kalkyldata'!$O25*'2. Kalkyldata'!$H25)),0)</f>
        <v>0</v>
      </c>
      <c r="AU14" s="230">
        <f>IF(AU$4="",0,((1+'2. Kalkyldata'!$M$9*'2. Kalkyldata'!$J25)^(AU$4-'2. Kalkyldata'!$M25)))*IF((AU$4&gt;='2. Kalkyldata'!$M25),IF(AU$4="",0,IF(AND(AU$4&gt;='2. Kalkyldata'!$M25,'4. NPV'!AU$4&lt;='2. Kalkyldata'!$N25),'2. Kalkyldata'!$L25,'2. Kalkyldata'!$O25*'2. Kalkyldata'!$H25)),0)</f>
        <v>0</v>
      </c>
      <c r="AV14" s="230">
        <f>IF(AV$4="",0,((1+'2. Kalkyldata'!$M$9*'2. Kalkyldata'!$J25)^(AV$4-'2. Kalkyldata'!$M25)))*IF((AV$4&gt;='2. Kalkyldata'!$M25),IF(AV$4="",0,IF(AND(AV$4&gt;='2. Kalkyldata'!$M25,'4. NPV'!AV$4&lt;='2. Kalkyldata'!$N25),'2. Kalkyldata'!$L25,'2. Kalkyldata'!$O25*'2. Kalkyldata'!$H25)),0)</f>
        <v>0</v>
      </c>
      <c r="AW14" s="230">
        <f>IF(AW$4="",0,((1+'2. Kalkyldata'!$M$9*'2. Kalkyldata'!$J25)^(AW$4-'2. Kalkyldata'!$M25)))*IF((AW$4&gt;='2. Kalkyldata'!$M25),IF(AW$4="",0,IF(AND(AW$4&gt;='2. Kalkyldata'!$M25,'4. NPV'!AW$4&lt;='2. Kalkyldata'!$N25),'2. Kalkyldata'!$L25,'2. Kalkyldata'!$O25*'2. Kalkyldata'!$H25)),0)</f>
        <v>0</v>
      </c>
      <c r="AX14" s="230">
        <f>IF(AX$4="",0,((1+'2. Kalkyldata'!$M$9*'2. Kalkyldata'!$J25)^(AX$4-'2. Kalkyldata'!$M25)))*IF((AX$4&gt;='2. Kalkyldata'!$M25),IF(AX$4="",0,IF(AND(AX$4&gt;='2. Kalkyldata'!$M25,'4. NPV'!AX$4&lt;='2. Kalkyldata'!$N25),'2. Kalkyldata'!$L25,'2. Kalkyldata'!$O25*'2. Kalkyldata'!$H25)),0)</f>
        <v>0</v>
      </c>
      <c r="AY14" s="230">
        <f>IF(AY$4="",0,((1+'2. Kalkyldata'!$M$9*'2. Kalkyldata'!$J25)^(AY$4-'2. Kalkyldata'!$M25)))*IF((AY$4&gt;='2. Kalkyldata'!$M25),IF(AY$4="",0,IF(AND(AY$4&gt;='2. Kalkyldata'!$M25,'4. NPV'!AY$4&lt;='2. Kalkyldata'!$N25),'2. Kalkyldata'!$L25,'2. Kalkyldata'!$O25*'2. Kalkyldata'!$H25)),0)</f>
        <v>0</v>
      </c>
      <c r="AZ14" s="230">
        <f>IF(AZ$4="",0,((1+'2. Kalkyldata'!$M$9*'2. Kalkyldata'!$J25)^(AZ$4-'2. Kalkyldata'!$M25)))*IF((AZ$4&gt;='2. Kalkyldata'!$M25),IF(AZ$4="",0,IF(AND(AZ$4&gt;='2. Kalkyldata'!$M25,'4. NPV'!AZ$4&lt;='2. Kalkyldata'!$N25),'2. Kalkyldata'!$L25,'2. Kalkyldata'!$O25*'2. Kalkyldata'!$H25)),0)</f>
        <v>0</v>
      </c>
      <c r="BA14" s="230">
        <f>IF(BA$4="",0,((1+'2. Kalkyldata'!$M$9*'2. Kalkyldata'!$J25)^(BA$4-'2. Kalkyldata'!$M25)))*IF((BA$4&gt;='2. Kalkyldata'!$M25),IF(BA$4="",0,IF(AND(BA$4&gt;='2. Kalkyldata'!$M25,'4. NPV'!BA$4&lt;='2. Kalkyldata'!$N25),'2. Kalkyldata'!$L25,'2. Kalkyldata'!$O25*'2. Kalkyldata'!$H25)),0)</f>
        <v>0</v>
      </c>
    </row>
    <row r="15" spans="1:53">
      <c r="A15" s="506"/>
      <c r="B15" s="229" t="str">
        <f>CONCATENATE("Intäkter ",'2. Kalkyldata'!C26)</f>
        <v xml:space="preserve">Intäkter </v>
      </c>
      <c r="C15" s="332">
        <f t="shared" si="4"/>
        <v>0</v>
      </c>
      <c r="D15" s="230">
        <f>IF(D$4="",0,((1+'2. Kalkyldata'!$M$9*'2. Kalkyldata'!$J26)^(D$4-$D$4)))*IF((D$4&gt;='2. Kalkyldata'!$M26),IF(D$4="",0,IF(AND(D$4&gt;='2. Kalkyldata'!$M26,'4. NPV'!D$4&lt;='2. Kalkyldata'!$N26),'2. Kalkyldata'!$L26,'2. Kalkyldata'!$O26*'2. Kalkyldata'!$H26)),0)</f>
        <v>0</v>
      </c>
      <c r="E15" s="230">
        <f>IF(E$4="",0,((1+'2. Kalkyldata'!$M$9*'2. Kalkyldata'!$J26)^(E$4-'2. Kalkyldata'!$M26)))*IF((E$4&gt;='2. Kalkyldata'!$M26),IF(E$4="",0,IF(AND(E$4&gt;='2. Kalkyldata'!$M26,'4. NPV'!E$4&lt;='2. Kalkyldata'!$N26),'2. Kalkyldata'!$L26,'2. Kalkyldata'!$O26*'2. Kalkyldata'!$H26)),0)</f>
        <v>0</v>
      </c>
      <c r="F15" s="230">
        <f>IF(F$4="",0,((1+'2. Kalkyldata'!$M$9*'2. Kalkyldata'!$J26)^(F$4-'2. Kalkyldata'!$M26)))*IF((F$4&gt;='2. Kalkyldata'!$M26),IF(F$4="",0,IF(AND(F$4&gt;='2. Kalkyldata'!$M26,'4. NPV'!F$4&lt;='2. Kalkyldata'!$N26),'2. Kalkyldata'!$L26,'2. Kalkyldata'!$O26*'2. Kalkyldata'!$H26)),0)</f>
        <v>0</v>
      </c>
      <c r="G15" s="230">
        <f>IF(G$4="",0,((1+'2. Kalkyldata'!$M$9*'2. Kalkyldata'!$J26)^(G$4-'2. Kalkyldata'!$M26)))*IF((G$4&gt;='2. Kalkyldata'!$M26),IF(G$4="",0,IF(AND(G$4&gt;='2. Kalkyldata'!$M26,'4. NPV'!G$4&lt;='2. Kalkyldata'!$N26),'2. Kalkyldata'!$L26,'2. Kalkyldata'!$O26*'2. Kalkyldata'!$H26)),0)</f>
        <v>0</v>
      </c>
      <c r="H15" s="230">
        <f>IF(H$4="",0,((1+'2. Kalkyldata'!$M$9*'2. Kalkyldata'!$J26)^(H$4-'2. Kalkyldata'!$M26)))*IF((H$4&gt;='2. Kalkyldata'!$M26),IF(H$4="",0,IF(AND(H$4&gt;='2. Kalkyldata'!$M26,'4. NPV'!H$4&lt;='2. Kalkyldata'!$N26),'2. Kalkyldata'!$L26,'2. Kalkyldata'!$O26*'2. Kalkyldata'!$H26)),0)</f>
        <v>0</v>
      </c>
      <c r="I15" s="230">
        <f>IF(I$4="",0,((1+'2. Kalkyldata'!$M$9*'2. Kalkyldata'!$J26)^(I$4-'2. Kalkyldata'!$M26)))*IF((I$4&gt;='2. Kalkyldata'!$M26),IF(I$4="",0,IF(AND(I$4&gt;='2. Kalkyldata'!$M26,'4. NPV'!I$4&lt;='2. Kalkyldata'!$N26),'2. Kalkyldata'!$L26,'2. Kalkyldata'!$O26*'2. Kalkyldata'!$H26)),0)</f>
        <v>0</v>
      </c>
      <c r="J15" s="230">
        <f>IF(J$4="",0,((1+'2. Kalkyldata'!$M$9*'2. Kalkyldata'!$J26)^(J$4-'2. Kalkyldata'!$M26)))*IF((J$4&gt;='2. Kalkyldata'!$M26),IF(J$4="",0,IF(AND(J$4&gt;='2. Kalkyldata'!$M26,'4. NPV'!J$4&lt;='2. Kalkyldata'!$N26),'2. Kalkyldata'!$L26,'2. Kalkyldata'!$O26*'2. Kalkyldata'!$H26)),0)</f>
        <v>0</v>
      </c>
      <c r="K15" s="230">
        <f>IF(K$4="",0,((1+'2. Kalkyldata'!$M$9*'2. Kalkyldata'!$J26)^(K$4-'2. Kalkyldata'!$M26)))*IF((K$4&gt;='2. Kalkyldata'!$M26),IF(K$4="",0,IF(AND(K$4&gt;='2. Kalkyldata'!$M26,'4. NPV'!K$4&lt;='2. Kalkyldata'!$N26),'2. Kalkyldata'!$L26,'2. Kalkyldata'!$O26*'2. Kalkyldata'!$H26)),0)</f>
        <v>0</v>
      </c>
      <c r="L15" s="230">
        <f>IF(L$4="",0,((1+'2. Kalkyldata'!$M$9*'2. Kalkyldata'!$J26)^(L$4-'2. Kalkyldata'!$M26)))*IF((L$4&gt;='2. Kalkyldata'!$M26),IF(L$4="",0,IF(AND(L$4&gt;='2. Kalkyldata'!$M26,'4. NPV'!L$4&lt;='2. Kalkyldata'!$N26),'2. Kalkyldata'!$L26,'2. Kalkyldata'!$O26*'2. Kalkyldata'!$H26)),0)</f>
        <v>0</v>
      </c>
      <c r="M15" s="230">
        <f>IF(M$4="",0,((1+'2. Kalkyldata'!$M$9*'2. Kalkyldata'!$J26)^(M$4-'2. Kalkyldata'!$M26)))*IF((M$4&gt;='2. Kalkyldata'!$M26),IF(M$4="",0,IF(AND(M$4&gt;='2. Kalkyldata'!$M26,'4. NPV'!M$4&lt;='2. Kalkyldata'!$N26),'2. Kalkyldata'!$L26,'2. Kalkyldata'!$O26*'2. Kalkyldata'!$H26)),0)</f>
        <v>0</v>
      </c>
      <c r="N15" s="230">
        <f>IF(N$4="",0,((1+'2. Kalkyldata'!$M$9*'2. Kalkyldata'!$J26)^(N$4-'2. Kalkyldata'!$M26)))*IF((N$4&gt;='2. Kalkyldata'!$M26),IF(N$4="",0,IF(AND(N$4&gt;='2. Kalkyldata'!$M26,'4. NPV'!N$4&lt;='2. Kalkyldata'!$N26),'2. Kalkyldata'!$L26,'2. Kalkyldata'!$O26*'2. Kalkyldata'!$H26)),0)</f>
        <v>0</v>
      </c>
      <c r="O15" s="230">
        <f>IF(O$4="",0,((1+'2. Kalkyldata'!$M$9*'2. Kalkyldata'!$J26)^(O$4-'2. Kalkyldata'!$M26)))*IF((O$4&gt;='2. Kalkyldata'!$M26),IF(O$4="",0,IF(AND(O$4&gt;='2. Kalkyldata'!$M26,'4. NPV'!O$4&lt;='2. Kalkyldata'!$N26),'2. Kalkyldata'!$L26,'2. Kalkyldata'!$O26*'2. Kalkyldata'!$H26)),0)</f>
        <v>0</v>
      </c>
      <c r="P15" s="230">
        <f>IF(P$4="",0,((1+'2. Kalkyldata'!$M$9*'2. Kalkyldata'!$J26)^(P$4-'2. Kalkyldata'!$M26)))*IF((P$4&gt;='2. Kalkyldata'!$M26),IF(P$4="",0,IF(AND(P$4&gt;='2. Kalkyldata'!$M26,'4. NPV'!P$4&lt;='2. Kalkyldata'!$N26),'2. Kalkyldata'!$L26,'2. Kalkyldata'!$O26*'2. Kalkyldata'!$H26)),0)</f>
        <v>0</v>
      </c>
      <c r="Q15" s="230">
        <f>IF(Q$4="",0,((1+'2. Kalkyldata'!$M$9*'2. Kalkyldata'!$J26)^(Q$4-'2. Kalkyldata'!$M26)))*IF((Q$4&gt;='2. Kalkyldata'!$M26),IF(Q$4="",0,IF(AND(Q$4&gt;='2. Kalkyldata'!$M26,'4. NPV'!Q$4&lt;='2. Kalkyldata'!$N26),'2. Kalkyldata'!$L26,'2. Kalkyldata'!$O26*'2. Kalkyldata'!$H26)),0)</f>
        <v>0</v>
      </c>
      <c r="R15" s="230">
        <f>IF(R$4="",0,((1+'2. Kalkyldata'!$M$9*'2. Kalkyldata'!$J26)^(R$4-'2. Kalkyldata'!$M26)))*IF((R$4&gt;='2. Kalkyldata'!$M26),IF(R$4="",0,IF(AND(R$4&gt;='2. Kalkyldata'!$M26,'4. NPV'!R$4&lt;='2. Kalkyldata'!$N26),'2. Kalkyldata'!$L26,'2. Kalkyldata'!$O26*'2. Kalkyldata'!$H26)),0)</f>
        <v>0</v>
      </c>
      <c r="S15" s="230">
        <f>IF(S$4="",0,((1+'2. Kalkyldata'!$M$9*'2. Kalkyldata'!$J26)^(S$4-'2. Kalkyldata'!$M26)))*IF((S$4&gt;='2. Kalkyldata'!$M26),IF(S$4="",0,IF(AND(S$4&gt;='2. Kalkyldata'!$M26,'4. NPV'!S$4&lt;='2. Kalkyldata'!$N26),'2. Kalkyldata'!$L26,'2. Kalkyldata'!$O26*'2. Kalkyldata'!$H26)),0)</f>
        <v>0</v>
      </c>
      <c r="T15" s="230">
        <f>IF(T$4="",0,((1+'2. Kalkyldata'!$M$9*'2. Kalkyldata'!$J26)^(T$4-'2. Kalkyldata'!$M26)))*IF((T$4&gt;='2. Kalkyldata'!$M26),IF(T$4="",0,IF(AND(T$4&gt;='2. Kalkyldata'!$M26,'4. NPV'!T$4&lt;='2. Kalkyldata'!$N26),'2. Kalkyldata'!$L26,'2. Kalkyldata'!$O26*'2. Kalkyldata'!$H26)),0)</f>
        <v>0</v>
      </c>
      <c r="U15" s="230">
        <f>IF(U$4="",0,((1+'2. Kalkyldata'!$M$9*'2. Kalkyldata'!$J26)^(U$4-'2. Kalkyldata'!$M26)))*IF((U$4&gt;='2. Kalkyldata'!$M26),IF(U$4="",0,IF(AND(U$4&gt;='2. Kalkyldata'!$M26,'4. NPV'!U$4&lt;='2. Kalkyldata'!$N26),'2. Kalkyldata'!$L26,'2. Kalkyldata'!$O26*'2. Kalkyldata'!$H26)),0)</f>
        <v>0</v>
      </c>
      <c r="V15" s="230">
        <f>IF(V$4="",0,((1+'2. Kalkyldata'!$M$9*'2. Kalkyldata'!$J26)^(V$4-'2. Kalkyldata'!$M26)))*IF((V$4&gt;='2. Kalkyldata'!$M26),IF(V$4="",0,IF(AND(V$4&gt;='2. Kalkyldata'!$M26,'4. NPV'!V$4&lt;='2. Kalkyldata'!$N26),'2. Kalkyldata'!$L26,'2. Kalkyldata'!$O26*'2. Kalkyldata'!$H26)),0)</f>
        <v>0</v>
      </c>
      <c r="W15" s="230">
        <f>IF(W$4="",0,((1+'2. Kalkyldata'!$M$9*'2. Kalkyldata'!$J26)^(W$4-'2. Kalkyldata'!$M26)))*IF((W$4&gt;='2. Kalkyldata'!$M26),IF(W$4="",0,IF(AND(W$4&gt;='2. Kalkyldata'!$M26,'4. NPV'!W$4&lt;='2. Kalkyldata'!$N26),'2. Kalkyldata'!$L26,'2. Kalkyldata'!$O26*'2. Kalkyldata'!$H26)),0)</f>
        <v>0</v>
      </c>
      <c r="X15" s="230">
        <f>IF(X$4="",0,((1+'2. Kalkyldata'!$M$9*'2. Kalkyldata'!$J26)^(X$4-'2. Kalkyldata'!$M26)))*IF((X$4&gt;='2. Kalkyldata'!$M26),IF(X$4="",0,IF(AND(X$4&gt;='2. Kalkyldata'!$M26,'4. NPV'!X$4&lt;='2. Kalkyldata'!$N26),'2. Kalkyldata'!$L26,'2. Kalkyldata'!$O26*'2. Kalkyldata'!$H26)),0)</f>
        <v>0</v>
      </c>
      <c r="Y15" s="230">
        <f>IF(Y$4="",0,((1+'2. Kalkyldata'!$M$9*'2. Kalkyldata'!$J26)^(Y$4-'2. Kalkyldata'!$M26)))*IF((Y$4&gt;='2. Kalkyldata'!$M26),IF(Y$4="",0,IF(AND(Y$4&gt;='2. Kalkyldata'!$M26,'4. NPV'!Y$4&lt;='2. Kalkyldata'!$N26),'2. Kalkyldata'!$L26,'2. Kalkyldata'!$O26*'2. Kalkyldata'!$H26)),0)</f>
        <v>0</v>
      </c>
      <c r="Z15" s="230">
        <f>IF(Z$4="",0,((1+'2. Kalkyldata'!$M$9*'2. Kalkyldata'!$J26)^(Z$4-'2. Kalkyldata'!$M26)))*IF((Z$4&gt;='2. Kalkyldata'!$M26),IF(Z$4="",0,IF(AND(Z$4&gt;='2. Kalkyldata'!$M26,'4. NPV'!Z$4&lt;='2. Kalkyldata'!$N26),'2. Kalkyldata'!$L26,'2. Kalkyldata'!$O26*'2. Kalkyldata'!$H26)),0)</f>
        <v>0</v>
      </c>
      <c r="AA15" s="230">
        <f>IF(AA$4="",0,((1+'2. Kalkyldata'!$M$9*'2. Kalkyldata'!$J26)^(AA$4-'2. Kalkyldata'!$M26)))*IF((AA$4&gt;='2. Kalkyldata'!$M26),IF(AA$4="",0,IF(AND(AA$4&gt;='2. Kalkyldata'!$M26,'4. NPV'!AA$4&lt;='2. Kalkyldata'!$N26),'2. Kalkyldata'!$L26,'2. Kalkyldata'!$O26*'2. Kalkyldata'!$H26)),0)</f>
        <v>0</v>
      </c>
      <c r="AB15" s="230">
        <f>IF(AB$4="",0,((1+'2. Kalkyldata'!$M$9*'2. Kalkyldata'!$J26)^(AB$4-'2. Kalkyldata'!$M26)))*IF((AB$4&gt;='2. Kalkyldata'!$M26),IF(AB$4="",0,IF(AND(AB$4&gt;='2. Kalkyldata'!$M26,'4. NPV'!AB$4&lt;='2. Kalkyldata'!$N26),'2. Kalkyldata'!$L26,'2. Kalkyldata'!$O26*'2. Kalkyldata'!$H26)),0)</f>
        <v>0</v>
      </c>
      <c r="AC15" s="230">
        <f>IF(AC$4="",0,((1+'2. Kalkyldata'!$M$9*'2. Kalkyldata'!$J26)^(AC$4-'2. Kalkyldata'!$M26)))*IF((AC$4&gt;='2. Kalkyldata'!$M26),IF(AC$4="",0,IF(AND(AC$4&gt;='2. Kalkyldata'!$M26,'4. NPV'!AC$4&lt;='2. Kalkyldata'!$N26),'2. Kalkyldata'!$L26,'2. Kalkyldata'!$O26*'2. Kalkyldata'!$H26)),0)</f>
        <v>0</v>
      </c>
      <c r="AD15" s="230">
        <f>IF(AD$4="",0,((1+'2. Kalkyldata'!$M$9*'2. Kalkyldata'!$J26)^(AD$4-'2. Kalkyldata'!$M26)))*IF((AD$4&gt;='2. Kalkyldata'!$M26),IF(AD$4="",0,IF(AND(AD$4&gt;='2. Kalkyldata'!$M26,'4. NPV'!AD$4&lt;='2. Kalkyldata'!$N26),'2. Kalkyldata'!$L26,'2. Kalkyldata'!$O26*'2. Kalkyldata'!$H26)),0)</f>
        <v>0</v>
      </c>
      <c r="AE15" s="230">
        <f>IF(AE$4="",0,((1+'2. Kalkyldata'!$M$9*'2. Kalkyldata'!$J26)^(AE$4-'2. Kalkyldata'!$M26)))*IF((AE$4&gt;='2. Kalkyldata'!$M26),IF(AE$4="",0,IF(AND(AE$4&gt;='2. Kalkyldata'!$M26,'4. NPV'!AE$4&lt;='2. Kalkyldata'!$N26),'2. Kalkyldata'!$L26,'2. Kalkyldata'!$O26*'2. Kalkyldata'!$H26)),0)</f>
        <v>0</v>
      </c>
      <c r="AF15" s="230">
        <f>IF(AF$4="",0,((1+'2. Kalkyldata'!$M$9*'2. Kalkyldata'!$J26)^(AF$4-'2. Kalkyldata'!$M26)))*IF((AF$4&gt;='2. Kalkyldata'!$M26),IF(AF$4="",0,IF(AND(AF$4&gt;='2. Kalkyldata'!$M26,'4. NPV'!AF$4&lt;='2. Kalkyldata'!$N26),'2. Kalkyldata'!$L26,'2. Kalkyldata'!$O26*'2. Kalkyldata'!$H26)),0)</f>
        <v>0</v>
      </c>
      <c r="AG15" s="230">
        <f>IF(AG$4="",0,((1+'2. Kalkyldata'!$M$9*'2. Kalkyldata'!$J26)^(AG$4-'2. Kalkyldata'!$M26)))*IF((AG$4&gt;='2. Kalkyldata'!$M26),IF(AG$4="",0,IF(AND(AG$4&gt;='2. Kalkyldata'!$M26,'4. NPV'!AG$4&lt;='2. Kalkyldata'!$N26),'2. Kalkyldata'!$L26,'2. Kalkyldata'!$O26*'2. Kalkyldata'!$H26)),0)</f>
        <v>0</v>
      </c>
      <c r="AH15" s="230">
        <f>IF(AH$4="",0,((1+'2. Kalkyldata'!$M$9*'2. Kalkyldata'!$J26)^(AH$4-'2. Kalkyldata'!$M26)))*IF((AH$4&gt;='2. Kalkyldata'!$M26),IF(AH$4="",0,IF(AND(AH$4&gt;='2. Kalkyldata'!$M26,'4. NPV'!AH$4&lt;='2. Kalkyldata'!$N26),'2. Kalkyldata'!$L26,'2. Kalkyldata'!$O26*'2. Kalkyldata'!$H26)),0)</f>
        <v>0</v>
      </c>
      <c r="AI15" s="230">
        <f>IF(AI$4="",0,((1+'2. Kalkyldata'!$M$9*'2. Kalkyldata'!$J26)^(AI$4-'2. Kalkyldata'!$M26)))*IF((AI$4&gt;='2. Kalkyldata'!$M26),IF(AI$4="",0,IF(AND(AI$4&gt;='2. Kalkyldata'!$M26,'4. NPV'!AI$4&lt;='2. Kalkyldata'!$N26),'2. Kalkyldata'!$L26,'2. Kalkyldata'!$O26*'2. Kalkyldata'!$H26)),0)</f>
        <v>0</v>
      </c>
      <c r="AJ15" s="230">
        <f>IF(AJ$4="",0,((1+'2. Kalkyldata'!$M$9*'2. Kalkyldata'!$J26)^(AJ$4-'2. Kalkyldata'!$M26)))*IF((AJ$4&gt;='2. Kalkyldata'!$M26),IF(AJ$4="",0,IF(AND(AJ$4&gt;='2. Kalkyldata'!$M26,'4. NPV'!AJ$4&lt;='2. Kalkyldata'!$N26),'2. Kalkyldata'!$L26,'2. Kalkyldata'!$O26*'2. Kalkyldata'!$H26)),0)</f>
        <v>0</v>
      </c>
      <c r="AK15" s="230">
        <f>IF(AK$4="",0,((1+'2. Kalkyldata'!$M$9*'2. Kalkyldata'!$J26)^(AK$4-'2. Kalkyldata'!$M26)))*IF((AK$4&gt;='2. Kalkyldata'!$M26),IF(AK$4="",0,IF(AND(AK$4&gt;='2. Kalkyldata'!$M26,'4. NPV'!AK$4&lt;='2. Kalkyldata'!$N26),'2. Kalkyldata'!$L26,'2. Kalkyldata'!$O26*'2. Kalkyldata'!$H26)),0)</f>
        <v>0</v>
      </c>
      <c r="AL15" s="230">
        <f>IF(AL$4="",0,((1+'2. Kalkyldata'!$M$9*'2. Kalkyldata'!$J26)^(AL$4-'2. Kalkyldata'!$M26)))*IF((AL$4&gt;='2. Kalkyldata'!$M26),IF(AL$4="",0,IF(AND(AL$4&gt;='2. Kalkyldata'!$M26,'4. NPV'!AL$4&lt;='2. Kalkyldata'!$N26),'2. Kalkyldata'!$L26,'2. Kalkyldata'!$O26*'2. Kalkyldata'!$H26)),0)</f>
        <v>0</v>
      </c>
      <c r="AM15" s="230">
        <f>IF(AM$4="",0,((1+'2. Kalkyldata'!$M$9*'2. Kalkyldata'!$J26)^(AM$4-'2. Kalkyldata'!$M26)))*IF((AM$4&gt;='2. Kalkyldata'!$M26),IF(AM$4="",0,IF(AND(AM$4&gt;='2. Kalkyldata'!$M26,'4. NPV'!AM$4&lt;='2. Kalkyldata'!$N26),'2. Kalkyldata'!$L26,'2. Kalkyldata'!$O26*'2. Kalkyldata'!$H26)),0)</f>
        <v>0</v>
      </c>
      <c r="AN15" s="230">
        <f>IF(AN$4="",0,((1+'2. Kalkyldata'!$M$9*'2. Kalkyldata'!$J26)^(AN$4-'2. Kalkyldata'!$M26)))*IF((AN$4&gt;='2. Kalkyldata'!$M26),IF(AN$4="",0,IF(AND(AN$4&gt;='2. Kalkyldata'!$M26,'4. NPV'!AN$4&lt;='2. Kalkyldata'!$N26),'2. Kalkyldata'!$L26,'2. Kalkyldata'!$O26*'2. Kalkyldata'!$H26)),0)</f>
        <v>0</v>
      </c>
      <c r="AO15" s="230">
        <f>IF(AO$4="",0,((1+'2. Kalkyldata'!$M$9*'2. Kalkyldata'!$J26)^(AO$4-'2. Kalkyldata'!$M26)))*IF((AO$4&gt;='2. Kalkyldata'!$M26),IF(AO$4="",0,IF(AND(AO$4&gt;='2. Kalkyldata'!$M26,'4. NPV'!AO$4&lt;='2. Kalkyldata'!$N26),'2. Kalkyldata'!$L26,'2. Kalkyldata'!$O26*'2. Kalkyldata'!$H26)),0)</f>
        <v>0</v>
      </c>
      <c r="AP15" s="230">
        <f>IF(AP$4="",0,((1+'2. Kalkyldata'!$M$9*'2. Kalkyldata'!$J26)^(AP$4-'2. Kalkyldata'!$M26)))*IF((AP$4&gt;='2. Kalkyldata'!$M26),IF(AP$4="",0,IF(AND(AP$4&gt;='2. Kalkyldata'!$M26,'4. NPV'!AP$4&lt;='2. Kalkyldata'!$N26),'2. Kalkyldata'!$L26,'2. Kalkyldata'!$O26*'2. Kalkyldata'!$H26)),0)</f>
        <v>0</v>
      </c>
      <c r="AQ15" s="230">
        <f>IF(AQ$4="",0,((1+'2. Kalkyldata'!$M$9*'2. Kalkyldata'!$J26)^(AQ$4-'2. Kalkyldata'!$M26)))*IF((AQ$4&gt;='2. Kalkyldata'!$M26),IF(AQ$4="",0,IF(AND(AQ$4&gt;='2. Kalkyldata'!$M26,'4. NPV'!AQ$4&lt;='2. Kalkyldata'!$N26),'2. Kalkyldata'!$L26,'2. Kalkyldata'!$O26*'2. Kalkyldata'!$H26)),0)</f>
        <v>0</v>
      </c>
      <c r="AR15" s="230">
        <f>IF(AR$4="",0,((1+'2. Kalkyldata'!$M$9*'2. Kalkyldata'!$J26)^(AR$4-'2. Kalkyldata'!$M26)))*IF((AR$4&gt;='2. Kalkyldata'!$M26),IF(AR$4="",0,IF(AND(AR$4&gt;='2. Kalkyldata'!$M26,'4. NPV'!AR$4&lt;='2. Kalkyldata'!$N26),'2. Kalkyldata'!$L26,'2. Kalkyldata'!$O26*'2. Kalkyldata'!$H26)),0)</f>
        <v>0</v>
      </c>
      <c r="AS15" s="230">
        <f>IF(AS$4="",0,((1+'2. Kalkyldata'!$M$9*'2. Kalkyldata'!$J26)^(AS$4-'2. Kalkyldata'!$M26)))*IF((AS$4&gt;='2. Kalkyldata'!$M26),IF(AS$4="",0,IF(AND(AS$4&gt;='2. Kalkyldata'!$M26,'4. NPV'!AS$4&lt;='2. Kalkyldata'!$N26),'2. Kalkyldata'!$L26,'2. Kalkyldata'!$O26*'2. Kalkyldata'!$H26)),0)</f>
        <v>0</v>
      </c>
      <c r="AT15" s="230">
        <f>IF(AT$4="",0,((1+'2. Kalkyldata'!$M$9*'2. Kalkyldata'!$J26)^(AT$4-'2. Kalkyldata'!$M26)))*IF((AT$4&gt;='2. Kalkyldata'!$M26),IF(AT$4="",0,IF(AND(AT$4&gt;='2. Kalkyldata'!$M26,'4. NPV'!AT$4&lt;='2. Kalkyldata'!$N26),'2. Kalkyldata'!$L26,'2. Kalkyldata'!$O26*'2. Kalkyldata'!$H26)),0)</f>
        <v>0</v>
      </c>
      <c r="AU15" s="230">
        <f>IF(AU$4="",0,((1+'2. Kalkyldata'!$M$9*'2. Kalkyldata'!$J26)^(AU$4-'2. Kalkyldata'!$M26)))*IF((AU$4&gt;='2. Kalkyldata'!$M26),IF(AU$4="",0,IF(AND(AU$4&gt;='2. Kalkyldata'!$M26,'4. NPV'!AU$4&lt;='2. Kalkyldata'!$N26),'2. Kalkyldata'!$L26,'2. Kalkyldata'!$O26*'2. Kalkyldata'!$H26)),0)</f>
        <v>0</v>
      </c>
      <c r="AV15" s="230">
        <f>IF(AV$4="",0,((1+'2. Kalkyldata'!$M$9*'2. Kalkyldata'!$J26)^(AV$4-'2. Kalkyldata'!$M26)))*IF((AV$4&gt;='2. Kalkyldata'!$M26),IF(AV$4="",0,IF(AND(AV$4&gt;='2. Kalkyldata'!$M26,'4. NPV'!AV$4&lt;='2. Kalkyldata'!$N26),'2. Kalkyldata'!$L26,'2. Kalkyldata'!$O26*'2. Kalkyldata'!$H26)),0)</f>
        <v>0</v>
      </c>
      <c r="AW15" s="230">
        <f>IF(AW$4="",0,((1+'2. Kalkyldata'!$M$9*'2. Kalkyldata'!$J26)^(AW$4-'2. Kalkyldata'!$M26)))*IF((AW$4&gt;='2. Kalkyldata'!$M26),IF(AW$4="",0,IF(AND(AW$4&gt;='2. Kalkyldata'!$M26,'4. NPV'!AW$4&lt;='2. Kalkyldata'!$N26),'2. Kalkyldata'!$L26,'2. Kalkyldata'!$O26*'2. Kalkyldata'!$H26)),0)</f>
        <v>0</v>
      </c>
      <c r="AX15" s="230">
        <f>IF(AX$4="",0,((1+'2. Kalkyldata'!$M$9*'2. Kalkyldata'!$J26)^(AX$4-'2. Kalkyldata'!$M26)))*IF((AX$4&gt;='2. Kalkyldata'!$M26),IF(AX$4="",0,IF(AND(AX$4&gt;='2. Kalkyldata'!$M26,'4. NPV'!AX$4&lt;='2. Kalkyldata'!$N26),'2. Kalkyldata'!$L26,'2. Kalkyldata'!$O26*'2. Kalkyldata'!$H26)),0)</f>
        <v>0</v>
      </c>
      <c r="AY15" s="230">
        <f>IF(AY$4="",0,((1+'2. Kalkyldata'!$M$9*'2. Kalkyldata'!$J26)^(AY$4-'2. Kalkyldata'!$M26)))*IF((AY$4&gt;='2. Kalkyldata'!$M26),IF(AY$4="",0,IF(AND(AY$4&gt;='2. Kalkyldata'!$M26,'4. NPV'!AY$4&lt;='2. Kalkyldata'!$N26),'2. Kalkyldata'!$L26,'2. Kalkyldata'!$O26*'2. Kalkyldata'!$H26)),0)</f>
        <v>0</v>
      </c>
      <c r="AZ15" s="230">
        <f>IF(AZ$4="",0,((1+'2. Kalkyldata'!$M$9*'2. Kalkyldata'!$J26)^(AZ$4-'2. Kalkyldata'!$M26)))*IF((AZ$4&gt;='2. Kalkyldata'!$M26),IF(AZ$4="",0,IF(AND(AZ$4&gt;='2. Kalkyldata'!$M26,'4. NPV'!AZ$4&lt;='2. Kalkyldata'!$N26),'2. Kalkyldata'!$L26,'2. Kalkyldata'!$O26*'2. Kalkyldata'!$H26)),0)</f>
        <v>0</v>
      </c>
      <c r="BA15" s="230">
        <f>IF(BA$4="",0,((1+'2. Kalkyldata'!$M$9*'2. Kalkyldata'!$J26)^(BA$4-'2. Kalkyldata'!$M26)))*IF((BA$4&gt;='2. Kalkyldata'!$M26),IF(BA$4="",0,IF(AND(BA$4&gt;='2. Kalkyldata'!$M26,'4. NPV'!BA$4&lt;='2. Kalkyldata'!$N26),'2. Kalkyldata'!$L26,'2. Kalkyldata'!$O26*'2. Kalkyldata'!$H26)),0)</f>
        <v>0</v>
      </c>
    </row>
    <row r="16" spans="1:53">
      <c r="A16" s="506"/>
      <c r="B16" s="229" t="str">
        <f>CONCATENATE("Intäkter ",'2. Kalkyldata'!C27)</f>
        <v xml:space="preserve">Intäkter </v>
      </c>
      <c r="C16" s="332">
        <f t="shared" si="4"/>
        <v>0</v>
      </c>
      <c r="D16" s="230">
        <f>IF(D$4="",0,((1+'2. Kalkyldata'!$M$9*'2. Kalkyldata'!$J27)^(D$4-$D$4)))*IF((D$4&gt;='2. Kalkyldata'!$M27),IF(D$4="",0,IF(AND(D$4&gt;='2. Kalkyldata'!$M27,'4. NPV'!D$4&lt;='2. Kalkyldata'!$N27),'2. Kalkyldata'!$L27,'2. Kalkyldata'!$O27*'2. Kalkyldata'!$H27)),0)</f>
        <v>0</v>
      </c>
      <c r="E16" s="230">
        <f>IF(E$4="",0,((1+'2. Kalkyldata'!$M$9*'2. Kalkyldata'!$J27)^(E$4-'2. Kalkyldata'!$M27)))*IF((E$4&gt;='2. Kalkyldata'!$M27),IF(E$4="",0,IF(AND(E$4&gt;='2. Kalkyldata'!$M27,'4. NPV'!E$4&lt;='2. Kalkyldata'!$N27),'2. Kalkyldata'!$L27,'2. Kalkyldata'!$O27*'2. Kalkyldata'!$H27)),0)</f>
        <v>0</v>
      </c>
      <c r="F16" s="230">
        <f>IF(F$4="",0,((1+'2. Kalkyldata'!$M$9*'2. Kalkyldata'!$J27)^(F$4-'2. Kalkyldata'!$M27)))*IF((F$4&gt;='2. Kalkyldata'!$M27),IF(F$4="",0,IF(AND(F$4&gt;='2. Kalkyldata'!$M27,'4. NPV'!F$4&lt;='2. Kalkyldata'!$N27),'2. Kalkyldata'!$L27,'2. Kalkyldata'!$O27*'2. Kalkyldata'!$H27)),0)</f>
        <v>0</v>
      </c>
      <c r="G16" s="230">
        <f>IF(G$4="",0,((1+'2. Kalkyldata'!$M$9*'2. Kalkyldata'!$J27)^(G$4-'2. Kalkyldata'!$M27)))*IF((G$4&gt;='2. Kalkyldata'!$M27),IF(G$4="",0,IF(AND(G$4&gt;='2. Kalkyldata'!$M27,'4. NPV'!G$4&lt;='2. Kalkyldata'!$N27),'2. Kalkyldata'!$L27,'2. Kalkyldata'!$O27*'2. Kalkyldata'!$H27)),0)</f>
        <v>0</v>
      </c>
      <c r="H16" s="230">
        <f>IF(H$4="",0,((1+'2. Kalkyldata'!$M$9*'2. Kalkyldata'!$J27)^(H$4-'2. Kalkyldata'!$M27)))*IF((H$4&gt;='2. Kalkyldata'!$M27),IF(H$4="",0,IF(AND(H$4&gt;='2. Kalkyldata'!$M27,'4. NPV'!H$4&lt;='2. Kalkyldata'!$N27),'2. Kalkyldata'!$L27,'2. Kalkyldata'!$O27*'2. Kalkyldata'!$H27)),0)</f>
        <v>0</v>
      </c>
      <c r="I16" s="230">
        <f>IF(I$4="",0,((1+'2. Kalkyldata'!$M$9*'2. Kalkyldata'!$J27)^(I$4-'2. Kalkyldata'!$M27)))*IF((I$4&gt;='2. Kalkyldata'!$M27),IF(I$4="",0,IF(AND(I$4&gt;='2. Kalkyldata'!$M27,'4. NPV'!I$4&lt;='2. Kalkyldata'!$N27),'2. Kalkyldata'!$L27,'2. Kalkyldata'!$O27*'2. Kalkyldata'!$H27)),0)</f>
        <v>0</v>
      </c>
      <c r="J16" s="230">
        <f>IF(J$4="",0,((1+'2. Kalkyldata'!$M$9*'2. Kalkyldata'!$J27)^(J$4-'2. Kalkyldata'!$M27)))*IF((J$4&gt;='2. Kalkyldata'!$M27),IF(J$4="",0,IF(AND(J$4&gt;='2. Kalkyldata'!$M27,'4. NPV'!J$4&lt;='2. Kalkyldata'!$N27),'2. Kalkyldata'!$L27,'2. Kalkyldata'!$O27*'2. Kalkyldata'!$H27)),0)</f>
        <v>0</v>
      </c>
      <c r="K16" s="230">
        <f>IF(K$4="",0,((1+'2. Kalkyldata'!$M$9*'2. Kalkyldata'!$J27)^(K$4-'2. Kalkyldata'!$M27)))*IF((K$4&gt;='2. Kalkyldata'!$M27),IF(K$4="",0,IF(AND(K$4&gt;='2. Kalkyldata'!$M27,'4. NPV'!K$4&lt;='2. Kalkyldata'!$N27),'2. Kalkyldata'!$L27,'2. Kalkyldata'!$O27*'2. Kalkyldata'!$H27)),0)</f>
        <v>0</v>
      </c>
      <c r="L16" s="230">
        <f>IF(L$4="",0,((1+'2. Kalkyldata'!$M$9*'2. Kalkyldata'!$J27)^(L$4-'2. Kalkyldata'!$M27)))*IF((L$4&gt;='2. Kalkyldata'!$M27),IF(L$4="",0,IF(AND(L$4&gt;='2. Kalkyldata'!$M27,'4. NPV'!L$4&lt;='2. Kalkyldata'!$N27),'2. Kalkyldata'!$L27,'2. Kalkyldata'!$O27*'2. Kalkyldata'!$H27)),0)</f>
        <v>0</v>
      </c>
      <c r="M16" s="230">
        <f>IF(M$4="",0,((1+'2. Kalkyldata'!$M$9*'2. Kalkyldata'!$J27)^(M$4-'2. Kalkyldata'!$M27)))*IF((M$4&gt;='2. Kalkyldata'!$M27),IF(M$4="",0,IF(AND(M$4&gt;='2. Kalkyldata'!$M27,'4. NPV'!M$4&lt;='2. Kalkyldata'!$N27),'2. Kalkyldata'!$L27,'2. Kalkyldata'!$O27*'2. Kalkyldata'!$H27)),0)</f>
        <v>0</v>
      </c>
      <c r="N16" s="230">
        <f>IF(N$4="",0,((1+'2. Kalkyldata'!$M$9*'2. Kalkyldata'!$J27)^(N$4-'2. Kalkyldata'!$M27)))*IF((N$4&gt;='2. Kalkyldata'!$M27),IF(N$4="",0,IF(AND(N$4&gt;='2. Kalkyldata'!$M27,'4. NPV'!N$4&lt;='2. Kalkyldata'!$N27),'2. Kalkyldata'!$L27,'2. Kalkyldata'!$O27*'2. Kalkyldata'!$H27)),0)</f>
        <v>0</v>
      </c>
      <c r="O16" s="230">
        <f>IF(O$4="",0,((1+'2. Kalkyldata'!$M$9*'2. Kalkyldata'!$J27)^(O$4-'2. Kalkyldata'!$M27)))*IF((O$4&gt;='2. Kalkyldata'!$M27),IF(O$4="",0,IF(AND(O$4&gt;='2. Kalkyldata'!$M27,'4. NPV'!O$4&lt;='2. Kalkyldata'!$N27),'2. Kalkyldata'!$L27,'2. Kalkyldata'!$O27*'2. Kalkyldata'!$H27)),0)</f>
        <v>0</v>
      </c>
      <c r="P16" s="230">
        <f>IF(P$4="",0,((1+'2. Kalkyldata'!$M$9*'2. Kalkyldata'!$J27)^(P$4-'2. Kalkyldata'!$M27)))*IF((P$4&gt;='2. Kalkyldata'!$M27),IF(P$4="",0,IF(AND(P$4&gt;='2. Kalkyldata'!$M27,'4. NPV'!P$4&lt;='2. Kalkyldata'!$N27),'2. Kalkyldata'!$L27,'2. Kalkyldata'!$O27*'2. Kalkyldata'!$H27)),0)</f>
        <v>0</v>
      </c>
      <c r="Q16" s="230">
        <f>IF(Q$4="",0,((1+'2. Kalkyldata'!$M$9*'2. Kalkyldata'!$J27)^(Q$4-'2. Kalkyldata'!$M27)))*IF((Q$4&gt;='2. Kalkyldata'!$M27),IF(Q$4="",0,IF(AND(Q$4&gt;='2. Kalkyldata'!$M27,'4. NPV'!Q$4&lt;='2. Kalkyldata'!$N27),'2. Kalkyldata'!$L27,'2. Kalkyldata'!$O27*'2. Kalkyldata'!$H27)),0)</f>
        <v>0</v>
      </c>
      <c r="R16" s="230">
        <f>IF(R$4="",0,((1+'2. Kalkyldata'!$M$9*'2. Kalkyldata'!$J27)^(R$4-'2. Kalkyldata'!$M27)))*IF((R$4&gt;='2. Kalkyldata'!$M27),IF(R$4="",0,IF(AND(R$4&gt;='2. Kalkyldata'!$M27,'4. NPV'!R$4&lt;='2. Kalkyldata'!$N27),'2. Kalkyldata'!$L27,'2. Kalkyldata'!$O27*'2. Kalkyldata'!$H27)),0)</f>
        <v>0</v>
      </c>
      <c r="S16" s="230">
        <f>IF(S$4="",0,((1+'2. Kalkyldata'!$M$9*'2. Kalkyldata'!$J27)^(S$4-'2. Kalkyldata'!$M27)))*IF((S$4&gt;='2. Kalkyldata'!$M27),IF(S$4="",0,IF(AND(S$4&gt;='2. Kalkyldata'!$M27,'4. NPV'!S$4&lt;='2. Kalkyldata'!$N27),'2. Kalkyldata'!$L27,'2. Kalkyldata'!$O27*'2. Kalkyldata'!$H27)),0)</f>
        <v>0</v>
      </c>
      <c r="T16" s="230">
        <f>IF(T$4="",0,((1+'2. Kalkyldata'!$M$9*'2. Kalkyldata'!$J27)^(T$4-'2. Kalkyldata'!$M27)))*IF((T$4&gt;='2. Kalkyldata'!$M27),IF(T$4="",0,IF(AND(T$4&gt;='2. Kalkyldata'!$M27,'4. NPV'!T$4&lt;='2. Kalkyldata'!$N27),'2. Kalkyldata'!$L27,'2. Kalkyldata'!$O27*'2. Kalkyldata'!$H27)),0)</f>
        <v>0</v>
      </c>
      <c r="U16" s="230">
        <f>IF(U$4="",0,((1+'2. Kalkyldata'!$M$9*'2. Kalkyldata'!$J27)^(U$4-'2. Kalkyldata'!$M27)))*IF((U$4&gt;='2. Kalkyldata'!$M27),IF(U$4="",0,IF(AND(U$4&gt;='2. Kalkyldata'!$M27,'4. NPV'!U$4&lt;='2. Kalkyldata'!$N27),'2. Kalkyldata'!$L27,'2. Kalkyldata'!$O27*'2. Kalkyldata'!$H27)),0)</f>
        <v>0</v>
      </c>
      <c r="V16" s="230">
        <f>IF(V$4="",0,((1+'2. Kalkyldata'!$M$9*'2. Kalkyldata'!$J27)^(V$4-'2. Kalkyldata'!$M27)))*IF((V$4&gt;='2. Kalkyldata'!$M27),IF(V$4="",0,IF(AND(V$4&gt;='2. Kalkyldata'!$M27,'4. NPV'!V$4&lt;='2. Kalkyldata'!$N27),'2. Kalkyldata'!$L27,'2. Kalkyldata'!$O27*'2. Kalkyldata'!$H27)),0)</f>
        <v>0</v>
      </c>
      <c r="W16" s="230">
        <f>IF(W$4="",0,((1+'2. Kalkyldata'!$M$9*'2. Kalkyldata'!$J27)^(W$4-'2. Kalkyldata'!$M27)))*IF((W$4&gt;='2. Kalkyldata'!$M27),IF(W$4="",0,IF(AND(W$4&gt;='2. Kalkyldata'!$M27,'4. NPV'!W$4&lt;='2. Kalkyldata'!$N27),'2. Kalkyldata'!$L27,'2. Kalkyldata'!$O27*'2. Kalkyldata'!$H27)),0)</f>
        <v>0</v>
      </c>
      <c r="X16" s="230">
        <f>IF(X$4="",0,((1+'2. Kalkyldata'!$M$9*'2. Kalkyldata'!$J27)^(X$4-'2. Kalkyldata'!$M27)))*IF((X$4&gt;='2. Kalkyldata'!$M27),IF(X$4="",0,IF(AND(X$4&gt;='2. Kalkyldata'!$M27,'4. NPV'!X$4&lt;='2. Kalkyldata'!$N27),'2. Kalkyldata'!$L27,'2. Kalkyldata'!$O27*'2. Kalkyldata'!$H27)),0)</f>
        <v>0</v>
      </c>
      <c r="Y16" s="230">
        <f>IF(Y$4="",0,((1+'2. Kalkyldata'!$M$9*'2. Kalkyldata'!$J27)^(Y$4-'2. Kalkyldata'!$M27)))*IF((Y$4&gt;='2. Kalkyldata'!$M27),IF(Y$4="",0,IF(AND(Y$4&gt;='2. Kalkyldata'!$M27,'4. NPV'!Y$4&lt;='2. Kalkyldata'!$N27),'2. Kalkyldata'!$L27,'2. Kalkyldata'!$O27*'2. Kalkyldata'!$H27)),0)</f>
        <v>0</v>
      </c>
      <c r="Z16" s="230">
        <f>IF(Z$4="",0,((1+'2. Kalkyldata'!$M$9*'2. Kalkyldata'!$J27)^(Z$4-'2. Kalkyldata'!$M27)))*IF((Z$4&gt;='2. Kalkyldata'!$M27),IF(Z$4="",0,IF(AND(Z$4&gt;='2. Kalkyldata'!$M27,'4. NPV'!Z$4&lt;='2. Kalkyldata'!$N27),'2. Kalkyldata'!$L27,'2. Kalkyldata'!$O27*'2. Kalkyldata'!$H27)),0)</f>
        <v>0</v>
      </c>
      <c r="AA16" s="230">
        <f>IF(AA$4="",0,((1+'2. Kalkyldata'!$M$9*'2. Kalkyldata'!$J27)^(AA$4-'2. Kalkyldata'!$M27)))*IF((AA$4&gt;='2. Kalkyldata'!$M27),IF(AA$4="",0,IF(AND(AA$4&gt;='2. Kalkyldata'!$M27,'4. NPV'!AA$4&lt;='2. Kalkyldata'!$N27),'2. Kalkyldata'!$L27,'2. Kalkyldata'!$O27*'2. Kalkyldata'!$H27)),0)</f>
        <v>0</v>
      </c>
      <c r="AB16" s="230">
        <f>IF(AB$4="",0,((1+'2. Kalkyldata'!$M$9*'2. Kalkyldata'!$J27)^(AB$4-'2. Kalkyldata'!$M27)))*IF((AB$4&gt;='2. Kalkyldata'!$M27),IF(AB$4="",0,IF(AND(AB$4&gt;='2. Kalkyldata'!$M27,'4. NPV'!AB$4&lt;='2. Kalkyldata'!$N27),'2. Kalkyldata'!$L27,'2. Kalkyldata'!$O27*'2. Kalkyldata'!$H27)),0)</f>
        <v>0</v>
      </c>
      <c r="AC16" s="230">
        <f>IF(AC$4="",0,((1+'2. Kalkyldata'!$M$9*'2. Kalkyldata'!$J27)^(AC$4-'2. Kalkyldata'!$M27)))*IF((AC$4&gt;='2. Kalkyldata'!$M27),IF(AC$4="",0,IF(AND(AC$4&gt;='2. Kalkyldata'!$M27,'4. NPV'!AC$4&lt;='2. Kalkyldata'!$N27),'2. Kalkyldata'!$L27,'2. Kalkyldata'!$O27*'2. Kalkyldata'!$H27)),0)</f>
        <v>0</v>
      </c>
      <c r="AD16" s="230">
        <f>IF(AD$4="",0,((1+'2. Kalkyldata'!$M$9*'2. Kalkyldata'!$J27)^(AD$4-'2. Kalkyldata'!$M27)))*IF((AD$4&gt;='2. Kalkyldata'!$M27),IF(AD$4="",0,IF(AND(AD$4&gt;='2. Kalkyldata'!$M27,'4. NPV'!AD$4&lt;='2. Kalkyldata'!$N27),'2. Kalkyldata'!$L27,'2. Kalkyldata'!$O27*'2. Kalkyldata'!$H27)),0)</f>
        <v>0</v>
      </c>
      <c r="AE16" s="230">
        <f>IF(AE$4="",0,((1+'2. Kalkyldata'!$M$9*'2. Kalkyldata'!$J27)^(AE$4-'2. Kalkyldata'!$M27)))*IF((AE$4&gt;='2. Kalkyldata'!$M27),IF(AE$4="",0,IF(AND(AE$4&gt;='2. Kalkyldata'!$M27,'4. NPV'!AE$4&lt;='2. Kalkyldata'!$N27),'2. Kalkyldata'!$L27,'2. Kalkyldata'!$O27*'2. Kalkyldata'!$H27)),0)</f>
        <v>0</v>
      </c>
      <c r="AF16" s="230">
        <f>IF(AF$4="",0,((1+'2. Kalkyldata'!$M$9*'2. Kalkyldata'!$J27)^(AF$4-'2. Kalkyldata'!$M27)))*IF((AF$4&gt;='2. Kalkyldata'!$M27),IF(AF$4="",0,IF(AND(AF$4&gt;='2. Kalkyldata'!$M27,'4. NPV'!AF$4&lt;='2. Kalkyldata'!$N27),'2. Kalkyldata'!$L27,'2. Kalkyldata'!$O27*'2. Kalkyldata'!$H27)),0)</f>
        <v>0</v>
      </c>
      <c r="AG16" s="230">
        <f>IF(AG$4="",0,((1+'2. Kalkyldata'!$M$9*'2. Kalkyldata'!$J27)^(AG$4-'2. Kalkyldata'!$M27)))*IF((AG$4&gt;='2. Kalkyldata'!$M27),IF(AG$4="",0,IF(AND(AG$4&gt;='2. Kalkyldata'!$M27,'4. NPV'!AG$4&lt;='2. Kalkyldata'!$N27),'2. Kalkyldata'!$L27,'2. Kalkyldata'!$O27*'2. Kalkyldata'!$H27)),0)</f>
        <v>0</v>
      </c>
      <c r="AH16" s="230">
        <f>IF(AH$4="",0,((1+'2. Kalkyldata'!$M$9*'2. Kalkyldata'!$J27)^(AH$4-'2. Kalkyldata'!$M27)))*IF((AH$4&gt;='2. Kalkyldata'!$M27),IF(AH$4="",0,IF(AND(AH$4&gt;='2. Kalkyldata'!$M27,'4. NPV'!AH$4&lt;='2. Kalkyldata'!$N27),'2. Kalkyldata'!$L27,'2. Kalkyldata'!$O27*'2. Kalkyldata'!$H27)),0)</f>
        <v>0</v>
      </c>
      <c r="AI16" s="230">
        <f>IF(AI$4="",0,((1+'2. Kalkyldata'!$M$9*'2. Kalkyldata'!$J27)^(AI$4-'2. Kalkyldata'!$M27)))*IF((AI$4&gt;='2. Kalkyldata'!$M27),IF(AI$4="",0,IF(AND(AI$4&gt;='2. Kalkyldata'!$M27,'4. NPV'!AI$4&lt;='2. Kalkyldata'!$N27),'2. Kalkyldata'!$L27,'2. Kalkyldata'!$O27*'2. Kalkyldata'!$H27)),0)</f>
        <v>0</v>
      </c>
      <c r="AJ16" s="230">
        <f>IF(AJ$4="",0,((1+'2. Kalkyldata'!$M$9*'2. Kalkyldata'!$J27)^(AJ$4-'2. Kalkyldata'!$M27)))*IF((AJ$4&gt;='2. Kalkyldata'!$M27),IF(AJ$4="",0,IF(AND(AJ$4&gt;='2. Kalkyldata'!$M27,'4. NPV'!AJ$4&lt;='2. Kalkyldata'!$N27),'2. Kalkyldata'!$L27,'2. Kalkyldata'!$O27*'2. Kalkyldata'!$H27)),0)</f>
        <v>0</v>
      </c>
      <c r="AK16" s="230">
        <f>IF(AK$4="",0,((1+'2. Kalkyldata'!$M$9*'2. Kalkyldata'!$J27)^(AK$4-'2. Kalkyldata'!$M27)))*IF((AK$4&gt;='2. Kalkyldata'!$M27),IF(AK$4="",0,IF(AND(AK$4&gt;='2. Kalkyldata'!$M27,'4. NPV'!AK$4&lt;='2. Kalkyldata'!$N27),'2. Kalkyldata'!$L27,'2. Kalkyldata'!$O27*'2. Kalkyldata'!$H27)),0)</f>
        <v>0</v>
      </c>
      <c r="AL16" s="230">
        <f>IF(AL$4="",0,((1+'2. Kalkyldata'!$M$9*'2. Kalkyldata'!$J27)^(AL$4-'2. Kalkyldata'!$M27)))*IF((AL$4&gt;='2. Kalkyldata'!$M27),IF(AL$4="",0,IF(AND(AL$4&gt;='2. Kalkyldata'!$M27,'4. NPV'!AL$4&lt;='2. Kalkyldata'!$N27),'2. Kalkyldata'!$L27,'2. Kalkyldata'!$O27*'2. Kalkyldata'!$H27)),0)</f>
        <v>0</v>
      </c>
      <c r="AM16" s="230">
        <f>IF(AM$4="",0,((1+'2. Kalkyldata'!$M$9*'2. Kalkyldata'!$J27)^(AM$4-'2. Kalkyldata'!$M27)))*IF((AM$4&gt;='2. Kalkyldata'!$M27),IF(AM$4="",0,IF(AND(AM$4&gt;='2. Kalkyldata'!$M27,'4. NPV'!AM$4&lt;='2. Kalkyldata'!$N27),'2. Kalkyldata'!$L27,'2. Kalkyldata'!$O27*'2. Kalkyldata'!$H27)),0)</f>
        <v>0</v>
      </c>
      <c r="AN16" s="230">
        <f>IF(AN$4="",0,((1+'2. Kalkyldata'!$M$9*'2. Kalkyldata'!$J27)^(AN$4-'2. Kalkyldata'!$M27)))*IF((AN$4&gt;='2. Kalkyldata'!$M27),IF(AN$4="",0,IF(AND(AN$4&gt;='2. Kalkyldata'!$M27,'4. NPV'!AN$4&lt;='2. Kalkyldata'!$N27),'2. Kalkyldata'!$L27,'2. Kalkyldata'!$O27*'2. Kalkyldata'!$H27)),0)</f>
        <v>0</v>
      </c>
      <c r="AO16" s="230">
        <f>IF(AO$4="",0,((1+'2. Kalkyldata'!$M$9*'2. Kalkyldata'!$J27)^(AO$4-'2. Kalkyldata'!$M27)))*IF((AO$4&gt;='2. Kalkyldata'!$M27),IF(AO$4="",0,IF(AND(AO$4&gt;='2. Kalkyldata'!$M27,'4. NPV'!AO$4&lt;='2. Kalkyldata'!$N27),'2. Kalkyldata'!$L27,'2. Kalkyldata'!$O27*'2. Kalkyldata'!$H27)),0)</f>
        <v>0</v>
      </c>
      <c r="AP16" s="230">
        <f>IF(AP$4="",0,((1+'2. Kalkyldata'!$M$9*'2. Kalkyldata'!$J27)^(AP$4-'2. Kalkyldata'!$M27)))*IF((AP$4&gt;='2. Kalkyldata'!$M27),IF(AP$4="",0,IF(AND(AP$4&gt;='2. Kalkyldata'!$M27,'4. NPV'!AP$4&lt;='2. Kalkyldata'!$N27),'2. Kalkyldata'!$L27,'2. Kalkyldata'!$O27*'2. Kalkyldata'!$H27)),0)</f>
        <v>0</v>
      </c>
      <c r="AQ16" s="230">
        <f>IF(AQ$4="",0,((1+'2. Kalkyldata'!$M$9*'2. Kalkyldata'!$J27)^(AQ$4-'2. Kalkyldata'!$M27)))*IF((AQ$4&gt;='2. Kalkyldata'!$M27),IF(AQ$4="",0,IF(AND(AQ$4&gt;='2. Kalkyldata'!$M27,'4. NPV'!AQ$4&lt;='2. Kalkyldata'!$N27),'2. Kalkyldata'!$L27,'2. Kalkyldata'!$O27*'2. Kalkyldata'!$H27)),0)</f>
        <v>0</v>
      </c>
      <c r="AR16" s="230">
        <f>IF(AR$4="",0,((1+'2. Kalkyldata'!$M$9*'2. Kalkyldata'!$J27)^(AR$4-'2. Kalkyldata'!$M27)))*IF((AR$4&gt;='2. Kalkyldata'!$M27),IF(AR$4="",0,IF(AND(AR$4&gt;='2. Kalkyldata'!$M27,'4. NPV'!AR$4&lt;='2. Kalkyldata'!$N27),'2. Kalkyldata'!$L27,'2. Kalkyldata'!$O27*'2. Kalkyldata'!$H27)),0)</f>
        <v>0</v>
      </c>
      <c r="AS16" s="230">
        <f>IF(AS$4="",0,((1+'2. Kalkyldata'!$M$9*'2. Kalkyldata'!$J27)^(AS$4-'2. Kalkyldata'!$M27)))*IF((AS$4&gt;='2. Kalkyldata'!$M27),IF(AS$4="",0,IF(AND(AS$4&gt;='2. Kalkyldata'!$M27,'4. NPV'!AS$4&lt;='2. Kalkyldata'!$N27),'2. Kalkyldata'!$L27,'2. Kalkyldata'!$O27*'2. Kalkyldata'!$H27)),0)</f>
        <v>0</v>
      </c>
      <c r="AT16" s="230">
        <f>IF(AT$4="",0,((1+'2. Kalkyldata'!$M$9*'2. Kalkyldata'!$J27)^(AT$4-'2. Kalkyldata'!$M27)))*IF((AT$4&gt;='2. Kalkyldata'!$M27),IF(AT$4="",0,IF(AND(AT$4&gt;='2. Kalkyldata'!$M27,'4. NPV'!AT$4&lt;='2. Kalkyldata'!$N27),'2. Kalkyldata'!$L27,'2. Kalkyldata'!$O27*'2. Kalkyldata'!$H27)),0)</f>
        <v>0</v>
      </c>
      <c r="AU16" s="230">
        <f>IF(AU$4="",0,((1+'2. Kalkyldata'!$M$9*'2. Kalkyldata'!$J27)^(AU$4-'2. Kalkyldata'!$M27)))*IF((AU$4&gt;='2. Kalkyldata'!$M27),IF(AU$4="",0,IF(AND(AU$4&gt;='2. Kalkyldata'!$M27,'4. NPV'!AU$4&lt;='2. Kalkyldata'!$N27),'2. Kalkyldata'!$L27,'2. Kalkyldata'!$O27*'2. Kalkyldata'!$H27)),0)</f>
        <v>0</v>
      </c>
      <c r="AV16" s="230">
        <f>IF(AV$4="",0,((1+'2. Kalkyldata'!$M$9*'2. Kalkyldata'!$J27)^(AV$4-'2. Kalkyldata'!$M27)))*IF((AV$4&gt;='2. Kalkyldata'!$M27),IF(AV$4="",0,IF(AND(AV$4&gt;='2. Kalkyldata'!$M27,'4. NPV'!AV$4&lt;='2. Kalkyldata'!$N27),'2. Kalkyldata'!$L27,'2. Kalkyldata'!$O27*'2. Kalkyldata'!$H27)),0)</f>
        <v>0</v>
      </c>
      <c r="AW16" s="230">
        <f>IF(AW$4="",0,((1+'2. Kalkyldata'!$M$9*'2. Kalkyldata'!$J27)^(AW$4-'2. Kalkyldata'!$M27)))*IF((AW$4&gt;='2. Kalkyldata'!$M27),IF(AW$4="",0,IF(AND(AW$4&gt;='2. Kalkyldata'!$M27,'4. NPV'!AW$4&lt;='2. Kalkyldata'!$N27),'2. Kalkyldata'!$L27,'2. Kalkyldata'!$O27*'2. Kalkyldata'!$H27)),0)</f>
        <v>0</v>
      </c>
      <c r="AX16" s="230">
        <f>IF(AX$4="",0,((1+'2. Kalkyldata'!$M$9*'2. Kalkyldata'!$J27)^(AX$4-'2. Kalkyldata'!$M27)))*IF((AX$4&gt;='2. Kalkyldata'!$M27),IF(AX$4="",0,IF(AND(AX$4&gt;='2. Kalkyldata'!$M27,'4. NPV'!AX$4&lt;='2. Kalkyldata'!$N27),'2. Kalkyldata'!$L27,'2. Kalkyldata'!$O27*'2. Kalkyldata'!$H27)),0)</f>
        <v>0</v>
      </c>
      <c r="AY16" s="230">
        <f>IF(AY$4="",0,((1+'2. Kalkyldata'!$M$9*'2. Kalkyldata'!$J27)^(AY$4-'2. Kalkyldata'!$M27)))*IF((AY$4&gt;='2. Kalkyldata'!$M27),IF(AY$4="",0,IF(AND(AY$4&gt;='2. Kalkyldata'!$M27,'4. NPV'!AY$4&lt;='2. Kalkyldata'!$N27),'2. Kalkyldata'!$L27,'2. Kalkyldata'!$O27*'2. Kalkyldata'!$H27)),0)</f>
        <v>0</v>
      </c>
      <c r="AZ16" s="230">
        <f>IF(AZ$4="",0,((1+'2. Kalkyldata'!$M$9*'2. Kalkyldata'!$J27)^(AZ$4-'2. Kalkyldata'!$M27)))*IF((AZ$4&gt;='2. Kalkyldata'!$M27),IF(AZ$4="",0,IF(AND(AZ$4&gt;='2. Kalkyldata'!$M27,'4. NPV'!AZ$4&lt;='2. Kalkyldata'!$N27),'2. Kalkyldata'!$L27,'2. Kalkyldata'!$O27*'2. Kalkyldata'!$H27)),0)</f>
        <v>0</v>
      </c>
      <c r="BA16" s="230">
        <f>IF(BA$4="",0,((1+'2. Kalkyldata'!$M$9*'2. Kalkyldata'!$J27)^(BA$4-'2. Kalkyldata'!$M27)))*IF((BA$4&gt;='2. Kalkyldata'!$M27),IF(BA$4="",0,IF(AND(BA$4&gt;='2. Kalkyldata'!$M27,'4. NPV'!BA$4&lt;='2. Kalkyldata'!$N27),'2. Kalkyldata'!$L27,'2. Kalkyldata'!$O27*'2. Kalkyldata'!$H27)),0)</f>
        <v>0</v>
      </c>
    </row>
    <row r="17" spans="2:54" s="19" customFormat="1" ht="15">
      <c r="B17" s="421" t="s">
        <v>228</v>
      </c>
      <c r="C17" s="422">
        <f>IFERROR(D17/C8,"")</f>
        <v>2650</v>
      </c>
      <c r="D17" s="423">
        <f>SUM(D12:D16)</f>
        <v>16165000</v>
      </c>
      <c r="E17" s="423">
        <f t="shared" ref="E17:BA17" si="5">SUM(E12:E16)</f>
        <v>16391310</v>
      </c>
      <c r="F17" s="423">
        <f t="shared" si="5"/>
        <v>16620788.340000002</v>
      </c>
      <c r="G17" s="423">
        <f t="shared" si="5"/>
        <v>16853479.376760002</v>
      </c>
      <c r="H17" s="423">
        <f t="shared" si="5"/>
        <v>17089428.088034645</v>
      </c>
      <c r="I17" s="423">
        <f t="shared" si="5"/>
        <v>17328680.08126713</v>
      </c>
      <c r="J17" s="423">
        <f t="shared" si="5"/>
        <v>17571281.60240487</v>
      </c>
      <c r="K17" s="423">
        <f t="shared" si="5"/>
        <v>17817279.54483854</v>
      </c>
      <c r="L17" s="423">
        <f t="shared" si="5"/>
        <v>18066721.458466284</v>
      </c>
      <c r="M17" s="423">
        <f t="shared" si="5"/>
        <v>18319655.558884811</v>
      </c>
      <c r="N17" s="423">
        <f t="shared" si="5"/>
        <v>18576130.7367092</v>
      </c>
      <c r="O17" s="423">
        <f t="shared" si="5"/>
        <v>18836196.567023128</v>
      </c>
      <c r="P17" s="423">
        <f t="shared" si="5"/>
        <v>19099903.318961456</v>
      </c>
      <c r="Q17" s="423">
        <f t="shared" si="5"/>
        <v>19367301.965426914</v>
      </c>
      <c r="R17" s="423">
        <f t="shared" si="5"/>
        <v>19638444.192942895</v>
      </c>
      <c r="S17" s="423">
        <f t="shared" si="5"/>
        <v>19913382.411644097</v>
      </c>
      <c r="T17" s="423">
        <f t="shared" si="5"/>
        <v>20192169.765407119</v>
      </c>
      <c r="U17" s="423">
        <f t="shared" si="5"/>
        <v>20474860.14212282</v>
      </c>
      <c r="V17" s="423">
        <f t="shared" si="5"/>
        <v>20761508.184112541</v>
      </c>
      <c r="W17" s="423">
        <f t="shared" si="5"/>
        <v>21052169.298690114</v>
      </c>
      <c r="X17" s="423">
        <f t="shared" si="5"/>
        <v>21346899.668871779</v>
      </c>
      <c r="Y17" s="423">
        <f t="shared" si="5"/>
        <v>0</v>
      </c>
      <c r="Z17" s="423">
        <f t="shared" si="5"/>
        <v>0</v>
      </c>
      <c r="AA17" s="423">
        <f t="shared" si="5"/>
        <v>0</v>
      </c>
      <c r="AB17" s="423">
        <f t="shared" si="5"/>
        <v>0</v>
      </c>
      <c r="AC17" s="423">
        <f t="shared" si="5"/>
        <v>0</v>
      </c>
      <c r="AD17" s="423">
        <f t="shared" si="5"/>
        <v>0</v>
      </c>
      <c r="AE17" s="423">
        <f t="shared" si="5"/>
        <v>0</v>
      </c>
      <c r="AF17" s="423">
        <f t="shared" si="5"/>
        <v>0</v>
      </c>
      <c r="AG17" s="423">
        <f t="shared" si="5"/>
        <v>0</v>
      </c>
      <c r="AH17" s="423">
        <f t="shared" si="5"/>
        <v>0</v>
      </c>
      <c r="AI17" s="423">
        <f t="shared" si="5"/>
        <v>0</v>
      </c>
      <c r="AJ17" s="423">
        <f t="shared" si="5"/>
        <v>0</v>
      </c>
      <c r="AK17" s="423">
        <f t="shared" si="5"/>
        <v>0</v>
      </c>
      <c r="AL17" s="423">
        <f t="shared" si="5"/>
        <v>0</v>
      </c>
      <c r="AM17" s="423">
        <f t="shared" si="5"/>
        <v>0</v>
      </c>
      <c r="AN17" s="423">
        <f t="shared" si="5"/>
        <v>0</v>
      </c>
      <c r="AO17" s="423">
        <f t="shared" si="5"/>
        <v>0</v>
      </c>
      <c r="AP17" s="423">
        <f t="shared" si="5"/>
        <v>0</v>
      </c>
      <c r="AQ17" s="423">
        <f t="shared" si="5"/>
        <v>0</v>
      </c>
      <c r="AR17" s="423">
        <f t="shared" si="5"/>
        <v>0</v>
      </c>
      <c r="AS17" s="423">
        <f t="shared" si="5"/>
        <v>0</v>
      </c>
      <c r="AT17" s="423">
        <f t="shared" si="5"/>
        <v>0</v>
      </c>
      <c r="AU17" s="423">
        <f t="shared" si="5"/>
        <v>0</v>
      </c>
      <c r="AV17" s="423">
        <f t="shared" si="5"/>
        <v>0</v>
      </c>
      <c r="AW17" s="423">
        <f t="shared" si="5"/>
        <v>0</v>
      </c>
      <c r="AX17" s="423">
        <f t="shared" si="5"/>
        <v>0</v>
      </c>
      <c r="AY17" s="423">
        <f t="shared" si="5"/>
        <v>0</v>
      </c>
      <c r="AZ17" s="423">
        <f t="shared" si="5"/>
        <v>0</v>
      </c>
      <c r="BA17" s="423">
        <f t="shared" si="5"/>
        <v>0</v>
      </c>
      <c r="BB17" s="506"/>
    </row>
    <row r="18" spans="2:54">
      <c r="B18" s="424" t="s">
        <v>229</v>
      </c>
      <c r="C18" s="425">
        <f>IFERROR(D18/$C$8,"")</f>
        <v>0</v>
      </c>
      <c r="D18" s="426">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26">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26">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26">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26">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26">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26">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26">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26">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26">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26">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26">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26">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26">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26">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26">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26">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26">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26">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26">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26">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26">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26">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26">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26">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26">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26">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26">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26">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26">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26">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26">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26">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26">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26">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26">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26">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26">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26">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26">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26">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26">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26">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26">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26">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26">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26">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26">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26">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26">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06"/>
    </row>
    <row r="19" spans="2:54" s="19" customFormat="1" ht="15">
      <c r="B19" s="421" t="s">
        <v>230</v>
      </c>
      <c r="C19" s="422">
        <f>IFERROR(D19/$C$8,"")</f>
        <v>2650</v>
      </c>
      <c r="D19" s="423">
        <f>D17+D18</f>
        <v>16165000</v>
      </c>
      <c r="E19" s="423">
        <f t="shared" ref="E19:BA19" si="6">E17+E18</f>
        <v>16391310</v>
      </c>
      <c r="F19" s="423">
        <f t="shared" si="6"/>
        <v>16620788.340000002</v>
      </c>
      <c r="G19" s="423">
        <f t="shared" si="6"/>
        <v>16853479.376760002</v>
      </c>
      <c r="H19" s="423">
        <f t="shared" si="6"/>
        <v>17089428.088034645</v>
      </c>
      <c r="I19" s="423">
        <f t="shared" si="6"/>
        <v>17328680.08126713</v>
      </c>
      <c r="J19" s="423">
        <f t="shared" si="6"/>
        <v>17571281.60240487</v>
      </c>
      <c r="K19" s="423">
        <f t="shared" si="6"/>
        <v>17817279.54483854</v>
      </c>
      <c r="L19" s="423">
        <f t="shared" si="6"/>
        <v>18066721.458466284</v>
      </c>
      <c r="M19" s="423">
        <f t="shared" si="6"/>
        <v>18319655.558884811</v>
      </c>
      <c r="N19" s="423">
        <f t="shared" si="6"/>
        <v>18576130.7367092</v>
      </c>
      <c r="O19" s="423">
        <f t="shared" si="6"/>
        <v>18836196.567023128</v>
      </c>
      <c r="P19" s="423">
        <f t="shared" si="6"/>
        <v>19099903.318961456</v>
      </c>
      <c r="Q19" s="423">
        <f t="shared" si="6"/>
        <v>19367301.965426914</v>
      </c>
      <c r="R19" s="423">
        <f t="shared" si="6"/>
        <v>19638444.192942895</v>
      </c>
      <c r="S19" s="423">
        <f t="shared" si="6"/>
        <v>19913382.411644097</v>
      </c>
      <c r="T19" s="423">
        <f t="shared" si="6"/>
        <v>20192169.765407119</v>
      </c>
      <c r="U19" s="423">
        <f t="shared" si="6"/>
        <v>20474860.14212282</v>
      </c>
      <c r="V19" s="423">
        <f t="shared" si="6"/>
        <v>20761508.184112541</v>
      </c>
      <c r="W19" s="423">
        <f t="shared" si="6"/>
        <v>21052169.298690114</v>
      </c>
      <c r="X19" s="423">
        <f t="shared" si="6"/>
        <v>21346899.668871779</v>
      </c>
      <c r="Y19" s="423">
        <f t="shared" si="6"/>
        <v>0</v>
      </c>
      <c r="Z19" s="423">
        <f t="shared" si="6"/>
        <v>0</v>
      </c>
      <c r="AA19" s="423">
        <f t="shared" si="6"/>
        <v>0</v>
      </c>
      <c r="AB19" s="423">
        <f t="shared" si="6"/>
        <v>0</v>
      </c>
      <c r="AC19" s="423">
        <f t="shared" si="6"/>
        <v>0</v>
      </c>
      <c r="AD19" s="423">
        <f t="shared" si="6"/>
        <v>0</v>
      </c>
      <c r="AE19" s="423">
        <f t="shared" si="6"/>
        <v>0</v>
      </c>
      <c r="AF19" s="423">
        <f t="shared" si="6"/>
        <v>0</v>
      </c>
      <c r="AG19" s="423">
        <f t="shared" si="6"/>
        <v>0</v>
      </c>
      <c r="AH19" s="423">
        <f t="shared" si="6"/>
        <v>0</v>
      </c>
      <c r="AI19" s="423">
        <f t="shared" si="6"/>
        <v>0</v>
      </c>
      <c r="AJ19" s="423">
        <f t="shared" si="6"/>
        <v>0</v>
      </c>
      <c r="AK19" s="423">
        <f t="shared" si="6"/>
        <v>0</v>
      </c>
      <c r="AL19" s="423">
        <f t="shared" si="6"/>
        <v>0</v>
      </c>
      <c r="AM19" s="423">
        <f t="shared" si="6"/>
        <v>0</v>
      </c>
      <c r="AN19" s="423">
        <f t="shared" si="6"/>
        <v>0</v>
      </c>
      <c r="AO19" s="423">
        <f t="shared" si="6"/>
        <v>0</v>
      </c>
      <c r="AP19" s="423">
        <f t="shared" si="6"/>
        <v>0</v>
      </c>
      <c r="AQ19" s="423">
        <f t="shared" si="6"/>
        <v>0</v>
      </c>
      <c r="AR19" s="423">
        <f t="shared" si="6"/>
        <v>0</v>
      </c>
      <c r="AS19" s="423">
        <f t="shared" si="6"/>
        <v>0</v>
      </c>
      <c r="AT19" s="423">
        <f t="shared" si="6"/>
        <v>0</v>
      </c>
      <c r="AU19" s="423">
        <f t="shared" si="6"/>
        <v>0</v>
      </c>
      <c r="AV19" s="423">
        <f t="shared" si="6"/>
        <v>0</v>
      </c>
      <c r="AW19" s="423">
        <f t="shared" si="6"/>
        <v>0</v>
      </c>
      <c r="AX19" s="423">
        <f t="shared" si="6"/>
        <v>0</v>
      </c>
      <c r="AY19" s="423">
        <f t="shared" si="6"/>
        <v>0</v>
      </c>
      <c r="AZ19" s="423">
        <f t="shared" si="6"/>
        <v>0</v>
      </c>
      <c r="BA19" s="423">
        <f t="shared" si="6"/>
        <v>0</v>
      </c>
      <c r="BB19" s="506"/>
    </row>
    <row r="20" spans="2:54" s="19" customFormat="1" ht="15">
      <c r="B20" s="229" t="s">
        <v>231</v>
      </c>
      <c r="C20" s="332">
        <f>IFERROR($D20/$C$8,"")</f>
        <v>0</v>
      </c>
      <c r="D20" s="230">
        <f>-(((D$6*NybFastighetsskötsel+D$7*BefFastighetsskötsel)*(1+Inflation)^(D5-1))*(IF($D$4+Höjnin1&lt;='4. NPV'!D$4,TioÅrFastighetsskötsel,0)+IF($D$4+Höjning2&lt;='4. NPV'!D$4,FemtonÅrFastighetsskötsel,0))+((D$6*NybFastighetsskötsel+D$7*BefFastighetsskötsel)*((1+Inflation)^('4. NPV'!D$5-1))))</f>
        <v>0</v>
      </c>
      <c r="E20" s="230">
        <f>-(((E$6*NybFastighetsskötsel+E$7*BefFastighetsskötsel)*(1+Inflation)^(E5-1))*(IF($D$4+Höjnin1&lt;='4. NPV'!E$4,TioÅrFastighetsskötsel,0)+IF($D$4+Höjning2&lt;='4. NPV'!E$4,FemtonÅrFastighetsskötsel,0))+((E$6*NybFastighetsskötsel+E$7*BefFastighetsskötsel)*((1+Inflation)^('4. NPV'!E$5-1))))</f>
        <v>0</v>
      </c>
      <c r="F20" s="230">
        <f>-(((F$6*NybFastighetsskötsel+F$7*BefFastighetsskötsel)*(1+Inflation)^(F5-1))*(IF($D$4+Höjnin1&lt;='4. NPV'!F$4,TioÅrFastighetsskötsel,0)+IF($D$4+Höjning2&lt;='4. NPV'!F$4,FemtonÅrFastighetsskötsel,0))+((F$6*NybFastighetsskötsel+F$7*BefFastighetsskötsel)*((1+Inflation)^('4. NPV'!F$5-1))))</f>
        <v>0</v>
      </c>
      <c r="G20" s="230">
        <f>-(((G$6*NybFastighetsskötsel+G$7*BefFastighetsskötsel)*(1+Inflation)^(G5-1))*(IF($D$4+Höjnin1&lt;='4. NPV'!G$4,TioÅrFastighetsskötsel,0)+IF($D$4+Höjning2&lt;='4. NPV'!G$4,FemtonÅrFastighetsskötsel,0))+((G$6*NybFastighetsskötsel+G$7*BefFastighetsskötsel)*((1+Inflation)^('4. NPV'!G$5-1))))</f>
        <v>0</v>
      </c>
      <c r="H20" s="230">
        <f>-(((H$6*NybFastighetsskötsel+H$7*BefFastighetsskötsel)*(1+Inflation)^(H5-1))*(IF($D$4+Höjnin1&lt;='4. NPV'!H$4,TioÅrFastighetsskötsel,0)+IF($D$4+Höjning2&lt;='4. NPV'!H$4,FemtonÅrFastighetsskötsel,0))+((H$6*NybFastighetsskötsel+H$7*BefFastighetsskötsel)*((1+Inflation)^('4. NPV'!H$5-1))))</f>
        <v>0</v>
      </c>
      <c r="I20" s="230">
        <f>-(((I$6*NybFastighetsskötsel+I$7*BefFastighetsskötsel)*(1+Inflation)^(I5-1))*(IF($D$4+Höjnin1&lt;='4. NPV'!I$4,TioÅrFastighetsskötsel,0)+IF($D$4+Höjning2&lt;='4. NPV'!I$4,FemtonÅrFastighetsskötsel,0))+((I$6*NybFastighetsskötsel+I$7*BefFastighetsskötsel)*((1+Inflation)^('4. NPV'!I$5-1))))</f>
        <v>0</v>
      </c>
      <c r="J20" s="230">
        <f>-(((J$6*NybFastighetsskötsel+J$7*BefFastighetsskötsel)*(1+Inflation)^(J5-1))*(IF($D$4+Höjnin1&lt;='4. NPV'!J$4,TioÅrFastighetsskötsel,0)+IF($D$4+Höjning2&lt;='4. NPV'!J$4,FemtonÅrFastighetsskötsel,0))+((J$6*NybFastighetsskötsel+J$7*BefFastighetsskötsel)*((1+Inflation)^('4. NPV'!J$5-1))))</f>
        <v>0</v>
      </c>
      <c r="K20" s="230">
        <f>-(((K$6*NybFastighetsskötsel+K$7*BefFastighetsskötsel)*(1+Inflation)^(K5-1))*(IF($D$4+Höjnin1&lt;='4. NPV'!K$4,TioÅrFastighetsskötsel,0)+IF($D$4+Höjning2&lt;='4. NPV'!K$4,FemtonÅrFastighetsskötsel,0))+((K$6*NybFastighetsskötsel+K$7*BefFastighetsskötsel)*((1+Inflation)^('4. NPV'!K$5-1))))</f>
        <v>0</v>
      </c>
      <c r="L20" s="230">
        <f>-(((L$6*NybFastighetsskötsel+L$7*BefFastighetsskötsel)*(1+Inflation)^(L5-1))*(IF($D$4+Höjnin1&lt;='4. NPV'!L$4,TioÅrFastighetsskötsel,0)+IF($D$4+Höjning2&lt;='4. NPV'!L$4,FemtonÅrFastighetsskötsel,0))+((L$6*NybFastighetsskötsel+L$7*BefFastighetsskötsel)*((1+Inflation)^('4. NPV'!L$5-1))))</f>
        <v>0</v>
      </c>
      <c r="M20" s="230">
        <f>-(((M$6*NybFastighetsskötsel+M$7*BefFastighetsskötsel)*(1+Inflation)^(M5-1))*(IF($D$4+Höjnin1&lt;='4. NPV'!M$4,TioÅrFastighetsskötsel,0)+IF($D$4+Höjning2&lt;='4. NPV'!M$4,FemtonÅrFastighetsskötsel,0))+((M$6*NybFastighetsskötsel+M$7*BefFastighetsskötsel)*((1+Inflation)^('4. NPV'!M$5-1))))</f>
        <v>0</v>
      </c>
      <c r="N20" s="230">
        <f>-(((N$6*NybFastighetsskötsel+N$7*BefFastighetsskötsel)*(1+Inflation)^(N5-1))*(IF($D$4+Höjnin1&lt;='4. NPV'!N$4,TioÅrFastighetsskötsel,0)+IF($D$4+Höjning2&lt;='4. NPV'!N$4,FemtonÅrFastighetsskötsel,0))+((N$6*NybFastighetsskötsel+N$7*BefFastighetsskötsel)*((1+Inflation)^('4. NPV'!N$5-1))))</f>
        <v>0</v>
      </c>
      <c r="O20" s="230">
        <f>-(((O$6*NybFastighetsskötsel+O$7*BefFastighetsskötsel)*(1+Inflation)^(O5-1))*(IF($D$4+Höjnin1&lt;='4. NPV'!O$4,TioÅrFastighetsskötsel,0)+IF($D$4+Höjning2&lt;='4. NPV'!O$4,FemtonÅrFastighetsskötsel,0))+((O$6*NybFastighetsskötsel+O$7*BefFastighetsskötsel)*((1+Inflation)^('4. NPV'!O$5-1))))</f>
        <v>0</v>
      </c>
      <c r="P20" s="230">
        <f>-(((P$6*NybFastighetsskötsel+P$7*BefFastighetsskötsel)*(1+Inflation)^(P5-1))*(IF($D$4+Höjnin1&lt;='4. NPV'!P$4,TioÅrFastighetsskötsel,0)+IF($D$4+Höjning2&lt;='4. NPV'!P$4,FemtonÅrFastighetsskötsel,0))+((P$6*NybFastighetsskötsel+P$7*BefFastighetsskötsel)*((1+Inflation)^('4. NPV'!P$5-1))))</f>
        <v>0</v>
      </c>
      <c r="Q20" s="230">
        <f>-(((Q$6*NybFastighetsskötsel+Q$7*BefFastighetsskötsel)*(1+Inflation)^(Q5-1))*(IF($D$4+Höjnin1&lt;='4. NPV'!Q$4,TioÅrFastighetsskötsel,0)+IF($D$4+Höjning2&lt;='4. NPV'!Q$4,FemtonÅrFastighetsskötsel,0))+((Q$6*NybFastighetsskötsel+Q$7*BefFastighetsskötsel)*((1+Inflation)^('4. NPV'!Q$5-1))))</f>
        <v>0</v>
      </c>
      <c r="R20" s="230">
        <f>-(((R$6*NybFastighetsskötsel+R$7*BefFastighetsskötsel)*(1+Inflation)^(R5-1))*(IF($D$4+Höjnin1&lt;='4. NPV'!R$4,TioÅrFastighetsskötsel,0)+IF($D$4+Höjning2&lt;='4. NPV'!R$4,FemtonÅrFastighetsskötsel,0))+((R$6*NybFastighetsskötsel+R$7*BefFastighetsskötsel)*((1+Inflation)^('4. NPV'!R$5-1))))</f>
        <v>0</v>
      </c>
      <c r="S20" s="230">
        <f>-(((S$6*NybFastighetsskötsel+S$7*BefFastighetsskötsel)*(1+Inflation)^(S5-1))*(IF($D$4+Höjnin1&lt;='4. NPV'!S$4,TioÅrFastighetsskötsel,0)+IF($D$4+Höjning2&lt;='4. NPV'!S$4,FemtonÅrFastighetsskötsel,0))+((S$6*NybFastighetsskötsel+S$7*BefFastighetsskötsel)*((1+Inflation)^('4. NPV'!S$5-1))))</f>
        <v>0</v>
      </c>
      <c r="T20" s="230">
        <f>-(((T$6*NybFastighetsskötsel+T$7*BefFastighetsskötsel)*(1+Inflation)^(T5-1))*(IF($D$4+Höjnin1&lt;='4. NPV'!T$4,TioÅrFastighetsskötsel,0)+IF($D$4+Höjning2&lt;='4. NPV'!T$4,FemtonÅrFastighetsskötsel,0))+((T$6*NybFastighetsskötsel+T$7*BefFastighetsskötsel)*((1+Inflation)^('4. NPV'!T$5-1))))</f>
        <v>0</v>
      </c>
      <c r="U20" s="230">
        <f>-(((U$6*NybFastighetsskötsel+U$7*BefFastighetsskötsel)*(1+Inflation)^(U5-1))*(IF($D$4+Höjnin1&lt;='4. NPV'!U$4,TioÅrFastighetsskötsel,0)+IF($D$4+Höjning2&lt;='4. NPV'!U$4,FemtonÅrFastighetsskötsel,0))+((U$6*NybFastighetsskötsel+U$7*BefFastighetsskötsel)*((1+Inflation)^('4. NPV'!U$5-1))))</f>
        <v>0</v>
      </c>
      <c r="V20" s="230">
        <f>-(((V$6*NybFastighetsskötsel+V$7*BefFastighetsskötsel)*(1+Inflation)^(V5-1))*(IF($D$4+Höjnin1&lt;='4. NPV'!V$4,TioÅrFastighetsskötsel,0)+IF($D$4+Höjning2&lt;='4. NPV'!V$4,FemtonÅrFastighetsskötsel,0))+((V$6*NybFastighetsskötsel+V$7*BefFastighetsskötsel)*((1+Inflation)^('4. NPV'!V$5-1))))</f>
        <v>0</v>
      </c>
      <c r="W20" s="230">
        <f>-(((W$6*NybFastighetsskötsel+W$7*BefFastighetsskötsel)*(1+Inflation)^(W5-1))*(IF($D$4+Höjnin1&lt;='4. NPV'!W$4,TioÅrFastighetsskötsel,0)+IF($D$4+Höjning2&lt;='4. NPV'!W$4,FemtonÅrFastighetsskötsel,0))+((W$6*NybFastighetsskötsel+W$7*BefFastighetsskötsel)*((1+Inflation)^('4. NPV'!W$5-1))))</f>
        <v>0</v>
      </c>
      <c r="X20" s="230">
        <f>-(((X$6*NybFastighetsskötsel+X$7*BefFastighetsskötsel)*(1+Inflation)^(X5-1))*(IF($D$4+Höjnin1&lt;='4. NPV'!X$4,TioÅrFastighetsskötsel,0)+IF($D$4+Höjning2&lt;='4. NPV'!X$4,FemtonÅrFastighetsskötsel,0))+((X$6*NybFastighetsskötsel+X$7*BefFastighetsskötsel)*((1+Inflation)^('4. NPV'!X$5-1))))</f>
        <v>0</v>
      </c>
      <c r="Y20" s="230">
        <f>-(((Y$6*NybFastighetsskötsel+Y$7*BefFastighetsskötsel)*(1+Inflation)^(Y5-1))*(IF($D$4+Höjnin1&lt;='4. NPV'!Y$4,TioÅrFastighetsskötsel,0)+IF($D$4+Höjning2&lt;='4. NPV'!Y$4,FemtonÅrFastighetsskötsel,0))+((Y$6*NybFastighetsskötsel+Y$7*BefFastighetsskötsel)*((1+Inflation)^('4. NPV'!Y$5-1))))</f>
        <v>0</v>
      </c>
      <c r="Z20" s="230">
        <f>-(((Z$6*NybFastighetsskötsel+Z$7*BefFastighetsskötsel)*(1+Inflation)^(Z5-1))*(IF($D$4+Höjnin1&lt;='4. NPV'!Z$4,TioÅrFastighetsskötsel,0)+IF($D$4+Höjning2&lt;='4. NPV'!Z$4,FemtonÅrFastighetsskötsel,0))+((Z$6*NybFastighetsskötsel+Z$7*BefFastighetsskötsel)*((1+Inflation)^('4. NPV'!Z$5-1))))</f>
        <v>0</v>
      </c>
      <c r="AA20" s="230">
        <f>-(((AA$6*NybFastighetsskötsel+AA$7*BefFastighetsskötsel)*(1+Inflation)^(AA5-1))*(IF($D$4+Höjnin1&lt;='4. NPV'!AA$4,TioÅrFastighetsskötsel,0)+IF($D$4+Höjning2&lt;='4. NPV'!AA$4,FemtonÅrFastighetsskötsel,0))+((AA$6*NybFastighetsskötsel+AA$7*BefFastighetsskötsel)*((1+Inflation)^('4. NPV'!AA$5-1))))</f>
        <v>0</v>
      </c>
      <c r="AB20" s="230">
        <f>-(((AB$6*NybFastighetsskötsel+AB$7*BefFastighetsskötsel)*(1+Inflation)^(AB5-1))*(IF($D$4+Höjnin1&lt;='4. NPV'!AB$4,TioÅrFastighetsskötsel,0)+IF($D$4+Höjning2&lt;='4. NPV'!AB$4,FemtonÅrFastighetsskötsel,0))+((AB$6*NybFastighetsskötsel+AB$7*BefFastighetsskötsel)*((1+Inflation)^('4. NPV'!AB$5-1))))</f>
        <v>0</v>
      </c>
      <c r="AC20" s="230">
        <f>-(((AC$6*NybFastighetsskötsel+AC$7*BefFastighetsskötsel)*(1+Inflation)^(AC5-1))*(IF($D$4+Höjnin1&lt;='4. NPV'!AC$4,TioÅrFastighetsskötsel,0)+IF($D$4+Höjning2&lt;='4. NPV'!AC$4,FemtonÅrFastighetsskötsel,0))+((AC$6*NybFastighetsskötsel+AC$7*BefFastighetsskötsel)*((1+Inflation)^('4. NPV'!AC$5-1))))</f>
        <v>0</v>
      </c>
      <c r="AD20" s="230">
        <f>-(((AD$6*NybFastighetsskötsel+AD$7*BefFastighetsskötsel)*(1+Inflation)^(AD5-1))*(IF($D$4+Höjnin1&lt;='4. NPV'!AD$4,TioÅrFastighetsskötsel,0)+IF($D$4+Höjning2&lt;='4. NPV'!AD$4,FemtonÅrFastighetsskötsel,0))+((AD$6*NybFastighetsskötsel+AD$7*BefFastighetsskötsel)*((1+Inflation)^('4. NPV'!AD$5-1))))</f>
        <v>0</v>
      </c>
      <c r="AE20" s="230">
        <f>-(((AE$6*NybFastighetsskötsel+AE$7*BefFastighetsskötsel)*(1+Inflation)^(AE5-1))*(IF($D$4+Höjnin1&lt;='4. NPV'!AE$4,TioÅrFastighetsskötsel,0)+IF($D$4+Höjning2&lt;='4. NPV'!AE$4,FemtonÅrFastighetsskötsel,0))+((AE$6*NybFastighetsskötsel+AE$7*BefFastighetsskötsel)*((1+Inflation)^('4. NPV'!AE$5-1))))</f>
        <v>0</v>
      </c>
      <c r="AF20" s="230">
        <f>-(((AF$6*NybFastighetsskötsel+AF$7*BefFastighetsskötsel)*(1+Inflation)^(AF5-1))*(IF($D$4+Höjnin1&lt;='4. NPV'!AF$4,TioÅrFastighetsskötsel,0)+IF($D$4+Höjning2&lt;='4. NPV'!AF$4,FemtonÅrFastighetsskötsel,0))+((AF$6*NybFastighetsskötsel+AF$7*BefFastighetsskötsel)*((1+Inflation)^('4. NPV'!AF$5-1))))</f>
        <v>0</v>
      </c>
      <c r="AG20" s="230">
        <f>-(((AG$6*NybFastighetsskötsel+AG$7*BefFastighetsskötsel)*(1+Inflation)^(AG5-1))*(IF($D$4+Höjnin1&lt;='4. NPV'!AG$4,TioÅrFastighetsskötsel,0)+IF($D$4+Höjning2&lt;='4. NPV'!AG$4,FemtonÅrFastighetsskötsel,0))+((AG$6*NybFastighetsskötsel+AG$7*BefFastighetsskötsel)*((1+Inflation)^('4. NPV'!AG$5-1))))</f>
        <v>0</v>
      </c>
      <c r="AH20" s="230">
        <f>-(((AH$6*NybFastighetsskötsel+AH$7*BefFastighetsskötsel)*(1+Inflation)^(AH5-1))*(IF($D$4+Höjnin1&lt;='4. NPV'!AH$4,TioÅrFastighetsskötsel,0)+IF($D$4+Höjning2&lt;='4. NPV'!AH$4,FemtonÅrFastighetsskötsel,0))+((AH$6*NybFastighetsskötsel+AH$7*BefFastighetsskötsel)*((1+Inflation)^('4. NPV'!AH$5-1))))</f>
        <v>0</v>
      </c>
      <c r="AI20" s="230">
        <f>-(((AI$6*NybFastighetsskötsel+AI$7*BefFastighetsskötsel)*(1+Inflation)^(AI5-1))*(IF($D$4+Höjnin1&lt;='4. NPV'!AI$4,TioÅrFastighetsskötsel,0)+IF($D$4+Höjning2&lt;='4. NPV'!AI$4,FemtonÅrFastighetsskötsel,0))+((AI$6*NybFastighetsskötsel+AI$7*BefFastighetsskötsel)*((1+Inflation)^('4. NPV'!AI$5-1))))</f>
        <v>0</v>
      </c>
      <c r="AJ20" s="230">
        <f>-(((AJ$6*NybFastighetsskötsel+AJ$7*BefFastighetsskötsel)*(1+Inflation)^(AJ5-1))*(IF($D$4+Höjnin1&lt;='4. NPV'!AJ$4,TioÅrFastighetsskötsel,0)+IF($D$4+Höjning2&lt;='4. NPV'!AJ$4,FemtonÅrFastighetsskötsel,0))+((AJ$6*NybFastighetsskötsel+AJ$7*BefFastighetsskötsel)*((1+Inflation)^('4. NPV'!AJ$5-1))))</f>
        <v>0</v>
      </c>
      <c r="AK20" s="230">
        <f>-(((AK$6*NybFastighetsskötsel+AK$7*BefFastighetsskötsel)*(1+Inflation)^(AK5-1))*(IF($D$4+Höjnin1&lt;='4. NPV'!AK$4,TioÅrFastighetsskötsel,0)+IF($D$4+Höjning2&lt;='4. NPV'!AK$4,FemtonÅrFastighetsskötsel,0))+((AK$6*NybFastighetsskötsel+AK$7*BefFastighetsskötsel)*((1+Inflation)^('4. NPV'!AK$5-1))))</f>
        <v>0</v>
      </c>
      <c r="AL20" s="230">
        <f>-(((AL$6*NybFastighetsskötsel+AL$7*BefFastighetsskötsel)*(1+Inflation)^(AL5-1))*(IF($D$4+Höjnin1&lt;='4. NPV'!AL$4,TioÅrFastighetsskötsel,0)+IF($D$4+Höjning2&lt;='4. NPV'!AL$4,FemtonÅrFastighetsskötsel,0))+((AL$6*NybFastighetsskötsel+AL$7*BefFastighetsskötsel)*((1+Inflation)^('4. NPV'!AL$5-1))))</f>
        <v>0</v>
      </c>
      <c r="AM20" s="230">
        <f>-(((AM$6*NybFastighetsskötsel+AM$7*BefFastighetsskötsel)*(1+Inflation)^(AM5-1))*(IF($D$4+Höjnin1&lt;='4. NPV'!AM$4,TioÅrFastighetsskötsel,0)+IF($D$4+Höjning2&lt;='4. NPV'!AM$4,FemtonÅrFastighetsskötsel,0))+((AM$6*NybFastighetsskötsel+AM$7*BefFastighetsskötsel)*((1+Inflation)^('4. NPV'!AM$5-1))))</f>
        <v>0</v>
      </c>
      <c r="AN20" s="230">
        <f>-(((AN$6*NybFastighetsskötsel+AN$7*BefFastighetsskötsel)*(1+Inflation)^(AN5-1))*(IF($D$4+Höjnin1&lt;='4. NPV'!AN$4,TioÅrFastighetsskötsel,0)+IF($D$4+Höjning2&lt;='4. NPV'!AN$4,FemtonÅrFastighetsskötsel,0))+((AN$6*NybFastighetsskötsel+AN$7*BefFastighetsskötsel)*((1+Inflation)^('4. NPV'!AN$5-1))))</f>
        <v>0</v>
      </c>
      <c r="AO20" s="230">
        <f>-(((AO$6*NybFastighetsskötsel+AO$7*BefFastighetsskötsel)*(1+Inflation)^(AO5-1))*(IF($D$4+Höjnin1&lt;='4. NPV'!AO$4,TioÅrFastighetsskötsel,0)+IF($D$4+Höjning2&lt;='4. NPV'!AO$4,FemtonÅrFastighetsskötsel,0))+((AO$6*NybFastighetsskötsel+AO$7*BefFastighetsskötsel)*((1+Inflation)^('4. NPV'!AO$5-1))))</f>
        <v>0</v>
      </c>
      <c r="AP20" s="230">
        <f>-(((AP$6*NybFastighetsskötsel+AP$7*BefFastighetsskötsel)*(1+Inflation)^(AP5-1))*(IF($D$4+Höjnin1&lt;='4. NPV'!AP$4,TioÅrFastighetsskötsel,0)+IF($D$4+Höjning2&lt;='4. NPV'!AP$4,FemtonÅrFastighetsskötsel,0))+((AP$6*NybFastighetsskötsel+AP$7*BefFastighetsskötsel)*((1+Inflation)^('4. NPV'!AP$5-1))))</f>
        <v>0</v>
      </c>
      <c r="AQ20" s="230">
        <f>-(((AQ$6*NybFastighetsskötsel+AQ$7*BefFastighetsskötsel)*(1+Inflation)^(AQ5-1))*(IF($D$4+Höjnin1&lt;='4. NPV'!AQ$4,TioÅrFastighetsskötsel,0)+IF($D$4+Höjning2&lt;='4. NPV'!AQ$4,FemtonÅrFastighetsskötsel,0))+((AQ$6*NybFastighetsskötsel+AQ$7*BefFastighetsskötsel)*((1+Inflation)^('4. NPV'!AQ$5-1))))</f>
        <v>0</v>
      </c>
      <c r="AR20" s="230">
        <f>-(((AR$6*NybFastighetsskötsel+AR$7*BefFastighetsskötsel)*(1+Inflation)^(AR5-1))*(IF($D$4+Höjnin1&lt;='4. NPV'!AR$4,TioÅrFastighetsskötsel,0)+IF($D$4+Höjning2&lt;='4. NPV'!AR$4,FemtonÅrFastighetsskötsel,0))+((AR$6*NybFastighetsskötsel+AR$7*BefFastighetsskötsel)*((1+Inflation)^('4. NPV'!AR$5-1))))</f>
        <v>0</v>
      </c>
      <c r="AS20" s="230">
        <f>-(((AS$6*NybFastighetsskötsel+AS$7*BefFastighetsskötsel)*(1+Inflation)^(AS5-1))*(IF($D$4+Höjnin1&lt;='4. NPV'!AS$4,TioÅrFastighetsskötsel,0)+IF($D$4+Höjning2&lt;='4. NPV'!AS$4,FemtonÅrFastighetsskötsel,0))+((AS$6*NybFastighetsskötsel+AS$7*BefFastighetsskötsel)*((1+Inflation)^('4. NPV'!AS$5-1))))</f>
        <v>0</v>
      </c>
      <c r="AT20" s="230">
        <f>-(((AT$6*NybFastighetsskötsel+AT$7*BefFastighetsskötsel)*(1+Inflation)^(AT5-1))*(IF($D$4+Höjnin1&lt;='4. NPV'!AT$4,TioÅrFastighetsskötsel,0)+IF($D$4+Höjning2&lt;='4. NPV'!AT$4,FemtonÅrFastighetsskötsel,0))+((AT$6*NybFastighetsskötsel+AT$7*BefFastighetsskötsel)*((1+Inflation)^('4. NPV'!AT$5-1))))</f>
        <v>0</v>
      </c>
      <c r="AU20" s="230">
        <f>-(((AU$6*NybFastighetsskötsel+AU$7*BefFastighetsskötsel)*(1+Inflation)^(AU5-1))*(IF($D$4+Höjnin1&lt;='4. NPV'!AU$4,TioÅrFastighetsskötsel,0)+IF($D$4+Höjning2&lt;='4. NPV'!AU$4,FemtonÅrFastighetsskötsel,0))+((AU$6*NybFastighetsskötsel+AU$7*BefFastighetsskötsel)*((1+Inflation)^('4. NPV'!AU$5-1))))</f>
        <v>0</v>
      </c>
      <c r="AV20" s="230">
        <f>-(((AV$6*NybFastighetsskötsel+AV$7*BefFastighetsskötsel)*(1+Inflation)^(AV5-1))*(IF($D$4+Höjnin1&lt;='4. NPV'!AV$4,TioÅrFastighetsskötsel,0)+IF($D$4+Höjning2&lt;='4. NPV'!AV$4,FemtonÅrFastighetsskötsel,0))+((AV$6*NybFastighetsskötsel+AV$7*BefFastighetsskötsel)*((1+Inflation)^('4. NPV'!AV$5-1))))</f>
        <v>0</v>
      </c>
      <c r="AW20" s="230">
        <f>-(((AW$6*NybFastighetsskötsel+AW$7*BefFastighetsskötsel)*(1+Inflation)^(AW5-1))*(IF($D$4+Höjnin1&lt;='4. NPV'!AW$4,TioÅrFastighetsskötsel,0)+IF($D$4+Höjning2&lt;='4. NPV'!AW$4,FemtonÅrFastighetsskötsel,0))+((AW$6*NybFastighetsskötsel+AW$7*BefFastighetsskötsel)*((1+Inflation)^('4. NPV'!AW$5-1))))</f>
        <v>0</v>
      </c>
      <c r="AX20" s="230">
        <f>-(((AX$6*NybFastighetsskötsel+AX$7*BefFastighetsskötsel)*(1+Inflation)^(AX5-1))*(IF($D$4+Höjnin1&lt;='4. NPV'!AX$4,TioÅrFastighetsskötsel,0)+IF($D$4+Höjning2&lt;='4. NPV'!AX$4,FemtonÅrFastighetsskötsel,0))+((AX$6*NybFastighetsskötsel+AX$7*BefFastighetsskötsel)*((1+Inflation)^('4. NPV'!AX$5-1))))</f>
        <v>0</v>
      </c>
      <c r="AY20" s="230">
        <f>-(((AY$6*NybFastighetsskötsel+AY$7*BefFastighetsskötsel)*(1+Inflation)^(AY5-1))*(IF($D$4+Höjnin1&lt;='4. NPV'!AY$4,TioÅrFastighetsskötsel,0)+IF($D$4+Höjning2&lt;='4. NPV'!AY$4,FemtonÅrFastighetsskötsel,0))+((AY$6*NybFastighetsskötsel+AY$7*BefFastighetsskötsel)*((1+Inflation)^('4. NPV'!AY$5-1))))</f>
        <v>0</v>
      </c>
      <c r="AZ20" s="230">
        <f>-(((AZ$6*NybFastighetsskötsel+AZ$7*BefFastighetsskötsel)*(1+Inflation)^(AZ5-1))*(IF($D$4+Höjnin1&lt;='4. NPV'!AZ$4,TioÅrFastighetsskötsel,0)+IF($D$4+Höjning2&lt;='4. NPV'!AZ$4,FemtonÅrFastighetsskötsel,0))+((AZ$6*NybFastighetsskötsel+AZ$7*BefFastighetsskötsel)*((1+Inflation)^('4. NPV'!AZ$5-1))))</f>
        <v>0</v>
      </c>
      <c r="BA20" s="230">
        <f>-(((BA$6*NybFastighetsskötsel+BA$7*BefFastighetsskötsel)*(1+Inflation)^(BA5-1))*(IF($D$4+Höjnin1&lt;='4. NPV'!BA$4,TioÅrFastighetsskötsel,0)+IF($D$4+Höjning2&lt;='4. NPV'!BA$4,FemtonÅrFastighetsskötsel,0))+((BA$6*NybFastighetsskötsel+BA$7*BefFastighetsskötsel)*((1+Inflation)^('4. NPV'!BA$5-1))))</f>
        <v>0</v>
      </c>
      <c r="BB20" s="506"/>
    </row>
    <row r="21" spans="2:54" s="19" customFormat="1" ht="15">
      <c r="B21" s="229" t="s">
        <v>232</v>
      </c>
      <c r="C21" s="332">
        <f>IFERROR($D21/$C$8,"")</f>
        <v>0</v>
      </c>
      <c r="D21" s="230">
        <f>-(((D$6*NybReparationer+D$7*BefReparationer)*(1+Inflation)^(D5-1))*(IF($D$4+Höjnin1&lt;='4. NPV'!D$4,TioÅrReparationer,0)+IF($D$4+Höjning2&lt;='4. NPV'!D$4,FemtonÅrReparationer,0))+((D$6*NybReparationer+D$7*BefReparationer)*((1+Inflation)^('4. NPV'!D$5-1))))</f>
        <v>0</v>
      </c>
      <c r="E21" s="230">
        <f>-(((E$6*NybReparationer+E$7*BefReparationer)*(1+Inflation)^(E5-1))*(IF($D$4+Höjnin1&lt;='4. NPV'!E$4,TioÅrReparationer,0)+IF($D$4+Höjning2&lt;='4. NPV'!E$4,FemtonÅrReparationer,0))+((E$6*NybReparationer+E$7*BefReparationer)*((1+Inflation)^('4. NPV'!E$5-1))))</f>
        <v>0</v>
      </c>
      <c r="F21" s="230">
        <f>-(((F$6*NybReparationer+F$7*BefReparationer)*(1+Inflation)^(F5-1))*(IF($D$4+Höjnin1&lt;='4. NPV'!F$4,TioÅrReparationer,0)+IF($D$4+Höjning2&lt;='4. NPV'!F$4,FemtonÅrReparationer,0))+((F$6*NybReparationer+F$7*BefReparationer)*((1+Inflation)^('4. NPV'!F$5-1))))</f>
        <v>0</v>
      </c>
      <c r="G21" s="230">
        <f>-(((G$6*NybReparationer+G$7*BefReparationer)*(1+Inflation)^(G5-1))*(IF($D$4+Höjnin1&lt;='4. NPV'!G$4,TioÅrReparationer,0)+IF($D$4+Höjning2&lt;='4. NPV'!G$4,FemtonÅrReparationer,0))+((G$6*NybReparationer+G$7*BefReparationer)*((1+Inflation)^('4. NPV'!G$5-1))))</f>
        <v>0</v>
      </c>
      <c r="H21" s="230">
        <f>-(((H$6*NybReparationer+H$7*BefReparationer)*(1+Inflation)^(H5-1))*(IF($D$4+Höjnin1&lt;='4. NPV'!H$4,TioÅrReparationer,0)+IF($D$4+Höjning2&lt;='4. NPV'!H$4,FemtonÅrReparationer,0))+((H$6*NybReparationer+H$7*BefReparationer)*((1+Inflation)^('4. NPV'!H$5-1))))</f>
        <v>0</v>
      </c>
      <c r="I21" s="230">
        <f>-(((I$6*NybReparationer+I$7*BefReparationer)*(1+Inflation)^(I5-1))*(IF($D$4+Höjnin1&lt;='4. NPV'!I$4,TioÅrReparationer,0)+IF($D$4+Höjning2&lt;='4. NPV'!I$4,FemtonÅrReparationer,0))+((I$6*NybReparationer+I$7*BefReparationer)*((1+Inflation)^('4. NPV'!I$5-1))))</f>
        <v>0</v>
      </c>
      <c r="J21" s="230">
        <f>-(((J$6*NybReparationer+J$7*BefReparationer)*(1+Inflation)^(J5-1))*(IF($D$4+Höjnin1&lt;='4. NPV'!J$4,TioÅrReparationer,0)+IF($D$4+Höjning2&lt;='4. NPV'!J$4,FemtonÅrReparationer,0))+((J$6*NybReparationer+J$7*BefReparationer)*((1+Inflation)^('4. NPV'!J$5-1))))</f>
        <v>0</v>
      </c>
      <c r="K21" s="230">
        <f>-(((K$6*NybReparationer+K$7*BefReparationer)*(1+Inflation)^(K5-1))*(IF($D$4+Höjnin1&lt;='4. NPV'!K$4,TioÅrReparationer,0)+IF($D$4+Höjning2&lt;='4. NPV'!K$4,FemtonÅrReparationer,0))+((K$6*NybReparationer+K$7*BefReparationer)*((1+Inflation)^('4. NPV'!K$5-1))))</f>
        <v>0</v>
      </c>
      <c r="L21" s="230">
        <f>-(((L$6*NybReparationer+L$7*BefReparationer)*(1+Inflation)^(L5-1))*(IF($D$4+Höjnin1&lt;='4. NPV'!L$4,TioÅrReparationer,0)+IF($D$4+Höjning2&lt;='4. NPV'!L$4,FemtonÅrReparationer,0))+((L$6*NybReparationer+L$7*BefReparationer)*((1+Inflation)^('4. NPV'!L$5-1))))</f>
        <v>0</v>
      </c>
      <c r="M21" s="230">
        <f>-(((M$6*NybReparationer+M$7*BefReparationer)*(1+Inflation)^(M5-1))*(IF($D$4+Höjnin1&lt;='4. NPV'!M$4,TioÅrReparationer,0)+IF($D$4+Höjning2&lt;='4. NPV'!M$4,FemtonÅrReparationer,0))+((M$6*NybReparationer+M$7*BefReparationer)*((1+Inflation)^('4. NPV'!M$5-1))))</f>
        <v>0</v>
      </c>
      <c r="N21" s="230">
        <f>-(((N$6*NybReparationer+N$7*BefReparationer)*(1+Inflation)^(N5-1))*(IF($D$4+Höjnin1&lt;='4. NPV'!N$4,TioÅrReparationer,0)+IF($D$4+Höjning2&lt;='4. NPV'!N$4,FemtonÅrReparationer,0))+((N$6*NybReparationer+N$7*BefReparationer)*((1+Inflation)^('4. NPV'!N$5-1))))</f>
        <v>0</v>
      </c>
      <c r="O21" s="230">
        <f>-(((O$6*NybReparationer+O$7*BefReparationer)*(1+Inflation)^(O5-1))*(IF($D$4+Höjnin1&lt;='4. NPV'!O$4,TioÅrReparationer,0)+IF($D$4+Höjning2&lt;='4. NPV'!O$4,FemtonÅrReparationer,0))+((O$6*NybReparationer+O$7*BefReparationer)*((1+Inflation)^('4. NPV'!O$5-1))))</f>
        <v>0</v>
      </c>
      <c r="P21" s="230">
        <f>-(((P$6*NybReparationer+P$7*BefReparationer)*(1+Inflation)^(P5-1))*(IF($D$4+Höjnin1&lt;='4. NPV'!P$4,TioÅrReparationer,0)+IF($D$4+Höjning2&lt;='4. NPV'!P$4,FemtonÅrReparationer,0))+((P$6*NybReparationer+P$7*BefReparationer)*((1+Inflation)^('4. NPV'!P$5-1))))</f>
        <v>0</v>
      </c>
      <c r="Q21" s="230">
        <f>-(((Q$6*NybReparationer+Q$7*BefReparationer)*(1+Inflation)^(Q5-1))*(IF($D$4+Höjnin1&lt;='4. NPV'!Q$4,TioÅrReparationer,0)+IF($D$4+Höjning2&lt;='4. NPV'!Q$4,FemtonÅrReparationer,0))+((Q$6*NybReparationer+Q$7*BefReparationer)*((1+Inflation)^('4. NPV'!Q$5-1))))</f>
        <v>0</v>
      </c>
      <c r="R21" s="230">
        <f>-(((R$6*NybReparationer+R$7*BefReparationer)*(1+Inflation)^(R5-1))*(IF($D$4+Höjnin1&lt;='4. NPV'!R$4,TioÅrReparationer,0)+IF($D$4+Höjning2&lt;='4. NPV'!R$4,FemtonÅrReparationer,0))+((R$6*NybReparationer+R$7*BefReparationer)*((1+Inflation)^('4. NPV'!R$5-1))))</f>
        <v>0</v>
      </c>
      <c r="S21" s="230">
        <f>-(((S$6*NybReparationer+S$7*BefReparationer)*(1+Inflation)^(S5-1))*(IF($D$4+Höjnin1&lt;='4. NPV'!S$4,TioÅrReparationer,0)+IF($D$4+Höjning2&lt;='4. NPV'!S$4,FemtonÅrReparationer,0))+((S$6*NybReparationer+S$7*BefReparationer)*((1+Inflation)^('4. NPV'!S$5-1))))</f>
        <v>0</v>
      </c>
      <c r="T21" s="230">
        <f>-(((T$6*NybReparationer+T$7*BefReparationer)*(1+Inflation)^(T5-1))*(IF($D$4+Höjnin1&lt;='4. NPV'!T$4,TioÅrReparationer,0)+IF($D$4+Höjning2&lt;='4. NPV'!T$4,FemtonÅrReparationer,0))+((T$6*NybReparationer+T$7*BefReparationer)*((1+Inflation)^('4. NPV'!T$5-1))))</f>
        <v>0</v>
      </c>
      <c r="U21" s="230">
        <f>-(((U$6*NybReparationer+U$7*BefReparationer)*(1+Inflation)^(U5-1))*(IF($D$4+Höjnin1&lt;='4. NPV'!U$4,TioÅrReparationer,0)+IF($D$4+Höjning2&lt;='4. NPV'!U$4,FemtonÅrReparationer,0))+((U$6*NybReparationer+U$7*BefReparationer)*((1+Inflation)^('4. NPV'!U$5-1))))</f>
        <v>0</v>
      </c>
      <c r="V21" s="230">
        <f>-(((V$6*NybReparationer+V$7*BefReparationer)*(1+Inflation)^(V5-1))*(IF($D$4+Höjnin1&lt;='4. NPV'!V$4,TioÅrReparationer,0)+IF($D$4+Höjning2&lt;='4. NPV'!V$4,FemtonÅrReparationer,0))+((V$6*NybReparationer+V$7*BefReparationer)*((1+Inflation)^('4. NPV'!V$5-1))))</f>
        <v>0</v>
      </c>
      <c r="W21" s="230">
        <f>-(((W$6*NybReparationer+W$7*BefReparationer)*(1+Inflation)^(W5-1))*(IF($D$4+Höjnin1&lt;='4. NPV'!W$4,TioÅrReparationer,0)+IF($D$4+Höjning2&lt;='4. NPV'!W$4,FemtonÅrReparationer,0))+((W$6*NybReparationer+W$7*BefReparationer)*((1+Inflation)^('4. NPV'!W$5-1))))</f>
        <v>0</v>
      </c>
      <c r="X21" s="230">
        <f>-(((X$6*NybReparationer+X$7*BefReparationer)*(1+Inflation)^(X5-1))*(IF($D$4+Höjnin1&lt;='4. NPV'!X$4,TioÅrReparationer,0)+IF($D$4+Höjning2&lt;='4. NPV'!X$4,FemtonÅrReparationer,0))+((X$6*NybReparationer+X$7*BefReparationer)*((1+Inflation)^('4. NPV'!X$5-1))))</f>
        <v>0</v>
      </c>
      <c r="Y21" s="230">
        <f>-(((Y$6*NybReparationer+Y$7*BefReparationer)*(1+Inflation)^(Y5-1))*(IF($D$4+Höjnin1&lt;='4. NPV'!Y$4,TioÅrReparationer,0)+IF($D$4+Höjning2&lt;='4. NPV'!Y$4,FemtonÅrReparationer,0))+((Y$6*NybReparationer+Y$7*BefReparationer)*((1+Inflation)^('4. NPV'!Y$5-1))))</f>
        <v>0</v>
      </c>
      <c r="Z21" s="230">
        <f>-(((Z$6*NybReparationer+Z$7*BefReparationer)*(1+Inflation)^(Z5-1))*(IF($D$4+Höjnin1&lt;='4. NPV'!Z$4,TioÅrReparationer,0)+IF($D$4+Höjning2&lt;='4. NPV'!Z$4,FemtonÅrReparationer,0))+((Z$6*NybReparationer+Z$7*BefReparationer)*((1+Inflation)^('4. NPV'!Z$5-1))))</f>
        <v>0</v>
      </c>
      <c r="AA21" s="230">
        <f>-(((AA$6*NybReparationer+AA$7*BefReparationer)*(1+Inflation)^(AA5-1))*(IF($D$4+Höjnin1&lt;='4. NPV'!AA$4,TioÅrReparationer,0)+IF($D$4+Höjning2&lt;='4. NPV'!AA$4,FemtonÅrReparationer,0))+((AA$6*NybReparationer+AA$7*BefReparationer)*((1+Inflation)^('4. NPV'!AA$5-1))))</f>
        <v>0</v>
      </c>
      <c r="AB21" s="230">
        <f>-(((AB$6*NybReparationer+AB$7*BefReparationer)*(1+Inflation)^(AB5-1))*(IF($D$4+Höjnin1&lt;='4. NPV'!AB$4,TioÅrReparationer,0)+IF($D$4+Höjning2&lt;='4. NPV'!AB$4,FemtonÅrReparationer,0))+((AB$6*NybReparationer+AB$7*BefReparationer)*((1+Inflation)^('4. NPV'!AB$5-1))))</f>
        <v>0</v>
      </c>
      <c r="AC21" s="230">
        <f>-(((AC$6*NybReparationer+AC$7*BefReparationer)*(1+Inflation)^(AC5-1))*(IF($D$4+Höjnin1&lt;='4. NPV'!AC$4,TioÅrReparationer,0)+IF($D$4+Höjning2&lt;='4. NPV'!AC$4,FemtonÅrReparationer,0))+((AC$6*NybReparationer+AC$7*BefReparationer)*((1+Inflation)^('4. NPV'!AC$5-1))))</f>
        <v>0</v>
      </c>
      <c r="AD21" s="230">
        <f>-(((AD$6*NybReparationer+AD$7*BefReparationer)*(1+Inflation)^(AD5-1))*(IF($D$4+Höjnin1&lt;='4. NPV'!AD$4,TioÅrReparationer,0)+IF($D$4+Höjning2&lt;='4. NPV'!AD$4,FemtonÅrReparationer,0))+((AD$6*NybReparationer+AD$7*BefReparationer)*((1+Inflation)^('4. NPV'!AD$5-1))))</f>
        <v>0</v>
      </c>
      <c r="AE21" s="230">
        <f>-(((AE$6*NybReparationer+AE$7*BefReparationer)*(1+Inflation)^(AE5-1))*(IF($D$4+Höjnin1&lt;='4. NPV'!AE$4,TioÅrReparationer,0)+IF($D$4+Höjning2&lt;='4. NPV'!AE$4,FemtonÅrReparationer,0))+((AE$6*NybReparationer+AE$7*BefReparationer)*((1+Inflation)^('4. NPV'!AE$5-1))))</f>
        <v>0</v>
      </c>
      <c r="AF21" s="230">
        <f>-(((AF$6*NybReparationer+AF$7*BefReparationer)*(1+Inflation)^(AF5-1))*(IF($D$4+Höjnin1&lt;='4. NPV'!AF$4,TioÅrReparationer,0)+IF($D$4+Höjning2&lt;='4. NPV'!AF$4,FemtonÅrReparationer,0))+((AF$6*NybReparationer+AF$7*BefReparationer)*((1+Inflation)^('4. NPV'!AF$5-1))))</f>
        <v>0</v>
      </c>
      <c r="AG21" s="230">
        <f>-(((AG$6*NybReparationer+AG$7*BefReparationer)*(1+Inflation)^(AG5-1))*(IF($D$4+Höjnin1&lt;='4. NPV'!AG$4,TioÅrReparationer,0)+IF($D$4+Höjning2&lt;='4. NPV'!AG$4,FemtonÅrReparationer,0))+((AG$6*NybReparationer+AG$7*BefReparationer)*((1+Inflation)^('4. NPV'!AG$5-1))))</f>
        <v>0</v>
      </c>
      <c r="AH21" s="230">
        <f>-(((AH$6*NybReparationer+AH$7*BefReparationer)*(1+Inflation)^(AH5-1))*(IF($D$4+Höjnin1&lt;='4. NPV'!AH$4,TioÅrReparationer,0)+IF($D$4+Höjning2&lt;='4. NPV'!AH$4,FemtonÅrReparationer,0))+((AH$6*NybReparationer+AH$7*BefReparationer)*((1+Inflation)^('4. NPV'!AH$5-1))))</f>
        <v>0</v>
      </c>
      <c r="AI21" s="230">
        <f>-(((AI$6*NybReparationer+AI$7*BefReparationer)*(1+Inflation)^(AI5-1))*(IF($D$4+Höjnin1&lt;='4. NPV'!AI$4,TioÅrReparationer,0)+IF($D$4+Höjning2&lt;='4. NPV'!AI$4,FemtonÅrReparationer,0))+((AI$6*NybReparationer+AI$7*BefReparationer)*((1+Inflation)^('4. NPV'!AI$5-1))))</f>
        <v>0</v>
      </c>
      <c r="AJ21" s="230">
        <f>-(((AJ$6*NybReparationer+AJ$7*BefReparationer)*(1+Inflation)^(AJ5-1))*(IF($D$4+Höjnin1&lt;='4. NPV'!AJ$4,TioÅrReparationer,0)+IF($D$4+Höjning2&lt;='4. NPV'!AJ$4,FemtonÅrReparationer,0))+((AJ$6*NybReparationer+AJ$7*BefReparationer)*((1+Inflation)^('4. NPV'!AJ$5-1))))</f>
        <v>0</v>
      </c>
      <c r="AK21" s="230">
        <f>-(((AK$6*NybReparationer+AK$7*BefReparationer)*(1+Inflation)^(AK5-1))*(IF($D$4+Höjnin1&lt;='4. NPV'!AK$4,TioÅrReparationer,0)+IF($D$4+Höjning2&lt;='4. NPV'!AK$4,FemtonÅrReparationer,0))+((AK$6*NybReparationer+AK$7*BefReparationer)*((1+Inflation)^('4. NPV'!AK$5-1))))</f>
        <v>0</v>
      </c>
      <c r="AL21" s="230">
        <f>-(((AL$6*NybReparationer+AL$7*BefReparationer)*(1+Inflation)^(AL5-1))*(IF($D$4+Höjnin1&lt;='4. NPV'!AL$4,TioÅrReparationer,0)+IF($D$4+Höjning2&lt;='4. NPV'!AL$4,FemtonÅrReparationer,0))+((AL$6*NybReparationer+AL$7*BefReparationer)*((1+Inflation)^('4. NPV'!AL$5-1))))</f>
        <v>0</v>
      </c>
      <c r="AM21" s="230">
        <f>-(((AM$6*NybReparationer+AM$7*BefReparationer)*(1+Inflation)^(AM5-1))*(IF($D$4+Höjnin1&lt;='4. NPV'!AM$4,TioÅrReparationer,0)+IF($D$4+Höjning2&lt;='4. NPV'!AM$4,FemtonÅrReparationer,0))+((AM$6*NybReparationer+AM$7*BefReparationer)*((1+Inflation)^('4. NPV'!AM$5-1))))</f>
        <v>0</v>
      </c>
      <c r="AN21" s="230">
        <f>-(((AN$6*NybReparationer+AN$7*BefReparationer)*(1+Inflation)^(AN5-1))*(IF($D$4+Höjnin1&lt;='4. NPV'!AN$4,TioÅrReparationer,0)+IF($D$4+Höjning2&lt;='4. NPV'!AN$4,FemtonÅrReparationer,0))+((AN$6*NybReparationer+AN$7*BefReparationer)*((1+Inflation)^('4. NPV'!AN$5-1))))</f>
        <v>0</v>
      </c>
      <c r="AO21" s="230">
        <f>-(((AO$6*NybReparationer+AO$7*BefReparationer)*(1+Inflation)^(AO5-1))*(IF($D$4+Höjnin1&lt;='4. NPV'!AO$4,TioÅrReparationer,0)+IF($D$4+Höjning2&lt;='4. NPV'!AO$4,FemtonÅrReparationer,0))+((AO$6*NybReparationer+AO$7*BefReparationer)*((1+Inflation)^('4. NPV'!AO$5-1))))</f>
        <v>0</v>
      </c>
      <c r="AP21" s="230">
        <f>-(((AP$6*NybReparationer+AP$7*BefReparationer)*(1+Inflation)^(AP5-1))*(IF($D$4+Höjnin1&lt;='4. NPV'!AP$4,TioÅrReparationer,0)+IF($D$4+Höjning2&lt;='4. NPV'!AP$4,FemtonÅrReparationer,0))+((AP$6*NybReparationer+AP$7*BefReparationer)*((1+Inflation)^('4. NPV'!AP$5-1))))</f>
        <v>0</v>
      </c>
      <c r="AQ21" s="230">
        <f>-(((AQ$6*NybReparationer+AQ$7*BefReparationer)*(1+Inflation)^(AQ5-1))*(IF($D$4+Höjnin1&lt;='4. NPV'!AQ$4,TioÅrReparationer,0)+IF($D$4+Höjning2&lt;='4. NPV'!AQ$4,FemtonÅrReparationer,0))+((AQ$6*NybReparationer+AQ$7*BefReparationer)*((1+Inflation)^('4. NPV'!AQ$5-1))))</f>
        <v>0</v>
      </c>
      <c r="AR21" s="230">
        <f>-(((AR$6*NybReparationer+AR$7*BefReparationer)*(1+Inflation)^(AR5-1))*(IF($D$4+Höjnin1&lt;='4. NPV'!AR$4,TioÅrReparationer,0)+IF($D$4+Höjning2&lt;='4. NPV'!AR$4,FemtonÅrReparationer,0))+((AR$6*NybReparationer+AR$7*BefReparationer)*((1+Inflation)^('4. NPV'!AR$5-1))))</f>
        <v>0</v>
      </c>
      <c r="AS21" s="230">
        <f>-(((AS$6*NybReparationer+AS$7*BefReparationer)*(1+Inflation)^(AS5-1))*(IF($D$4+Höjnin1&lt;='4. NPV'!AS$4,TioÅrReparationer,0)+IF($D$4+Höjning2&lt;='4. NPV'!AS$4,FemtonÅrReparationer,0))+((AS$6*NybReparationer+AS$7*BefReparationer)*((1+Inflation)^('4. NPV'!AS$5-1))))</f>
        <v>0</v>
      </c>
      <c r="AT21" s="230">
        <f>-(((AT$6*NybReparationer+AT$7*BefReparationer)*(1+Inflation)^(AT5-1))*(IF($D$4+Höjnin1&lt;='4. NPV'!AT$4,TioÅrReparationer,0)+IF($D$4+Höjning2&lt;='4. NPV'!AT$4,FemtonÅrReparationer,0))+((AT$6*NybReparationer+AT$7*BefReparationer)*((1+Inflation)^('4. NPV'!AT$5-1))))</f>
        <v>0</v>
      </c>
      <c r="AU21" s="230">
        <f>-(((AU$6*NybReparationer+AU$7*BefReparationer)*(1+Inflation)^(AU5-1))*(IF($D$4+Höjnin1&lt;='4. NPV'!AU$4,TioÅrReparationer,0)+IF($D$4+Höjning2&lt;='4. NPV'!AU$4,FemtonÅrReparationer,0))+((AU$6*NybReparationer+AU$7*BefReparationer)*((1+Inflation)^('4. NPV'!AU$5-1))))</f>
        <v>0</v>
      </c>
      <c r="AV21" s="230">
        <f>-(((AV$6*NybReparationer+AV$7*BefReparationer)*(1+Inflation)^(AV5-1))*(IF($D$4+Höjnin1&lt;='4. NPV'!AV$4,TioÅrReparationer,0)+IF($D$4+Höjning2&lt;='4. NPV'!AV$4,FemtonÅrReparationer,0))+((AV$6*NybReparationer+AV$7*BefReparationer)*((1+Inflation)^('4. NPV'!AV$5-1))))</f>
        <v>0</v>
      </c>
      <c r="AW21" s="230">
        <f>-(((AW$6*NybReparationer+AW$7*BefReparationer)*(1+Inflation)^(AW5-1))*(IF($D$4+Höjnin1&lt;='4. NPV'!AW$4,TioÅrReparationer,0)+IF($D$4+Höjning2&lt;='4. NPV'!AW$4,FemtonÅrReparationer,0))+((AW$6*NybReparationer+AW$7*BefReparationer)*((1+Inflation)^('4. NPV'!AW$5-1))))</f>
        <v>0</v>
      </c>
      <c r="AX21" s="230">
        <f>-(((AX$6*NybReparationer+AX$7*BefReparationer)*(1+Inflation)^(AX5-1))*(IF($D$4+Höjnin1&lt;='4. NPV'!AX$4,TioÅrReparationer,0)+IF($D$4+Höjning2&lt;='4. NPV'!AX$4,FemtonÅrReparationer,0))+((AX$6*NybReparationer+AX$7*BefReparationer)*((1+Inflation)^('4. NPV'!AX$5-1))))</f>
        <v>0</v>
      </c>
      <c r="AY21" s="230">
        <f>-(((AY$6*NybReparationer+AY$7*BefReparationer)*(1+Inflation)^(AY5-1))*(IF($D$4+Höjnin1&lt;='4. NPV'!AY$4,TioÅrReparationer,0)+IF($D$4+Höjning2&lt;='4. NPV'!AY$4,FemtonÅrReparationer,0))+((AY$6*NybReparationer+AY$7*BefReparationer)*((1+Inflation)^('4. NPV'!AY$5-1))))</f>
        <v>0</v>
      </c>
      <c r="AZ21" s="230">
        <f>-(((AZ$6*NybReparationer+AZ$7*BefReparationer)*(1+Inflation)^(AZ5-1))*(IF($D$4+Höjnin1&lt;='4. NPV'!AZ$4,TioÅrReparationer,0)+IF($D$4+Höjning2&lt;='4. NPV'!AZ$4,FemtonÅrReparationer,0))+((AZ$6*NybReparationer+AZ$7*BefReparationer)*((1+Inflation)^('4. NPV'!AZ$5-1))))</f>
        <v>0</v>
      </c>
      <c r="BA21" s="230">
        <f>-(((BA$6*NybReparationer+BA$7*BefReparationer)*(1+Inflation)^(BA5-1))*(IF($D$4+Höjnin1&lt;='4. NPV'!BA$4,TioÅrReparationer,0)+IF($D$4+Höjning2&lt;='4. NPV'!BA$4,FemtonÅrReparationer,0))+((BA$6*NybReparationer+BA$7*BefReparationer)*((1+Inflation)^('4. NPV'!BA$5-1))))</f>
        <v>0</v>
      </c>
      <c r="BB21" s="506"/>
    </row>
    <row r="22" spans="2:54" s="19" customFormat="1" ht="15">
      <c r="B22" s="229" t="s">
        <v>233</v>
      </c>
      <c r="C22" s="332">
        <f>IFERROR($D22/$C$8,"")</f>
        <v>0</v>
      </c>
      <c r="D22" s="230">
        <f>-(((D$6*NybPlaneratunderhåll+D$7*BefPlaneratunderhåll)*(1+Inflation)^(D5-1))*(IF($D$4+Höjnin1&lt;='4. NPV'!D$4,TioÅrPlaneratUnderhåll,0)+IF($D$4+Höjning2&lt;='4. NPV'!D$4,FemtonÅrPlaneratUnderhåll,0))+((D$6*NybPlaneratunderhåll+D$7*BefPlaneratunderhåll)*((1+Inflation)^('4. NPV'!D$5-1))))</f>
        <v>0</v>
      </c>
      <c r="E22" s="230">
        <f>-(((E$6*NybPlaneratunderhåll+E$7*BefPlaneratunderhåll)*(1+Inflation)^(E5-1))*(IF($D$4+Höjnin1&lt;='4. NPV'!E$4,TioÅrPlaneratUnderhåll,0)+IF($D$4+Höjning2&lt;='4. NPV'!E$4,FemtonÅrPlaneratUnderhåll,0))+((E$6*NybPlaneratunderhåll+E$7*BefPlaneratunderhåll)*((1+Inflation)^('4. NPV'!E$5-1))))</f>
        <v>0</v>
      </c>
      <c r="F22" s="230">
        <f>-(((F$6*NybPlaneratunderhåll+F$7*BefPlaneratunderhåll)*(1+Inflation)^(F5-1))*(IF($D$4+Höjnin1&lt;='4. NPV'!F$4,TioÅrPlaneratUnderhåll,0)+IF($D$4+Höjning2&lt;='4. NPV'!F$4,FemtonÅrPlaneratUnderhåll,0))+((F$6*NybPlaneratunderhåll+F$7*BefPlaneratunderhåll)*((1+Inflation)^('4. NPV'!F$5-1))))</f>
        <v>0</v>
      </c>
      <c r="G22" s="230">
        <f>-(((G$6*NybPlaneratunderhåll+G$7*BefPlaneratunderhåll)*(1+Inflation)^(G5-1))*(IF($D$4+Höjnin1&lt;='4. NPV'!G$4,TioÅrPlaneratUnderhåll,0)+IF($D$4+Höjning2&lt;='4. NPV'!G$4,FemtonÅrPlaneratUnderhåll,0))+((G$6*NybPlaneratunderhåll+G$7*BefPlaneratunderhåll)*((1+Inflation)^('4. NPV'!G$5-1))))</f>
        <v>0</v>
      </c>
      <c r="H22" s="230">
        <f>-(((H$6*NybPlaneratunderhåll+H$7*BefPlaneratunderhåll)*(1+Inflation)^(H5-1))*(IF($D$4+Höjnin1&lt;='4. NPV'!H$4,TioÅrPlaneratUnderhåll,0)+IF($D$4+Höjning2&lt;='4. NPV'!H$4,FemtonÅrPlaneratUnderhåll,0))+((H$6*NybPlaneratunderhåll+H$7*BefPlaneratunderhåll)*((1+Inflation)^('4. NPV'!H$5-1))))</f>
        <v>0</v>
      </c>
      <c r="I22" s="230">
        <f>-(((I$6*NybPlaneratunderhåll+I$7*BefPlaneratunderhåll)*(1+Inflation)^(I5-1))*(IF($D$4+Höjnin1&lt;='4. NPV'!I$4,TioÅrPlaneratUnderhåll,0)+IF($D$4+Höjning2&lt;='4. NPV'!I$4,FemtonÅrPlaneratUnderhåll,0))+((I$6*NybPlaneratunderhåll+I$7*BefPlaneratunderhåll)*((1+Inflation)^('4. NPV'!I$5-1))))</f>
        <v>0</v>
      </c>
      <c r="J22" s="230">
        <f>-(((J$6*NybPlaneratunderhåll+J$7*BefPlaneratunderhåll)*(1+Inflation)^(J5-1))*(IF($D$4+Höjnin1&lt;='4. NPV'!J$4,TioÅrPlaneratUnderhåll,0)+IF($D$4+Höjning2&lt;='4. NPV'!J$4,FemtonÅrPlaneratUnderhåll,0))+((J$6*NybPlaneratunderhåll+J$7*BefPlaneratunderhåll)*((1+Inflation)^('4. NPV'!J$5-1))))</f>
        <v>0</v>
      </c>
      <c r="K22" s="230">
        <f>-(((K$6*NybPlaneratunderhåll+K$7*BefPlaneratunderhåll)*(1+Inflation)^(K5-1))*(IF($D$4+Höjnin1&lt;='4. NPV'!K$4,TioÅrPlaneratUnderhåll,0)+IF($D$4+Höjning2&lt;='4. NPV'!K$4,FemtonÅrPlaneratUnderhåll,0))+((K$6*NybPlaneratunderhåll+K$7*BefPlaneratunderhåll)*((1+Inflation)^('4. NPV'!K$5-1))))</f>
        <v>0</v>
      </c>
      <c r="L22" s="230">
        <f>-(((L$6*NybPlaneratunderhåll+L$7*BefPlaneratunderhåll)*(1+Inflation)^(L5-1))*(IF($D$4+Höjnin1&lt;='4. NPV'!L$4,TioÅrPlaneratUnderhåll,0)+IF($D$4+Höjning2&lt;='4. NPV'!L$4,FemtonÅrPlaneratUnderhåll,0))+((L$6*NybPlaneratunderhåll+L$7*BefPlaneratunderhåll)*((1+Inflation)^('4. NPV'!L$5-1))))</f>
        <v>0</v>
      </c>
      <c r="M22" s="230">
        <f>-(((M$6*NybPlaneratunderhåll+M$7*BefPlaneratunderhåll)*(1+Inflation)^(M5-1))*(IF($D$4+Höjnin1&lt;='4. NPV'!M$4,TioÅrPlaneratUnderhåll,0)+IF($D$4+Höjning2&lt;='4. NPV'!M$4,FemtonÅrPlaneratUnderhåll,0))+((M$6*NybPlaneratunderhåll+M$7*BefPlaneratunderhåll)*((1+Inflation)^('4. NPV'!M$5-1))))</f>
        <v>0</v>
      </c>
      <c r="N22" s="230">
        <f>-(((N$6*NybPlaneratunderhåll+N$7*BefPlaneratunderhåll)*(1+Inflation)^(N5-1))*(IF($D$4+Höjnin1&lt;='4. NPV'!N$4,TioÅrPlaneratUnderhåll,0)+IF($D$4+Höjning2&lt;='4. NPV'!N$4,FemtonÅrPlaneratUnderhåll,0))+((N$6*NybPlaneratunderhåll+N$7*BefPlaneratunderhåll)*((1+Inflation)^('4. NPV'!N$5-1))))</f>
        <v>0</v>
      </c>
      <c r="O22" s="230">
        <f>-(((O$6*NybPlaneratunderhåll+O$7*BefPlaneratunderhåll)*(1+Inflation)^(O5-1))*(IF($D$4+Höjnin1&lt;='4. NPV'!O$4,TioÅrPlaneratUnderhåll,0)+IF($D$4+Höjning2&lt;='4. NPV'!O$4,FemtonÅrPlaneratUnderhåll,0))+((O$6*NybPlaneratunderhåll+O$7*BefPlaneratunderhåll)*((1+Inflation)^('4. NPV'!O$5-1))))</f>
        <v>0</v>
      </c>
      <c r="P22" s="230">
        <f>-(((P$6*NybPlaneratunderhåll+P$7*BefPlaneratunderhåll)*(1+Inflation)^(P5-1))*(IF($D$4+Höjnin1&lt;='4. NPV'!P$4,TioÅrPlaneratUnderhåll,0)+IF($D$4+Höjning2&lt;='4. NPV'!P$4,FemtonÅrPlaneratUnderhåll,0))+((P$6*NybPlaneratunderhåll+P$7*BefPlaneratunderhåll)*((1+Inflation)^('4. NPV'!P$5-1))))</f>
        <v>0</v>
      </c>
      <c r="Q22" s="230">
        <f>-(((Q$6*NybPlaneratunderhåll+Q$7*BefPlaneratunderhåll)*(1+Inflation)^(Q5-1))*(IF($D$4+Höjnin1&lt;='4. NPV'!Q$4,TioÅrPlaneratUnderhåll,0)+IF($D$4+Höjning2&lt;='4. NPV'!Q$4,FemtonÅrPlaneratUnderhåll,0))+((Q$6*NybPlaneratunderhåll+Q$7*BefPlaneratunderhåll)*((1+Inflation)^('4. NPV'!Q$5-1))))</f>
        <v>0</v>
      </c>
      <c r="R22" s="230">
        <f>-(((R$6*NybPlaneratunderhåll+R$7*BefPlaneratunderhåll)*(1+Inflation)^(R5-1))*(IF($D$4+Höjnin1&lt;='4. NPV'!R$4,TioÅrPlaneratUnderhåll,0)+IF($D$4+Höjning2&lt;='4. NPV'!R$4,FemtonÅrPlaneratUnderhåll,0))+((R$6*NybPlaneratunderhåll+R$7*BefPlaneratunderhåll)*((1+Inflation)^('4. NPV'!R$5-1))))</f>
        <v>0</v>
      </c>
      <c r="S22" s="230">
        <f>-(((S$6*NybPlaneratunderhåll+S$7*BefPlaneratunderhåll)*(1+Inflation)^(S5-1))*(IF($D$4+Höjnin1&lt;='4. NPV'!S$4,TioÅrPlaneratUnderhåll,0)+IF($D$4+Höjning2&lt;='4. NPV'!S$4,FemtonÅrPlaneratUnderhåll,0))+((S$6*NybPlaneratunderhåll+S$7*BefPlaneratunderhåll)*((1+Inflation)^('4. NPV'!S$5-1))))</f>
        <v>0</v>
      </c>
      <c r="T22" s="230">
        <f>-(((T$6*NybPlaneratunderhåll+T$7*BefPlaneratunderhåll)*(1+Inflation)^(T5-1))*(IF($D$4+Höjnin1&lt;='4. NPV'!T$4,TioÅrPlaneratUnderhåll,0)+IF($D$4+Höjning2&lt;='4. NPV'!T$4,FemtonÅrPlaneratUnderhåll,0))+((T$6*NybPlaneratunderhåll+T$7*BefPlaneratunderhåll)*((1+Inflation)^('4. NPV'!T$5-1))))</f>
        <v>0</v>
      </c>
      <c r="U22" s="230">
        <f>-(((U$6*NybPlaneratunderhåll+U$7*BefPlaneratunderhåll)*(1+Inflation)^(U5-1))*(IF($D$4+Höjnin1&lt;='4. NPV'!U$4,TioÅrPlaneratUnderhåll,0)+IF($D$4+Höjning2&lt;='4. NPV'!U$4,FemtonÅrPlaneratUnderhåll,0))+((U$6*NybPlaneratunderhåll+U$7*BefPlaneratunderhåll)*((1+Inflation)^('4. NPV'!U$5-1))))</f>
        <v>0</v>
      </c>
      <c r="V22" s="230">
        <f>-(((V$6*NybPlaneratunderhåll+V$7*BefPlaneratunderhåll)*(1+Inflation)^(V5-1))*(IF($D$4+Höjnin1&lt;='4. NPV'!V$4,TioÅrPlaneratUnderhåll,0)+IF($D$4+Höjning2&lt;='4. NPV'!V$4,FemtonÅrPlaneratUnderhåll,0))+((V$6*NybPlaneratunderhåll+V$7*BefPlaneratunderhåll)*((1+Inflation)^('4. NPV'!V$5-1))))</f>
        <v>0</v>
      </c>
      <c r="W22" s="230">
        <f>-(((W$6*NybPlaneratunderhåll+W$7*BefPlaneratunderhåll)*(1+Inflation)^(W5-1))*(IF($D$4+Höjnin1&lt;='4. NPV'!W$4,TioÅrPlaneratUnderhåll,0)+IF($D$4+Höjning2&lt;='4. NPV'!W$4,FemtonÅrPlaneratUnderhåll,0))+((W$6*NybPlaneratunderhåll+W$7*BefPlaneratunderhåll)*((1+Inflation)^('4. NPV'!W$5-1))))</f>
        <v>0</v>
      </c>
      <c r="X22" s="230">
        <f>-(((X$6*NybPlaneratunderhåll+X$7*BefPlaneratunderhåll)*(1+Inflation)^(X5-1))*(IF($D$4+Höjnin1&lt;='4. NPV'!X$4,TioÅrPlaneratUnderhåll,0)+IF($D$4+Höjning2&lt;='4. NPV'!X$4,FemtonÅrPlaneratUnderhåll,0))+((X$6*NybPlaneratunderhåll+X$7*BefPlaneratunderhåll)*((1+Inflation)^('4. NPV'!X$5-1))))</f>
        <v>0</v>
      </c>
      <c r="Y22" s="230">
        <f>-(((Y$6*NybPlaneratunderhåll+Y$7*BefPlaneratunderhåll)*(1+Inflation)^(Y5-1))*(IF($D$4+Höjnin1&lt;='4. NPV'!Y$4,TioÅrPlaneratUnderhåll,0)+IF($D$4+Höjning2&lt;='4. NPV'!Y$4,FemtonÅrPlaneratUnderhåll,0))+((Y$6*NybPlaneratunderhåll+Y$7*BefPlaneratunderhåll)*((1+Inflation)^('4. NPV'!Y$5-1))))</f>
        <v>0</v>
      </c>
      <c r="Z22" s="230">
        <f>-(((Z$6*NybPlaneratunderhåll+Z$7*BefPlaneratunderhåll)*(1+Inflation)^(Z5-1))*(IF($D$4+Höjnin1&lt;='4. NPV'!Z$4,TioÅrPlaneratUnderhåll,0)+IF($D$4+Höjning2&lt;='4. NPV'!Z$4,FemtonÅrPlaneratUnderhåll,0))+((Z$6*NybPlaneratunderhåll+Z$7*BefPlaneratunderhåll)*((1+Inflation)^('4. NPV'!Z$5-1))))</f>
        <v>0</v>
      </c>
      <c r="AA22" s="230">
        <f>-(((AA$6*NybPlaneratunderhåll+AA$7*BefPlaneratunderhåll)*(1+Inflation)^(AA5-1))*(IF($D$4+Höjnin1&lt;='4. NPV'!AA$4,TioÅrPlaneratUnderhåll,0)+IF($D$4+Höjning2&lt;='4. NPV'!AA$4,FemtonÅrPlaneratUnderhåll,0))+((AA$6*NybPlaneratunderhåll+AA$7*BefPlaneratunderhåll)*((1+Inflation)^('4. NPV'!AA$5-1))))</f>
        <v>0</v>
      </c>
      <c r="AB22" s="230">
        <f>-(((AB$6*NybPlaneratunderhåll+AB$7*BefPlaneratunderhåll)*(1+Inflation)^(AB5-1))*(IF($D$4+Höjnin1&lt;='4. NPV'!AB$4,TioÅrPlaneratUnderhåll,0)+IF($D$4+Höjning2&lt;='4. NPV'!AB$4,FemtonÅrPlaneratUnderhåll,0))+((AB$6*NybPlaneratunderhåll+AB$7*BefPlaneratunderhåll)*((1+Inflation)^('4. NPV'!AB$5-1))))</f>
        <v>0</v>
      </c>
      <c r="AC22" s="230">
        <f>-(((AC$6*NybPlaneratunderhåll+AC$7*BefPlaneratunderhåll)*(1+Inflation)^(AC5-1))*(IF($D$4+Höjnin1&lt;='4. NPV'!AC$4,TioÅrPlaneratUnderhåll,0)+IF($D$4+Höjning2&lt;='4. NPV'!AC$4,FemtonÅrPlaneratUnderhåll,0))+((AC$6*NybPlaneratunderhåll+AC$7*BefPlaneratunderhåll)*((1+Inflation)^('4. NPV'!AC$5-1))))</f>
        <v>0</v>
      </c>
      <c r="AD22" s="230">
        <f>-(((AD$6*NybPlaneratunderhåll+AD$7*BefPlaneratunderhåll)*(1+Inflation)^(AD5-1))*(IF($D$4+Höjnin1&lt;='4. NPV'!AD$4,TioÅrPlaneratUnderhåll,0)+IF($D$4+Höjning2&lt;='4. NPV'!AD$4,FemtonÅrPlaneratUnderhåll,0))+((AD$6*NybPlaneratunderhåll+AD$7*BefPlaneratunderhåll)*((1+Inflation)^('4. NPV'!AD$5-1))))</f>
        <v>0</v>
      </c>
      <c r="AE22" s="230">
        <f>-(((AE$6*NybPlaneratunderhåll+AE$7*BefPlaneratunderhåll)*(1+Inflation)^(AE5-1))*(IF($D$4+Höjnin1&lt;='4. NPV'!AE$4,TioÅrPlaneratUnderhåll,0)+IF($D$4+Höjning2&lt;='4. NPV'!AE$4,FemtonÅrPlaneratUnderhåll,0))+((AE$6*NybPlaneratunderhåll+AE$7*BefPlaneratunderhåll)*((1+Inflation)^('4. NPV'!AE$5-1))))</f>
        <v>0</v>
      </c>
      <c r="AF22" s="230">
        <f>-(((AF$6*NybPlaneratunderhåll+AF$7*BefPlaneratunderhåll)*(1+Inflation)^(AF5-1))*(IF($D$4+Höjnin1&lt;='4. NPV'!AF$4,TioÅrPlaneratUnderhåll,0)+IF($D$4+Höjning2&lt;='4. NPV'!AF$4,FemtonÅrPlaneratUnderhåll,0))+((AF$6*NybPlaneratunderhåll+AF$7*BefPlaneratunderhåll)*((1+Inflation)^('4. NPV'!AF$5-1))))</f>
        <v>0</v>
      </c>
      <c r="AG22" s="230">
        <f>-(((AG$6*NybPlaneratunderhåll+AG$7*BefPlaneratunderhåll)*(1+Inflation)^(AG5-1))*(IF($D$4+Höjnin1&lt;='4. NPV'!AG$4,TioÅrPlaneratUnderhåll,0)+IF($D$4+Höjning2&lt;='4. NPV'!AG$4,FemtonÅrPlaneratUnderhåll,0))+((AG$6*NybPlaneratunderhåll+AG$7*BefPlaneratunderhåll)*((1+Inflation)^('4. NPV'!AG$5-1))))</f>
        <v>0</v>
      </c>
      <c r="AH22" s="230">
        <f>-(((AH$6*NybPlaneratunderhåll+AH$7*BefPlaneratunderhåll)*(1+Inflation)^(AH5-1))*(IF($D$4+Höjnin1&lt;='4. NPV'!AH$4,TioÅrPlaneratUnderhåll,0)+IF($D$4+Höjning2&lt;='4. NPV'!AH$4,FemtonÅrPlaneratUnderhåll,0))+((AH$6*NybPlaneratunderhåll+AH$7*BefPlaneratunderhåll)*((1+Inflation)^('4. NPV'!AH$5-1))))</f>
        <v>0</v>
      </c>
      <c r="AI22" s="230">
        <f>-(((AI$6*NybPlaneratunderhåll+AI$7*BefPlaneratunderhåll)*(1+Inflation)^(AI5-1))*(IF($D$4+Höjnin1&lt;='4. NPV'!AI$4,TioÅrPlaneratUnderhåll,0)+IF($D$4+Höjning2&lt;='4. NPV'!AI$4,FemtonÅrPlaneratUnderhåll,0))+((AI$6*NybPlaneratunderhåll+AI$7*BefPlaneratunderhåll)*((1+Inflation)^('4. NPV'!AI$5-1))))</f>
        <v>0</v>
      </c>
      <c r="AJ22" s="230">
        <f>-(((AJ$6*NybPlaneratunderhåll+AJ$7*BefPlaneratunderhåll)*(1+Inflation)^(AJ5-1))*(IF($D$4+Höjnin1&lt;='4. NPV'!AJ$4,TioÅrPlaneratUnderhåll,0)+IF($D$4+Höjning2&lt;='4. NPV'!AJ$4,FemtonÅrPlaneratUnderhåll,0))+((AJ$6*NybPlaneratunderhåll+AJ$7*BefPlaneratunderhåll)*((1+Inflation)^('4. NPV'!AJ$5-1))))</f>
        <v>0</v>
      </c>
      <c r="AK22" s="230">
        <f>-(((AK$6*NybPlaneratunderhåll+AK$7*BefPlaneratunderhåll)*(1+Inflation)^(AK5-1))*(IF($D$4+Höjnin1&lt;='4. NPV'!AK$4,TioÅrPlaneratUnderhåll,0)+IF($D$4+Höjning2&lt;='4. NPV'!AK$4,FemtonÅrPlaneratUnderhåll,0))+((AK$6*NybPlaneratunderhåll+AK$7*BefPlaneratunderhåll)*((1+Inflation)^('4. NPV'!AK$5-1))))</f>
        <v>0</v>
      </c>
      <c r="AL22" s="230">
        <f>-(((AL$6*NybPlaneratunderhåll+AL$7*BefPlaneratunderhåll)*(1+Inflation)^(AL5-1))*(IF($D$4+Höjnin1&lt;='4. NPV'!AL$4,TioÅrPlaneratUnderhåll,0)+IF($D$4+Höjning2&lt;='4. NPV'!AL$4,FemtonÅrPlaneratUnderhåll,0))+((AL$6*NybPlaneratunderhåll+AL$7*BefPlaneratunderhåll)*((1+Inflation)^('4. NPV'!AL$5-1))))</f>
        <v>0</v>
      </c>
      <c r="AM22" s="230">
        <f>-(((AM$6*NybPlaneratunderhåll+AM$7*BefPlaneratunderhåll)*(1+Inflation)^(AM5-1))*(IF($D$4+Höjnin1&lt;='4. NPV'!AM$4,TioÅrPlaneratUnderhåll,0)+IF($D$4+Höjning2&lt;='4. NPV'!AM$4,FemtonÅrPlaneratUnderhåll,0))+((AM$6*NybPlaneratunderhåll+AM$7*BefPlaneratunderhåll)*((1+Inflation)^('4. NPV'!AM$5-1))))</f>
        <v>0</v>
      </c>
      <c r="AN22" s="230">
        <f>-(((AN$6*NybPlaneratunderhåll+AN$7*BefPlaneratunderhåll)*(1+Inflation)^(AN5-1))*(IF($D$4+Höjnin1&lt;='4. NPV'!AN$4,TioÅrPlaneratUnderhåll,0)+IF($D$4+Höjning2&lt;='4. NPV'!AN$4,FemtonÅrPlaneratUnderhåll,0))+((AN$6*NybPlaneratunderhåll+AN$7*BefPlaneratunderhåll)*((1+Inflation)^('4. NPV'!AN$5-1))))</f>
        <v>0</v>
      </c>
      <c r="AO22" s="230">
        <f>-(((AO$6*NybPlaneratunderhåll+AO$7*BefPlaneratunderhåll)*(1+Inflation)^(AO5-1))*(IF($D$4+Höjnin1&lt;='4. NPV'!AO$4,TioÅrPlaneratUnderhåll,0)+IF($D$4+Höjning2&lt;='4. NPV'!AO$4,FemtonÅrPlaneratUnderhåll,0))+((AO$6*NybPlaneratunderhåll+AO$7*BefPlaneratunderhåll)*((1+Inflation)^('4. NPV'!AO$5-1))))</f>
        <v>0</v>
      </c>
      <c r="AP22" s="230">
        <f>-(((AP$6*NybPlaneratunderhåll+AP$7*BefPlaneratunderhåll)*(1+Inflation)^(AP5-1))*(IF($D$4+Höjnin1&lt;='4. NPV'!AP$4,TioÅrPlaneratUnderhåll,0)+IF($D$4+Höjning2&lt;='4. NPV'!AP$4,FemtonÅrPlaneratUnderhåll,0))+((AP$6*NybPlaneratunderhåll+AP$7*BefPlaneratunderhåll)*((1+Inflation)^('4. NPV'!AP$5-1))))</f>
        <v>0</v>
      </c>
      <c r="AQ22" s="230">
        <f>-(((AQ$6*NybPlaneratunderhåll+AQ$7*BefPlaneratunderhåll)*(1+Inflation)^(AQ5-1))*(IF($D$4+Höjnin1&lt;='4. NPV'!AQ$4,TioÅrPlaneratUnderhåll,0)+IF($D$4+Höjning2&lt;='4. NPV'!AQ$4,FemtonÅrPlaneratUnderhåll,0))+((AQ$6*NybPlaneratunderhåll+AQ$7*BefPlaneratunderhåll)*((1+Inflation)^('4. NPV'!AQ$5-1))))</f>
        <v>0</v>
      </c>
      <c r="AR22" s="230">
        <f>-(((AR$6*NybPlaneratunderhåll+AR$7*BefPlaneratunderhåll)*(1+Inflation)^(AR5-1))*(IF($D$4+Höjnin1&lt;='4. NPV'!AR$4,TioÅrPlaneratUnderhåll,0)+IF($D$4+Höjning2&lt;='4. NPV'!AR$4,FemtonÅrPlaneratUnderhåll,0))+((AR$6*NybPlaneratunderhåll+AR$7*BefPlaneratunderhåll)*((1+Inflation)^('4. NPV'!AR$5-1))))</f>
        <v>0</v>
      </c>
      <c r="AS22" s="230">
        <f>-(((AS$6*NybPlaneratunderhåll+AS$7*BefPlaneratunderhåll)*(1+Inflation)^(AS5-1))*(IF($D$4+Höjnin1&lt;='4. NPV'!AS$4,TioÅrPlaneratUnderhåll,0)+IF($D$4+Höjning2&lt;='4. NPV'!AS$4,FemtonÅrPlaneratUnderhåll,0))+((AS$6*NybPlaneratunderhåll+AS$7*BefPlaneratunderhåll)*((1+Inflation)^('4. NPV'!AS$5-1))))</f>
        <v>0</v>
      </c>
      <c r="AT22" s="230">
        <f>-(((AT$6*NybPlaneratunderhåll+AT$7*BefPlaneratunderhåll)*(1+Inflation)^(AT5-1))*(IF($D$4+Höjnin1&lt;='4. NPV'!AT$4,TioÅrPlaneratUnderhåll,0)+IF($D$4+Höjning2&lt;='4. NPV'!AT$4,FemtonÅrPlaneratUnderhåll,0))+((AT$6*NybPlaneratunderhåll+AT$7*BefPlaneratunderhåll)*((1+Inflation)^('4. NPV'!AT$5-1))))</f>
        <v>0</v>
      </c>
      <c r="AU22" s="230">
        <f>-(((AU$6*NybPlaneratunderhåll+AU$7*BefPlaneratunderhåll)*(1+Inflation)^(AU5-1))*(IF($D$4+Höjnin1&lt;='4. NPV'!AU$4,TioÅrPlaneratUnderhåll,0)+IF($D$4+Höjning2&lt;='4. NPV'!AU$4,FemtonÅrPlaneratUnderhåll,0))+((AU$6*NybPlaneratunderhåll+AU$7*BefPlaneratunderhåll)*((1+Inflation)^('4. NPV'!AU$5-1))))</f>
        <v>0</v>
      </c>
      <c r="AV22" s="230">
        <f>-(((AV$6*NybPlaneratunderhåll+AV$7*BefPlaneratunderhåll)*(1+Inflation)^(AV5-1))*(IF($D$4+Höjnin1&lt;='4. NPV'!AV$4,TioÅrPlaneratUnderhåll,0)+IF($D$4+Höjning2&lt;='4. NPV'!AV$4,FemtonÅrPlaneratUnderhåll,0))+((AV$6*NybPlaneratunderhåll+AV$7*BefPlaneratunderhåll)*((1+Inflation)^('4. NPV'!AV$5-1))))</f>
        <v>0</v>
      </c>
      <c r="AW22" s="230">
        <f>-(((AW$6*NybPlaneratunderhåll+AW$7*BefPlaneratunderhåll)*(1+Inflation)^(AW5-1))*(IF($D$4+Höjnin1&lt;='4. NPV'!AW$4,TioÅrPlaneratUnderhåll,0)+IF($D$4+Höjning2&lt;='4. NPV'!AW$4,FemtonÅrPlaneratUnderhåll,0))+((AW$6*NybPlaneratunderhåll+AW$7*BefPlaneratunderhåll)*((1+Inflation)^('4. NPV'!AW$5-1))))</f>
        <v>0</v>
      </c>
      <c r="AX22" s="230">
        <f>-(((AX$6*NybPlaneratunderhåll+AX$7*BefPlaneratunderhåll)*(1+Inflation)^(AX5-1))*(IF($D$4+Höjnin1&lt;='4. NPV'!AX$4,TioÅrPlaneratUnderhåll,0)+IF($D$4+Höjning2&lt;='4. NPV'!AX$4,FemtonÅrPlaneratUnderhåll,0))+((AX$6*NybPlaneratunderhåll+AX$7*BefPlaneratunderhåll)*((1+Inflation)^('4. NPV'!AX$5-1))))</f>
        <v>0</v>
      </c>
      <c r="AY22" s="230">
        <f>-(((AY$6*NybPlaneratunderhåll+AY$7*BefPlaneratunderhåll)*(1+Inflation)^(AY5-1))*(IF($D$4+Höjnin1&lt;='4. NPV'!AY$4,TioÅrPlaneratUnderhåll,0)+IF($D$4+Höjning2&lt;='4. NPV'!AY$4,FemtonÅrPlaneratUnderhåll,0))+((AY$6*NybPlaneratunderhåll+AY$7*BefPlaneratunderhåll)*((1+Inflation)^('4. NPV'!AY$5-1))))</f>
        <v>0</v>
      </c>
      <c r="AZ22" s="230">
        <f>-(((AZ$6*NybPlaneratunderhåll+AZ$7*BefPlaneratunderhåll)*(1+Inflation)^(AZ5-1))*(IF($D$4+Höjnin1&lt;='4. NPV'!AZ$4,TioÅrPlaneratUnderhåll,0)+IF($D$4+Höjning2&lt;='4. NPV'!AZ$4,FemtonÅrPlaneratUnderhåll,0))+((AZ$6*NybPlaneratunderhåll+AZ$7*BefPlaneratunderhåll)*((1+Inflation)^('4. NPV'!AZ$5-1))))</f>
        <v>0</v>
      </c>
      <c r="BA22" s="230">
        <f>-(((BA$6*NybPlaneratunderhåll+BA$7*BefPlaneratunderhåll)*(1+Inflation)^(BA5-1))*(IF($D$4+Höjnin1&lt;='4. NPV'!BA$4,TioÅrPlaneratUnderhåll,0)+IF($D$4+Höjning2&lt;='4. NPV'!BA$4,FemtonÅrPlaneratUnderhåll,0))+((BA$6*NybPlaneratunderhåll+BA$7*BefPlaneratunderhåll)*((1+Inflation)^('4. NPV'!BA$5-1))))</f>
        <v>0</v>
      </c>
      <c r="BB22" s="506"/>
    </row>
    <row r="23" spans="2:54">
      <c r="B23" s="229" t="s">
        <v>234</v>
      </c>
      <c r="C23" s="332">
        <f>IFERROR($D23/$C$8,"")</f>
        <v>0</v>
      </c>
      <c r="D23" s="230">
        <f>-(((D$6*NybMedia+D$7*BefMedia)*(1+Inflation)^(D5-1))*(IF($D$4+Höjnin1&lt;='4. NPV'!D$4,TioÅrMedia,0)+IF($D$4+Höjning2&lt;='4. NPV'!D$4,FemtonÅrMedia,0))+((D$6*NybMedia+D$7*BefMedia)*((1+Inflation)^('4. NPV'!D$5-1))))</f>
        <v>0</v>
      </c>
      <c r="E23" s="230">
        <f>-(((E$6*NybMedia+E$7*BefMedia)*(1+Inflation)^(E5-1))*(IF($D$4+Höjnin1&lt;='4. NPV'!E$4,TioÅrMedia,0)+IF($D$4+Höjning2&lt;='4. NPV'!E$4,FemtonÅrMedia,0))+((E$6*NybMedia+E$7*BefMedia)*((1+Inflation)^('4. NPV'!E$5-1))))</f>
        <v>0</v>
      </c>
      <c r="F23" s="230">
        <f>-(((F$6*NybMedia+F$7*BefMedia)*(1+Inflation)^(F5-1))*(IF($D$4+Höjnin1&lt;='4. NPV'!F$4,TioÅrMedia,0)+IF($D$4+Höjning2&lt;='4. NPV'!F$4,FemtonÅrMedia,0))+((F$6*NybMedia+F$7*BefMedia)*((1+Inflation)^('4. NPV'!F$5-1))))</f>
        <v>0</v>
      </c>
      <c r="G23" s="230">
        <f>-(((G$6*NybMedia+G$7*BefMedia)*(1+Inflation)^(G5-1))*(IF($D$4+Höjnin1&lt;='4. NPV'!G$4,TioÅrMedia,0)+IF($D$4+Höjning2&lt;='4. NPV'!G$4,FemtonÅrMedia,0))+((G$6*NybMedia+G$7*BefMedia)*((1+Inflation)^('4. NPV'!G$5-1))))</f>
        <v>0</v>
      </c>
      <c r="H23" s="230">
        <f>-(((H$6*NybMedia+H$7*BefMedia)*(1+Inflation)^(H5-1))*(IF($D$4+Höjnin1&lt;='4. NPV'!H$4,TioÅrMedia,0)+IF($D$4+Höjning2&lt;='4. NPV'!H$4,FemtonÅrMedia,0))+((H$6*NybMedia+H$7*BefMedia)*((1+Inflation)^('4. NPV'!H$5-1))))</f>
        <v>0</v>
      </c>
      <c r="I23" s="230">
        <f>-(((I$6*NybMedia+I$7*BefMedia)*(1+Inflation)^(I5-1))*(IF($D$4+Höjnin1&lt;='4. NPV'!I$4,TioÅrMedia,0)+IF($D$4+Höjning2&lt;='4. NPV'!I$4,FemtonÅrMedia,0))+((I$6*NybMedia+I$7*BefMedia)*((1+Inflation)^('4. NPV'!I$5-1))))</f>
        <v>0</v>
      </c>
      <c r="J23" s="230">
        <f>-(((J$6*NybMedia+J$7*BefMedia)*(1+Inflation)^(J5-1))*(IF($D$4+Höjnin1&lt;='4. NPV'!J$4,TioÅrMedia,0)+IF($D$4+Höjning2&lt;='4. NPV'!J$4,FemtonÅrMedia,0))+((J$6*NybMedia+J$7*BefMedia)*((1+Inflation)^('4. NPV'!J$5-1))))</f>
        <v>0</v>
      </c>
      <c r="K23" s="230">
        <f>-(((K$6*NybMedia+K$7*BefMedia)*(1+Inflation)^(K5-1))*(IF($D$4+Höjnin1&lt;='4. NPV'!K$4,TioÅrMedia,0)+IF($D$4+Höjning2&lt;='4. NPV'!K$4,FemtonÅrMedia,0))+((K$6*NybMedia+K$7*BefMedia)*((1+Inflation)^('4. NPV'!K$5-1))))</f>
        <v>0</v>
      </c>
      <c r="L23" s="230">
        <f>-(((L$6*NybMedia+L$7*BefMedia)*(1+Inflation)^(L5-1))*(IF($D$4+Höjnin1&lt;='4. NPV'!L$4,TioÅrMedia,0)+IF($D$4+Höjning2&lt;='4. NPV'!L$4,FemtonÅrMedia,0))+((L$6*NybMedia+L$7*BefMedia)*((1+Inflation)^('4. NPV'!L$5-1))))</f>
        <v>0</v>
      </c>
      <c r="M23" s="230">
        <f>-(((M$6*NybMedia+M$7*BefMedia)*(1+Inflation)^(M5-1))*(IF($D$4+Höjnin1&lt;='4. NPV'!M$4,TioÅrMedia,0)+IF($D$4+Höjning2&lt;='4. NPV'!M$4,FemtonÅrMedia,0))+((M$6*NybMedia+M$7*BefMedia)*((1+Inflation)^('4. NPV'!M$5-1))))</f>
        <v>0</v>
      </c>
      <c r="N23" s="230">
        <f>-(((N$6*NybMedia+N$7*BefMedia)*(1+Inflation)^(N5-1))*(IF($D$4+Höjnin1&lt;='4. NPV'!N$4,TioÅrMedia,0)+IF($D$4+Höjning2&lt;='4. NPV'!N$4,FemtonÅrMedia,0))+((N$6*NybMedia+N$7*BefMedia)*((1+Inflation)^('4. NPV'!N$5-1))))</f>
        <v>0</v>
      </c>
      <c r="O23" s="230">
        <f>-(((O$6*NybMedia+O$7*BefMedia)*(1+Inflation)^(O5-1))*(IF($D$4+Höjnin1&lt;='4. NPV'!O$4,TioÅrMedia,0)+IF($D$4+Höjning2&lt;='4. NPV'!O$4,FemtonÅrMedia,0))+((O$6*NybMedia+O$7*BefMedia)*((1+Inflation)^('4. NPV'!O$5-1))))</f>
        <v>0</v>
      </c>
      <c r="P23" s="230">
        <f>-(((P$6*NybMedia+P$7*BefMedia)*(1+Inflation)^(P5-1))*(IF($D$4+Höjnin1&lt;='4. NPV'!P$4,TioÅrMedia,0)+IF($D$4+Höjning2&lt;='4. NPV'!P$4,FemtonÅrMedia,0))+((P$6*NybMedia+P$7*BefMedia)*((1+Inflation)^('4. NPV'!P$5-1))))</f>
        <v>0</v>
      </c>
      <c r="Q23" s="230">
        <f>-(((Q$6*NybMedia+Q$7*BefMedia)*(1+Inflation)^(Q5-1))*(IF($D$4+Höjnin1&lt;='4. NPV'!Q$4,TioÅrMedia,0)+IF($D$4+Höjning2&lt;='4. NPV'!Q$4,FemtonÅrMedia,0))+((Q$6*NybMedia+Q$7*BefMedia)*((1+Inflation)^('4. NPV'!Q$5-1))))</f>
        <v>0</v>
      </c>
      <c r="R23" s="230">
        <f>-(((R$6*NybMedia+R$7*BefMedia)*(1+Inflation)^(R5-1))*(IF($D$4+Höjnin1&lt;='4. NPV'!R$4,TioÅrMedia,0)+IF($D$4+Höjning2&lt;='4. NPV'!R$4,FemtonÅrMedia,0))+((R$6*NybMedia+R$7*BefMedia)*((1+Inflation)^('4. NPV'!R$5-1))))</f>
        <v>0</v>
      </c>
      <c r="S23" s="230">
        <f>-(((S$6*NybMedia+S$7*BefMedia)*(1+Inflation)^(S5-1))*(IF($D$4+Höjnin1&lt;='4. NPV'!S$4,TioÅrMedia,0)+IF($D$4+Höjning2&lt;='4. NPV'!S$4,FemtonÅrMedia,0))+((S$6*NybMedia+S$7*BefMedia)*((1+Inflation)^('4. NPV'!S$5-1))))</f>
        <v>0</v>
      </c>
      <c r="T23" s="230">
        <f>-(((T$6*NybMedia+T$7*BefMedia)*(1+Inflation)^(T5-1))*(IF($D$4+Höjnin1&lt;='4. NPV'!T$4,TioÅrMedia,0)+IF($D$4+Höjning2&lt;='4. NPV'!T$4,FemtonÅrMedia,0))+((T$6*NybMedia+T$7*BefMedia)*((1+Inflation)^('4. NPV'!T$5-1))))</f>
        <v>0</v>
      </c>
      <c r="U23" s="230">
        <f>-(((U$6*NybMedia+U$7*BefMedia)*(1+Inflation)^(U5-1))*(IF($D$4+Höjnin1&lt;='4. NPV'!U$4,TioÅrMedia,0)+IF($D$4+Höjning2&lt;='4. NPV'!U$4,FemtonÅrMedia,0))+((U$6*NybMedia+U$7*BefMedia)*((1+Inflation)^('4. NPV'!U$5-1))))</f>
        <v>0</v>
      </c>
      <c r="V23" s="230">
        <f>-(((V$6*NybMedia+V$7*BefMedia)*(1+Inflation)^(V5-1))*(IF($D$4+Höjnin1&lt;='4. NPV'!V$4,TioÅrMedia,0)+IF($D$4+Höjning2&lt;='4. NPV'!V$4,FemtonÅrMedia,0))+((V$6*NybMedia+V$7*BefMedia)*((1+Inflation)^('4. NPV'!V$5-1))))</f>
        <v>0</v>
      </c>
      <c r="W23" s="230">
        <f>-(((W$6*NybMedia+W$7*BefMedia)*(1+Inflation)^(W5-1))*(IF($D$4+Höjnin1&lt;='4. NPV'!W$4,TioÅrMedia,0)+IF($D$4+Höjning2&lt;='4. NPV'!W$4,FemtonÅrMedia,0))+((W$6*NybMedia+W$7*BefMedia)*((1+Inflation)^('4. NPV'!W$5-1))))</f>
        <v>0</v>
      </c>
      <c r="X23" s="230">
        <f>-(((X$6*NybMedia+X$7*BefMedia)*(1+Inflation)^(X5-1))*(IF($D$4+Höjnin1&lt;='4. NPV'!X$4,TioÅrMedia,0)+IF($D$4+Höjning2&lt;='4. NPV'!X$4,FemtonÅrMedia,0))+((X$6*NybMedia+X$7*BefMedia)*((1+Inflation)^('4. NPV'!X$5-1))))</f>
        <v>0</v>
      </c>
      <c r="Y23" s="230">
        <f>-(((Y$6*NybMedia+Y$7*BefMedia)*(1+Inflation)^(Y5-1))*(IF($D$4+Höjnin1&lt;='4. NPV'!Y$4,TioÅrMedia,0)+IF($D$4+Höjning2&lt;='4. NPV'!Y$4,FemtonÅrMedia,0))+((Y$6*NybMedia+Y$7*BefMedia)*((1+Inflation)^('4. NPV'!Y$5-1))))</f>
        <v>0</v>
      </c>
      <c r="Z23" s="230">
        <f>-(((Z$6*NybMedia+Z$7*BefMedia)*(1+Inflation)^(Z5-1))*(IF($D$4+Höjnin1&lt;='4. NPV'!Z$4,TioÅrMedia,0)+IF($D$4+Höjning2&lt;='4. NPV'!Z$4,FemtonÅrMedia,0))+((Z$6*NybMedia+Z$7*BefMedia)*((1+Inflation)^('4. NPV'!Z$5-1))))</f>
        <v>0</v>
      </c>
      <c r="AA23" s="230">
        <f>-(((AA$6*NybMedia+AA$7*BefMedia)*(1+Inflation)^(AA5-1))*(IF($D$4+Höjnin1&lt;='4. NPV'!AA$4,TioÅrMedia,0)+IF($D$4+Höjning2&lt;='4. NPV'!AA$4,FemtonÅrMedia,0))+((AA$6*NybMedia+AA$7*BefMedia)*((1+Inflation)^('4. NPV'!AA$5-1))))</f>
        <v>0</v>
      </c>
      <c r="AB23" s="230">
        <f>-(((AB$6*NybMedia+AB$7*BefMedia)*(1+Inflation)^(AB5-1))*(IF($D$4+Höjnin1&lt;='4. NPV'!AB$4,TioÅrMedia,0)+IF($D$4+Höjning2&lt;='4. NPV'!AB$4,FemtonÅrMedia,0))+((AB$6*NybMedia+AB$7*BefMedia)*((1+Inflation)^('4. NPV'!AB$5-1))))</f>
        <v>0</v>
      </c>
      <c r="AC23" s="230">
        <f>-(((AC$6*NybMedia+AC$7*BefMedia)*(1+Inflation)^(AC5-1))*(IF($D$4+Höjnin1&lt;='4. NPV'!AC$4,TioÅrMedia,0)+IF($D$4+Höjning2&lt;='4. NPV'!AC$4,FemtonÅrMedia,0))+((AC$6*NybMedia+AC$7*BefMedia)*((1+Inflation)^('4. NPV'!AC$5-1))))</f>
        <v>0</v>
      </c>
      <c r="AD23" s="230">
        <f>-(((AD$6*NybMedia+AD$7*BefMedia)*(1+Inflation)^(AD5-1))*(IF($D$4+Höjnin1&lt;='4. NPV'!AD$4,TioÅrMedia,0)+IF($D$4+Höjning2&lt;='4. NPV'!AD$4,FemtonÅrMedia,0))+((AD$6*NybMedia+AD$7*BefMedia)*((1+Inflation)^('4. NPV'!AD$5-1))))</f>
        <v>0</v>
      </c>
      <c r="AE23" s="230">
        <f>-(((AE$6*NybMedia+AE$7*BefMedia)*(1+Inflation)^(AE5-1))*(IF($D$4+Höjnin1&lt;='4. NPV'!AE$4,TioÅrMedia,0)+IF($D$4+Höjning2&lt;='4. NPV'!AE$4,FemtonÅrMedia,0))+((AE$6*NybMedia+AE$7*BefMedia)*((1+Inflation)^('4. NPV'!AE$5-1))))</f>
        <v>0</v>
      </c>
      <c r="AF23" s="230">
        <f>-(((AF$6*NybMedia+AF$7*BefMedia)*(1+Inflation)^(AF5-1))*(IF($D$4+Höjnin1&lt;='4. NPV'!AF$4,TioÅrMedia,0)+IF($D$4+Höjning2&lt;='4. NPV'!AF$4,FemtonÅrMedia,0))+((AF$6*NybMedia+AF$7*BefMedia)*((1+Inflation)^('4. NPV'!AF$5-1))))</f>
        <v>0</v>
      </c>
      <c r="AG23" s="230">
        <f>-(((AG$6*NybMedia+AG$7*BefMedia)*(1+Inflation)^(AG5-1))*(IF($D$4+Höjnin1&lt;='4. NPV'!AG$4,TioÅrMedia,0)+IF($D$4+Höjning2&lt;='4. NPV'!AG$4,FemtonÅrMedia,0))+((AG$6*NybMedia+AG$7*BefMedia)*((1+Inflation)^('4. NPV'!AG$5-1))))</f>
        <v>0</v>
      </c>
      <c r="AH23" s="230">
        <f>-(((AH$6*NybMedia+AH$7*BefMedia)*(1+Inflation)^(AH5-1))*(IF($D$4+Höjnin1&lt;='4. NPV'!AH$4,TioÅrMedia,0)+IF($D$4+Höjning2&lt;='4. NPV'!AH$4,FemtonÅrMedia,0))+((AH$6*NybMedia+AH$7*BefMedia)*((1+Inflation)^('4. NPV'!AH$5-1))))</f>
        <v>0</v>
      </c>
      <c r="AI23" s="230">
        <f>-(((AI$6*NybMedia+AI$7*BefMedia)*(1+Inflation)^(AI5-1))*(IF($D$4+Höjnin1&lt;='4. NPV'!AI$4,TioÅrMedia,0)+IF($D$4+Höjning2&lt;='4. NPV'!AI$4,FemtonÅrMedia,0))+((AI$6*NybMedia+AI$7*BefMedia)*((1+Inflation)^('4. NPV'!AI$5-1))))</f>
        <v>0</v>
      </c>
      <c r="AJ23" s="230">
        <f>-(((AJ$6*NybMedia+AJ$7*BefMedia)*(1+Inflation)^(AJ5-1))*(IF($D$4+Höjnin1&lt;='4. NPV'!AJ$4,TioÅrMedia,0)+IF($D$4+Höjning2&lt;='4. NPV'!AJ$4,FemtonÅrMedia,0))+((AJ$6*NybMedia+AJ$7*BefMedia)*((1+Inflation)^('4. NPV'!AJ$5-1))))</f>
        <v>0</v>
      </c>
      <c r="AK23" s="230">
        <f>-(((AK$6*NybMedia+AK$7*BefMedia)*(1+Inflation)^(AK5-1))*(IF($D$4+Höjnin1&lt;='4. NPV'!AK$4,TioÅrMedia,0)+IF($D$4+Höjning2&lt;='4. NPV'!AK$4,FemtonÅrMedia,0))+((AK$6*NybMedia+AK$7*BefMedia)*((1+Inflation)^('4. NPV'!AK$5-1))))</f>
        <v>0</v>
      </c>
      <c r="AL23" s="230">
        <f>-(((AL$6*NybMedia+AL$7*BefMedia)*(1+Inflation)^(AL5-1))*(IF($D$4+Höjnin1&lt;='4. NPV'!AL$4,TioÅrMedia,0)+IF($D$4+Höjning2&lt;='4. NPV'!AL$4,FemtonÅrMedia,0))+((AL$6*NybMedia+AL$7*BefMedia)*((1+Inflation)^('4. NPV'!AL$5-1))))</f>
        <v>0</v>
      </c>
      <c r="AM23" s="230">
        <f>-(((AM$6*NybMedia+AM$7*BefMedia)*(1+Inflation)^(AM5-1))*(IF($D$4+Höjnin1&lt;='4. NPV'!AM$4,TioÅrMedia,0)+IF($D$4+Höjning2&lt;='4. NPV'!AM$4,FemtonÅrMedia,0))+((AM$6*NybMedia+AM$7*BefMedia)*((1+Inflation)^('4. NPV'!AM$5-1))))</f>
        <v>0</v>
      </c>
      <c r="AN23" s="230">
        <f>-(((AN$6*NybMedia+AN$7*BefMedia)*(1+Inflation)^(AN5-1))*(IF($D$4+Höjnin1&lt;='4. NPV'!AN$4,TioÅrMedia,0)+IF($D$4+Höjning2&lt;='4. NPV'!AN$4,FemtonÅrMedia,0))+((AN$6*NybMedia+AN$7*BefMedia)*((1+Inflation)^('4. NPV'!AN$5-1))))</f>
        <v>0</v>
      </c>
      <c r="AO23" s="230">
        <f>-(((AO$6*NybMedia+AO$7*BefMedia)*(1+Inflation)^(AO5-1))*(IF($D$4+Höjnin1&lt;='4. NPV'!AO$4,TioÅrMedia,0)+IF($D$4+Höjning2&lt;='4. NPV'!AO$4,FemtonÅrMedia,0))+((AO$6*NybMedia+AO$7*BefMedia)*((1+Inflation)^('4. NPV'!AO$5-1))))</f>
        <v>0</v>
      </c>
      <c r="AP23" s="230">
        <f>-(((AP$6*NybMedia+AP$7*BefMedia)*(1+Inflation)^(AP5-1))*(IF($D$4+Höjnin1&lt;='4. NPV'!AP$4,TioÅrMedia,0)+IF($D$4+Höjning2&lt;='4. NPV'!AP$4,FemtonÅrMedia,0))+((AP$6*NybMedia+AP$7*BefMedia)*((1+Inflation)^('4. NPV'!AP$5-1))))</f>
        <v>0</v>
      </c>
      <c r="AQ23" s="230">
        <f>-(((AQ$6*NybMedia+AQ$7*BefMedia)*(1+Inflation)^(AQ5-1))*(IF($D$4+Höjnin1&lt;='4. NPV'!AQ$4,TioÅrMedia,0)+IF($D$4+Höjning2&lt;='4. NPV'!AQ$4,FemtonÅrMedia,0))+((AQ$6*NybMedia+AQ$7*BefMedia)*((1+Inflation)^('4. NPV'!AQ$5-1))))</f>
        <v>0</v>
      </c>
      <c r="AR23" s="230">
        <f>-(((AR$6*NybMedia+AR$7*BefMedia)*(1+Inflation)^(AR5-1))*(IF($D$4+Höjnin1&lt;='4. NPV'!AR$4,TioÅrMedia,0)+IF($D$4+Höjning2&lt;='4. NPV'!AR$4,FemtonÅrMedia,0))+((AR$6*NybMedia+AR$7*BefMedia)*((1+Inflation)^('4. NPV'!AR$5-1))))</f>
        <v>0</v>
      </c>
      <c r="AS23" s="230">
        <f>-(((AS$6*NybMedia+AS$7*BefMedia)*(1+Inflation)^(AS5-1))*(IF($D$4+Höjnin1&lt;='4. NPV'!AS$4,TioÅrMedia,0)+IF($D$4+Höjning2&lt;='4. NPV'!AS$4,FemtonÅrMedia,0))+((AS$6*NybMedia+AS$7*BefMedia)*((1+Inflation)^('4. NPV'!AS$5-1))))</f>
        <v>0</v>
      </c>
      <c r="AT23" s="230">
        <f>-(((AT$6*NybMedia+AT$7*BefMedia)*(1+Inflation)^(AT5-1))*(IF($D$4+Höjnin1&lt;='4. NPV'!AT$4,TioÅrMedia,0)+IF($D$4+Höjning2&lt;='4. NPV'!AT$4,FemtonÅrMedia,0))+((AT$6*NybMedia+AT$7*BefMedia)*((1+Inflation)^('4. NPV'!AT$5-1))))</f>
        <v>0</v>
      </c>
      <c r="AU23" s="230">
        <f>-(((AU$6*NybMedia+AU$7*BefMedia)*(1+Inflation)^(AU5-1))*(IF($D$4+Höjnin1&lt;='4. NPV'!AU$4,TioÅrMedia,0)+IF($D$4+Höjning2&lt;='4. NPV'!AU$4,FemtonÅrMedia,0))+((AU$6*NybMedia+AU$7*BefMedia)*((1+Inflation)^('4. NPV'!AU$5-1))))</f>
        <v>0</v>
      </c>
      <c r="AV23" s="230">
        <f>-(((AV$6*NybMedia+AV$7*BefMedia)*(1+Inflation)^(AV5-1))*(IF($D$4+Höjnin1&lt;='4. NPV'!AV$4,TioÅrMedia,0)+IF($D$4+Höjning2&lt;='4. NPV'!AV$4,FemtonÅrMedia,0))+((AV$6*NybMedia+AV$7*BefMedia)*((1+Inflation)^('4. NPV'!AV$5-1))))</f>
        <v>0</v>
      </c>
      <c r="AW23" s="230">
        <f>-(((AW$6*NybMedia+AW$7*BefMedia)*(1+Inflation)^(AW5-1))*(IF($D$4+Höjnin1&lt;='4. NPV'!AW$4,TioÅrMedia,0)+IF($D$4+Höjning2&lt;='4. NPV'!AW$4,FemtonÅrMedia,0))+((AW$6*NybMedia+AW$7*BefMedia)*((1+Inflation)^('4. NPV'!AW$5-1))))</f>
        <v>0</v>
      </c>
      <c r="AX23" s="230">
        <f>-(((AX$6*NybMedia+AX$7*BefMedia)*(1+Inflation)^(AX5-1))*(IF($D$4+Höjnin1&lt;='4. NPV'!AX$4,TioÅrMedia,0)+IF($D$4+Höjning2&lt;='4. NPV'!AX$4,FemtonÅrMedia,0))+((AX$6*NybMedia+AX$7*BefMedia)*((1+Inflation)^('4. NPV'!AX$5-1))))</f>
        <v>0</v>
      </c>
      <c r="AY23" s="230">
        <f>-(((AY$6*NybMedia+AY$7*BefMedia)*(1+Inflation)^(AY5-1))*(IF($D$4+Höjnin1&lt;='4. NPV'!AY$4,TioÅrMedia,0)+IF($D$4+Höjning2&lt;='4. NPV'!AY$4,FemtonÅrMedia,0))+((AY$6*NybMedia+AY$7*BefMedia)*((1+Inflation)^('4. NPV'!AY$5-1))))</f>
        <v>0</v>
      </c>
      <c r="AZ23" s="230">
        <f>-(((AZ$6*NybMedia+AZ$7*BefMedia)*(1+Inflation)^(AZ5-1))*(IF($D$4+Höjnin1&lt;='4. NPV'!AZ$4,TioÅrMedia,0)+IF($D$4+Höjning2&lt;='4. NPV'!AZ$4,FemtonÅrMedia,0))+((AZ$6*NybMedia+AZ$7*BefMedia)*((1+Inflation)^('4. NPV'!AZ$5-1))))</f>
        <v>0</v>
      </c>
      <c r="BA23" s="230">
        <f>-(((BA$6*NybMedia+BA$7*BefMedia)*(1+Inflation)^(BA5-1))*(IF($D$4+Höjnin1&lt;='4. NPV'!BA$4,TioÅrMedia,0)+IF($D$4+Höjning2&lt;='4. NPV'!BA$4,FemtonÅrMedia,0))+((BA$6*NybMedia+BA$7*BefMedia)*((1+Inflation)^('4. NPV'!BA$5-1))))</f>
        <v>0</v>
      </c>
      <c r="BB23" s="506"/>
    </row>
    <row r="24" spans="2:54">
      <c r="B24" s="229" t="s">
        <v>235</v>
      </c>
      <c r="C24" s="332">
        <f>IFERROR($D24/$C$8,"")</f>
        <v>-405</v>
      </c>
      <c r="D24" s="230">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0">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0">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0">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0">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0">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0">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0">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0">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0">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0">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0">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0">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0">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0">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0">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0">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0">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0">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0">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0">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0">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0">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0">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0">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0">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0">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0">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0">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0">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0">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0">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0">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0">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0">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0">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0">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0">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0">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0">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0">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0">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0">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0">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0">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0">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0">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0">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0">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0">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06"/>
    </row>
    <row r="25" spans="2:54">
      <c r="B25" s="229" t="s">
        <v>236</v>
      </c>
      <c r="C25" s="332">
        <f t="shared" ref="C25:C26" si="7">IFERROR($D25/$C$8,"")</f>
        <v>0</v>
      </c>
      <c r="D25" s="230">
        <f>IF(D$4="",0,IFERROR(-(SUMIF('2. Kalkyldata'!$R$34:$R$39,'4. NPV'!D$4,'2. Kalkyldata'!$W$34:$W$39)),0))</f>
        <v>0</v>
      </c>
      <c r="E25" s="230">
        <f>IF(E$4="",0,IFERROR(-(SUMIF('2. Kalkyldata'!$R$34:$R$39,'4. NPV'!E$4,'2. Kalkyldata'!$W$34:$W$39)),0))</f>
        <v>0</v>
      </c>
      <c r="F25" s="230">
        <f>IF(F$4="",0,IFERROR(-(SUMIF('2. Kalkyldata'!$R$34:$R$39,'4. NPV'!F$4,'2. Kalkyldata'!$W$34:$W$39)),0))</f>
        <v>0</v>
      </c>
      <c r="G25" s="230">
        <f>IF(G$4="",0,IFERROR(-(SUMIF('2. Kalkyldata'!$R$34:$R$39,'4. NPV'!G$4,'2. Kalkyldata'!$W$34:$W$39)),0))</f>
        <v>0</v>
      </c>
      <c r="H25" s="230">
        <f>IF(H$4="",0,IFERROR(-(SUMIF('2. Kalkyldata'!$R$34:$R$39,'4. NPV'!H$4,'2. Kalkyldata'!$W$34:$W$39)),0))</f>
        <v>0</v>
      </c>
      <c r="I25" s="230">
        <f>IF(I$4="",0,IFERROR(-(SUMIF('2. Kalkyldata'!$R$34:$R$39,'4. NPV'!I$4,'2. Kalkyldata'!$W$34:$W$39)),0))</f>
        <v>0</v>
      </c>
      <c r="J25" s="230">
        <f>IF(J$4="",0,IFERROR(-(SUMIF('2. Kalkyldata'!$R$34:$R$39,'4. NPV'!J$4,'2. Kalkyldata'!$W$34:$W$39)),0))</f>
        <v>0</v>
      </c>
      <c r="K25" s="230">
        <f>IF(K$4="",0,IFERROR(-(SUMIF('2. Kalkyldata'!$R$34:$R$39,'4. NPV'!K$4,'2. Kalkyldata'!$W$34:$W$39)),0))</f>
        <v>0</v>
      </c>
      <c r="L25" s="230">
        <f>IF(L$4="",0,IFERROR(-(SUMIF('2. Kalkyldata'!$R$34:$R$39,'4. NPV'!L$4,'2. Kalkyldata'!$W$34:$W$39)),0))</f>
        <v>0</v>
      </c>
      <c r="M25" s="230">
        <f>IF(M$4="",0,IFERROR(-(SUMIF('2. Kalkyldata'!$R$34:$R$39,'4. NPV'!M$4,'2. Kalkyldata'!$W$34:$W$39)),0))</f>
        <v>0</v>
      </c>
      <c r="N25" s="230">
        <f>IF(N$4="",0,IFERROR(-(SUMIF('2. Kalkyldata'!$R$34:$R$39,'4. NPV'!N$4,'2. Kalkyldata'!$W$34:$W$39)),0))</f>
        <v>0</v>
      </c>
      <c r="O25" s="230">
        <f>IF(O$4="",0,IFERROR(-(SUMIF('2. Kalkyldata'!$R$34:$R$39,'4. NPV'!O$4,'2. Kalkyldata'!$W$34:$W$39)),0))</f>
        <v>0</v>
      </c>
      <c r="P25" s="230">
        <f>IF(P$4="",0,IFERROR(-(SUMIF('2. Kalkyldata'!$R$34:$R$39,'4. NPV'!P$4,'2. Kalkyldata'!$W$34:$W$39)),0))</f>
        <v>0</v>
      </c>
      <c r="Q25" s="230">
        <f>IF(Q$4="",0,IFERROR(-(SUMIF('2. Kalkyldata'!$R$34:$R$39,'4. NPV'!Q$4,'2. Kalkyldata'!$W$34:$W$39)),0))</f>
        <v>0</v>
      </c>
      <c r="R25" s="230">
        <f>IF(R$4="",0,IFERROR(-(SUMIF('2. Kalkyldata'!$R$34:$R$39,'4. NPV'!R$4,'2. Kalkyldata'!$W$34:$W$39)),0))</f>
        <v>0</v>
      </c>
      <c r="S25" s="230">
        <f>IF(S$4="",0,IFERROR(-(SUMIF('2. Kalkyldata'!$R$34:$R$39,'4. NPV'!S$4,'2. Kalkyldata'!$W$34:$W$39)),0))</f>
        <v>0</v>
      </c>
      <c r="T25" s="230">
        <f>IF(T$4="",0,IFERROR(-(SUMIF('2. Kalkyldata'!$R$34:$R$39,'4. NPV'!T$4,'2. Kalkyldata'!$W$34:$W$39)),0))</f>
        <v>0</v>
      </c>
      <c r="U25" s="230">
        <f>IF(U$4="",0,IFERROR(-(SUMIF('2. Kalkyldata'!$R$34:$R$39,'4. NPV'!U$4,'2. Kalkyldata'!$W$34:$W$39)),0))</f>
        <v>0</v>
      </c>
      <c r="V25" s="230">
        <f>IF(V$4="",0,IFERROR(-(SUMIF('2. Kalkyldata'!$R$34:$R$39,'4. NPV'!V$4,'2. Kalkyldata'!$W$34:$W$39)),0))</f>
        <v>0</v>
      </c>
      <c r="W25" s="230">
        <f>IF(W$4="",0,IFERROR(-(SUMIF('2. Kalkyldata'!$R$34:$R$39,'4. NPV'!W$4,'2. Kalkyldata'!$W$34:$W$39)),0))</f>
        <v>0</v>
      </c>
      <c r="X25" s="230">
        <f>IF(X$4="",0,IFERROR(-(SUMIF('2. Kalkyldata'!$R$34:$R$39,'4. NPV'!X$4,'2. Kalkyldata'!$W$34:$W$39)),0))</f>
        <v>0</v>
      </c>
      <c r="Y25" s="230">
        <f>IF(Y$4="",0,IFERROR(-(SUMIF('2. Kalkyldata'!$R$34:$R$39,'4. NPV'!Y$4,'2. Kalkyldata'!$W$34:$W$39)),0))</f>
        <v>0</v>
      </c>
      <c r="Z25" s="230">
        <f>IF(Z$4="",0,IFERROR(-(SUMIF('2. Kalkyldata'!$R$34:$R$39,'4. NPV'!Z$4,'2. Kalkyldata'!$W$34:$W$39)),0))</f>
        <v>0</v>
      </c>
      <c r="AA25" s="230">
        <f>IF(AA$4="",0,IFERROR(-(SUMIF('2. Kalkyldata'!$R$34:$R$39,'4. NPV'!AA$4,'2. Kalkyldata'!$W$34:$W$39)),0))</f>
        <v>0</v>
      </c>
      <c r="AB25" s="230">
        <f>IF(AB$4="",0,IFERROR(-(SUMIF('2. Kalkyldata'!$R$34:$R$39,'4. NPV'!AB$4,'2. Kalkyldata'!$W$34:$W$39)),0))</f>
        <v>0</v>
      </c>
      <c r="AC25" s="230">
        <f>IF(AC$4="",0,IFERROR(-(SUMIF('2. Kalkyldata'!$R$34:$R$39,'4. NPV'!AC$4,'2. Kalkyldata'!$W$34:$W$39)),0))</f>
        <v>0</v>
      </c>
      <c r="AD25" s="230">
        <f>IF(AD$4="",0,IFERROR(-(SUMIF('2. Kalkyldata'!$R$34:$R$39,'4. NPV'!AD$4,'2. Kalkyldata'!$W$34:$W$39)),0))</f>
        <v>0</v>
      </c>
      <c r="AE25" s="230">
        <f>IF(AE$4="",0,IFERROR(-(SUMIF('2. Kalkyldata'!$R$34:$R$39,'4. NPV'!AE$4,'2. Kalkyldata'!$W$34:$W$39)),0))</f>
        <v>0</v>
      </c>
      <c r="AF25" s="230">
        <f>IF(AF$4="",0,IFERROR(-(SUMIF('2. Kalkyldata'!$R$34:$R$39,'4. NPV'!AF$4,'2. Kalkyldata'!$W$34:$W$39)),0))</f>
        <v>0</v>
      </c>
      <c r="AG25" s="230">
        <f>IF(AG$4="",0,IFERROR(-(SUMIF('2. Kalkyldata'!$R$34:$R$39,'4. NPV'!AG$4,'2. Kalkyldata'!$W$34:$W$39)),0))</f>
        <v>0</v>
      </c>
      <c r="AH25" s="230">
        <f>IF(AH$4="",0,IFERROR(-(SUMIF('2. Kalkyldata'!$R$34:$R$39,'4. NPV'!AH$4,'2. Kalkyldata'!$W$34:$W$39)),0))</f>
        <v>0</v>
      </c>
      <c r="AI25" s="230">
        <f>IF(AI$4="",0,IFERROR(-(SUMIF('2. Kalkyldata'!$R$34:$R$39,'4. NPV'!AI$4,'2. Kalkyldata'!$W$34:$W$39)),0))</f>
        <v>0</v>
      </c>
      <c r="AJ25" s="230">
        <f>IF(AJ$4="",0,IFERROR(-(SUMIF('2. Kalkyldata'!$R$34:$R$39,'4. NPV'!AJ$4,'2. Kalkyldata'!$W$34:$W$39)),0))</f>
        <v>0</v>
      </c>
      <c r="AK25" s="230">
        <f>IF(AK$4="",0,IFERROR(-(SUMIF('2. Kalkyldata'!$R$34:$R$39,'4. NPV'!AK$4,'2. Kalkyldata'!$W$34:$W$39)),0))</f>
        <v>0</v>
      </c>
      <c r="AL25" s="230">
        <f>IF(AL$4="",0,IFERROR(-(SUMIF('2. Kalkyldata'!$R$34:$R$39,'4. NPV'!AL$4,'2. Kalkyldata'!$W$34:$W$39)),0))</f>
        <v>0</v>
      </c>
      <c r="AM25" s="230">
        <f>IF(AM$4="",0,IFERROR(-(SUMIF('2. Kalkyldata'!$R$34:$R$39,'4. NPV'!AM$4,'2. Kalkyldata'!$W$34:$W$39)),0))</f>
        <v>0</v>
      </c>
      <c r="AN25" s="230">
        <f>IF(AN$4="",0,IFERROR(-(SUMIF('2. Kalkyldata'!$R$34:$R$39,'4. NPV'!AN$4,'2. Kalkyldata'!$W$34:$W$39)),0))</f>
        <v>0</v>
      </c>
      <c r="AO25" s="230">
        <f>IF(AO$4="",0,IFERROR(-(SUMIF('2. Kalkyldata'!$R$34:$R$39,'4. NPV'!AO$4,'2. Kalkyldata'!$W$34:$W$39)),0))</f>
        <v>0</v>
      </c>
      <c r="AP25" s="230">
        <f>IF(AP$4="",0,IFERROR(-(SUMIF('2. Kalkyldata'!$R$34:$R$39,'4. NPV'!AP$4,'2. Kalkyldata'!$W$34:$W$39)),0))</f>
        <v>0</v>
      </c>
      <c r="AQ25" s="230">
        <f>IF(AQ$4="",0,IFERROR(-(SUMIF('2. Kalkyldata'!$R$34:$R$39,'4. NPV'!AQ$4,'2. Kalkyldata'!$W$34:$W$39)),0))</f>
        <v>0</v>
      </c>
      <c r="AR25" s="230">
        <f>IF(AR$4="",0,IFERROR(-(SUMIF('2. Kalkyldata'!$R$34:$R$39,'4. NPV'!AR$4,'2. Kalkyldata'!$W$34:$W$39)),0))</f>
        <v>0</v>
      </c>
      <c r="AS25" s="230">
        <f>IF(AS$4="",0,IFERROR(-(SUMIF('2. Kalkyldata'!$R$34:$R$39,'4. NPV'!AS$4,'2. Kalkyldata'!$W$34:$W$39)),0))</f>
        <v>0</v>
      </c>
      <c r="AT25" s="230">
        <f>IF(AT$4="",0,IFERROR(-(SUMIF('2. Kalkyldata'!$R$34:$R$39,'4. NPV'!AT$4,'2. Kalkyldata'!$W$34:$W$39)),0))</f>
        <v>0</v>
      </c>
      <c r="AU25" s="230">
        <f>IF(AU$4="",0,IFERROR(-(SUMIF('2. Kalkyldata'!$R$34:$R$39,'4. NPV'!AU$4,'2. Kalkyldata'!$W$34:$W$39)),0))</f>
        <v>0</v>
      </c>
      <c r="AV25" s="230">
        <f>IF(AV$4="",0,IFERROR(-(SUMIF('2. Kalkyldata'!$R$34:$R$39,'4. NPV'!AV$4,'2. Kalkyldata'!$W$34:$W$39)),0))</f>
        <v>0</v>
      </c>
      <c r="AW25" s="230">
        <f>IF(AW$4="",0,IFERROR(-(SUMIF('2. Kalkyldata'!$R$34:$R$39,'4. NPV'!AW$4,'2. Kalkyldata'!$W$34:$W$39)),0))</f>
        <v>0</v>
      </c>
      <c r="AX25" s="230">
        <f>IF(AX$4="",0,IFERROR(-(SUMIF('2. Kalkyldata'!$R$34:$R$39,'4. NPV'!AX$4,'2. Kalkyldata'!$W$34:$W$39)),0))</f>
        <v>0</v>
      </c>
      <c r="AY25" s="230">
        <f>IF(AY$4="",0,IFERROR(-(SUMIF('2. Kalkyldata'!$R$34:$R$39,'4. NPV'!AY$4,'2. Kalkyldata'!$W$34:$W$39)),0))</f>
        <v>0</v>
      </c>
      <c r="AZ25" s="230">
        <f>IF(AZ$4="",0,IFERROR(-(SUMIF('2. Kalkyldata'!$R$34:$R$39,'4. NPV'!AZ$4,'2. Kalkyldata'!$W$34:$W$39)),0))</f>
        <v>0</v>
      </c>
      <c r="BA25" s="230">
        <f>IF(BA$4="",0,IFERROR(-(SUMIF('2. Kalkyldata'!$R$34:$R$39,'4. NPV'!BA$4,'2. Kalkyldata'!$W$34:$W$39)),0))</f>
        <v>0</v>
      </c>
      <c r="BB25" s="506"/>
    </row>
    <row r="26" spans="2:54" s="19" customFormat="1" ht="15">
      <c r="B26" s="421" t="s">
        <v>237</v>
      </c>
      <c r="C26" s="422">
        <f t="shared" si="7"/>
        <v>-405</v>
      </c>
      <c r="D26" s="423">
        <f>SUM(D20:D25)</f>
        <v>-2470500</v>
      </c>
      <c r="E26" s="423">
        <f t="shared" ref="E26:BA26" si="8">SUM(E20:E25)</f>
        <v>-2519910</v>
      </c>
      <c r="F26" s="423">
        <f t="shared" si="8"/>
        <v>-2570308.2000000002</v>
      </c>
      <c r="G26" s="423">
        <f t="shared" si="8"/>
        <v>-2621714.3639999996</v>
      </c>
      <c r="H26" s="423">
        <f t="shared" si="8"/>
        <v>-2674148.6512799999</v>
      </c>
      <c r="I26" s="423">
        <f t="shared" si="8"/>
        <v>-2727631.6243055998</v>
      </c>
      <c r="J26" s="423">
        <f t="shared" si="8"/>
        <v>-2782184.2567917123</v>
      </c>
      <c r="K26" s="423">
        <f t="shared" si="8"/>
        <v>-2837827.9419275457</v>
      </c>
      <c r="L26" s="423">
        <f t="shared" si="8"/>
        <v>-2894584.5007660971</v>
      </c>
      <c r="M26" s="423">
        <f t="shared" si="8"/>
        <v>-2952476.1907814187</v>
      </c>
      <c r="N26" s="423">
        <f t="shared" si="8"/>
        <v>-3011525.7145970473</v>
      </c>
      <c r="O26" s="423">
        <f t="shared" si="8"/>
        <v>-3071756.228888988</v>
      </c>
      <c r="P26" s="423">
        <f t="shared" si="8"/>
        <v>-3133191.3534667683</v>
      </c>
      <c r="Q26" s="423">
        <f t="shared" si="8"/>
        <v>-3195855.1805361034</v>
      </c>
      <c r="R26" s="423">
        <f t="shared" si="8"/>
        <v>-3259772.2841468258</v>
      </c>
      <c r="S26" s="423">
        <f t="shared" si="8"/>
        <v>-3324967.7298297612</v>
      </c>
      <c r="T26" s="423">
        <f t="shared" si="8"/>
        <v>-3391467.0844263569</v>
      </c>
      <c r="U26" s="423">
        <f t="shared" si="8"/>
        <v>-3459296.4261148847</v>
      </c>
      <c r="V26" s="423">
        <f t="shared" si="8"/>
        <v>-3528482.3546371819</v>
      </c>
      <c r="W26" s="423">
        <f t="shared" si="8"/>
        <v>-3599052.0017299252</v>
      </c>
      <c r="X26" s="423">
        <f t="shared" si="8"/>
        <v>-3671033.0417645243</v>
      </c>
      <c r="Y26" s="423">
        <f t="shared" si="8"/>
        <v>0</v>
      </c>
      <c r="Z26" s="423">
        <f t="shared" si="8"/>
        <v>0</v>
      </c>
      <c r="AA26" s="423">
        <f t="shared" si="8"/>
        <v>0</v>
      </c>
      <c r="AB26" s="423">
        <f t="shared" si="8"/>
        <v>0</v>
      </c>
      <c r="AC26" s="423">
        <f t="shared" si="8"/>
        <v>0</v>
      </c>
      <c r="AD26" s="423">
        <f t="shared" si="8"/>
        <v>0</v>
      </c>
      <c r="AE26" s="423">
        <f t="shared" si="8"/>
        <v>0</v>
      </c>
      <c r="AF26" s="423">
        <f t="shared" si="8"/>
        <v>0</v>
      </c>
      <c r="AG26" s="423">
        <f t="shared" si="8"/>
        <v>0</v>
      </c>
      <c r="AH26" s="423">
        <f t="shared" si="8"/>
        <v>0</v>
      </c>
      <c r="AI26" s="423">
        <f t="shared" si="8"/>
        <v>0</v>
      </c>
      <c r="AJ26" s="423">
        <f t="shared" si="8"/>
        <v>0</v>
      </c>
      <c r="AK26" s="423">
        <f t="shared" si="8"/>
        <v>0</v>
      </c>
      <c r="AL26" s="423">
        <f t="shared" si="8"/>
        <v>0</v>
      </c>
      <c r="AM26" s="423">
        <f t="shared" si="8"/>
        <v>0</v>
      </c>
      <c r="AN26" s="423">
        <f t="shared" si="8"/>
        <v>0</v>
      </c>
      <c r="AO26" s="423">
        <f t="shared" si="8"/>
        <v>0</v>
      </c>
      <c r="AP26" s="423">
        <f t="shared" si="8"/>
        <v>0</v>
      </c>
      <c r="AQ26" s="423">
        <f t="shared" si="8"/>
        <v>0</v>
      </c>
      <c r="AR26" s="423">
        <f t="shared" si="8"/>
        <v>0</v>
      </c>
      <c r="AS26" s="423">
        <f t="shared" si="8"/>
        <v>0</v>
      </c>
      <c r="AT26" s="423">
        <f t="shared" si="8"/>
        <v>0</v>
      </c>
      <c r="AU26" s="423">
        <f t="shared" si="8"/>
        <v>0</v>
      </c>
      <c r="AV26" s="423">
        <f t="shared" si="8"/>
        <v>0</v>
      </c>
      <c r="AW26" s="423">
        <f t="shared" si="8"/>
        <v>0</v>
      </c>
      <c r="AX26" s="423">
        <f t="shared" si="8"/>
        <v>0</v>
      </c>
      <c r="AY26" s="423">
        <f t="shared" si="8"/>
        <v>0</v>
      </c>
      <c r="AZ26" s="423">
        <f t="shared" si="8"/>
        <v>0</v>
      </c>
      <c r="BA26" s="423">
        <f t="shared" si="8"/>
        <v>0</v>
      </c>
      <c r="BB26" s="506"/>
    </row>
    <row r="27" spans="2:54" s="19" customFormat="1" ht="15">
      <c r="B27" s="229" t="s">
        <v>124</v>
      </c>
      <c r="C27" s="332">
        <f>IFERROR($D27/$C$8,"")</f>
        <v>0</v>
      </c>
      <c r="D27" s="333">
        <f>(IF(D$4="",0,-IF(LOOKUP(D$4,'2. Kalkyldata'!$P$5:$R$5,'2. Kalkyldata'!$P$7:$R$7)=0,0,LOOKUP(D$4,'2. Kalkyldata'!$P$5:$R$5,'2. Kalkyldata'!$P$7:$R$7)))*((1+'2. Kalkyldata'!$M$9)^(D$4-$D$4)))*'2. Kalkyldata'!$P$8</f>
        <v>0</v>
      </c>
      <c r="E27" s="333">
        <f>IF(E$4="",0,-IF(LOOKUP(E$4,'2. Kalkyldata'!$P$5:$R$5,'2. Kalkyldata'!$P$7:$R$7)=0,-D$27,LOOKUP(E$4,'2. Kalkyldata'!$P$5:$R$5,'2. Kalkyldata'!$P$7:$R$7))*((1+'2. Kalkyldata'!$M$9)^(E$4-$D$4)))*'2. Kalkyldata'!$P$8</f>
        <v>0</v>
      </c>
      <c r="F27" s="333">
        <f>IF(F$4="",0,-IF(LOOKUP(F$4,'2. Kalkyldata'!$P$5:$R$5,'2. Kalkyldata'!$P$7:$R$7)=0,-E$27,LOOKUP(F$4,'2. Kalkyldata'!$P$5:$R$5,'2. Kalkyldata'!$P$7:$R$7))*((1+'2. Kalkyldata'!$M$9)^(F$4-$D$4)))*'2. Kalkyldata'!$P$8</f>
        <v>0</v>
      </c>
      <c r="G27" s="333">
        <f>IF(G$4="",0,-IF(LOOKUP(G$4,'2. Kalkyldata'!$P$5:$R$5,'2. Kalkyldata'!$P$7:$R$7)=0,-F$27,LOOKUP(G$4,'2. Kalkyldata'!$P$5:$R$5,'2. Kalkyldata'!$P$7:$R$7))*((1+'2. Kalkyldata'!$M$9)^(G$4-$D$4)))*'2. Kalkyldata'!$P$8</f>
        <v>0</v>
      </c>
      <c r="H27" s="333">
        <f>IF(H$4="",0,-IF(LOOKUP(H$4,'2. Kalkyldata'!$P$5:$R$5,'2. Kalkyldata'!$P$7:$R$7)=0,-G$27,LOOKUP(H$4,'2. Kalkyldata'!$P$5:$R$5,'2. Kalkyldata'!$P$7:$R$7))*((1+'2. Kalkyldata'!$M$9)^(H$4-$D$4)))*'2. Kalkyldata'!$P$8</f>
        <v>0</v>
      </c>
      <c r="I27" s="333">
        <f>IF(I$4="",0,-IF(LOOKUP(I$4,'2. Kalkyldata'!$P$5:$R$5,'2. Kalkyldata'!$P$7:$R$7)=0,-H$27,LOOKUP(I$4,'2. Kalkyldata'!$P$5:$R$5,'2. Kalkyldata'!$P$7:$R$7))*((1+'2. Kalkyldata'!$M$9)^(I$4-$D$4)))*'2. Kalkyldata'!$P$8</f>
        <v>0</v>
      </c>
      <c r="J27" s="333">
        <f>IF(J$4="",0,-IF(LOOKUP(J$4,'2. Kalkyldata'!$P$5:$R$5,'2. Kalkyldata'!$P$7:$R$7)=0,-I$27,LOOKUP(J$4,'2. Kalkyldata'!$P$5:$R$5,'2. Kalkyldata'!$P$7:$R$7))*((1+'2. Kalkyldata'!$M$9)^(J$4-$D$4)))*'2. Kalkyldata'!$P$8</f>
        <v>0</v>
      </c>
      <c r="K27" s="333">
        <f>IF(K$4="",0,-IF(LOOKUP(K$4,'2. Kalkyldata'!$P$5:$R$5,'2. Kalkyldata'!$P$7:$R$7)=0,-J$27,LOOKUP(K$4,'2. Kalkyldata'!$P$5:$R$5,'2. Kalkyldata'!$P$7:$R$7))*((1+'2. Kalkyldata'!$M$9)^(K$4-$D$4)))*'2. Kalkyldata'!$P$8</f>
        <v>0</v>
      </c>
      <c r="L27" s="333">
        <f>IF(L$4="",0,-IF(LOOKUP(L$4,'2. Kalkyldata'!$P$5:$R$5,'2. Kalkyldata'!$P$7:$R$7)=0,-K$27,LOOKUP(L$4,'2. Kalkyldata'!$P$5:$R$5,'2. Kalkyldata'!$P$7:$R$7))*((1+'2. Kalkyldata'!$M$9)^(L$4-$D$4)))*'2. Kalkyldata'!$P$8</f>
        <v>0</v>
      </c>
      <c r="M27" s="333">
        <f>IF(M$4="",0,-IF(LOOKUP(M$4,'2. Kalkyldata'!$P$5:$R$5,'2. Kalkyldata'!$P$7:$R$7)=0,-L$27,LOOKUP(M$4,'2. Kalkyldata'!$P$5:$R$5,'2. Kalkyldata'!$P$7:$R$7))*((1+'2. Kalkyldata'!$M$9)^(M$4-$D$4)))*'2. Kalkyldata'!$P$8</f>
        <v>0</v>
      </c>
      <c r="N27" s="333">
        <f>IF(N$4="",0,-IF(LOOKUP(N$4,'2. Kalkyldata'!$P$5:$R$5,'2. Kalkyldata'!$P$7:$R$7)=0,-M$27,LOOKUP(N$4,'2. Kalkyldata'!$P$5:$R$5,'2. Kalkyldata'!$P$7:$R$7))*((1+'2. Kalkyldata'!$M$9)^(N$4-$D$4)))*'2. Kalkyldata'!$P$8</f>
        <v>0</v>
      </c>
      <c r="O27" s="333">
        <f>IF(O$4="",0,-IF(LOOKUP(O$4,'2. Kalkyldata'!$P$5:$R$5,'2. Kalkyldata'!$P$7:$R$7)=0,-N$27,LOOKUP(O$4,'2. Kalkyldata'!$P$5:$R$5,'2. Kalkyldata'!$P$7:$R$7))*((1+'2. Kalkyldata'!$M$9)^(O$4-$D$4)))*'2. Kalkyldata'!$P$8</f>
        <v>0</v>
      </c>
      <c r="P27" s="333">
        <f>IF(P$4="",0,-IF(LOOKUP(P$4,'2. Kalkyldata'!$P$5:$R$5,'2. Kalkyldata'!$P$7:$R$7)=0,-O$27,LOOKUP(P$4,'2. Kalkyldata'!$P$5:$R$5,'2. Kalkyldata'!$P$7:$R$7))*((1+'2. Kalkyldata'!$M$9)^(P$4-$D$4)))*'2. Kalkyldata'!$P$8</f>
        <v>0</v>
      </c>
      <c r="Q27" s="333">
        <f>IF(Q$4="",0,-IF(LOOKUP(Q$4,'2. Kalkyldata'!$P$5:$R$5,'2. Kalkyldata'!$P$7:$R$7)=0,-P$27,LOOKUP(Q$4,'2. Kalkyldata'!$P$5:$R$5,'2. Kalkyldata'!$P$7:$R$7))*((1+'2. Kalkyldata'!$M$9)^(Q$4-$D$4)))*'2. Kalkyldata'!$P$8</f>
        <v>0</v>
      </c>
      <c r="R27" s="333">
        <f>IF(R$4="",0,-IF(LOOKUP(R$4,'2. Kalkyldata'!$P$5:$R$5,'2. Kalkyldata'!$P$7:$R$7)=0,-Q$27,LOOKUP(R$4,'2. Kalkyldata'!$P$5:$R$5,'2. Kalkyldata'!$P$7:$R$7))*((1+'2. Kalkyldata'!$M$9)^(R$4-$D$4)))*'2. Kalkyldata'!$P$8</f>
        <v>0</v>
      </c>
      <c r="S27" s="333">
        <f>IF(S$4="",0,-IF(LOOKUP(S$4,'2. Kalkyldata'!$P$5:$R$5,'2. Kalkyldata'!$P$7:$R$7)=0,-R$27,LOOKUP(S$4,'2. Kalkyldata'!$P$5:$R$5,'2. Kalkyldata'!$P$7:$R$7))*((1+'2. Kalkyldata'!$M$9)^(S$4-$D$4)))*'2. Kalkyldata'!$P$8</f>
        <v>0</v>
      </c>
      <c r="T27" s="333">
        <f>IF(T$4="",0,-IF(LOOKUP(T$4,'2. Kalkyldata'!$P$5:$R$5,'2. Kalkyldata'!$P$7:$R$7)=0,-S$27,LOOKUP(T$4,'2. Kalkyldata'!$P$5:$R$5,'2. Kalkyldata'!$P$7:$R$7))*((1+'2. Kalkyldata'!$M$9)^(T$4-$D$4)))*'2. Kalkyldata'!$P$8</f>
        <v>0</v>
      </c>
      <c r="U27" s="333">
        <f>IF(U$4="",0,-IF(LOOKUP(U$4,'2. Kalkyldata'!$P$5:$R$5,'2. Kalkyldata'!$P$7:$R$7)=0,-T$27,LOOKUP(U$4,'2. Kalkyldata'!$P$5:$R$5,'2. Kalkyldata'!$P$7:$R$7))*((1+'2. Kalkyldata'!$M$9)^(U$4-$D$4)))*'2. Kalkyldata'!$P$8</f>
        <v>0</v>
      </c>
      <c r="V27" s="333">
        <f>IF(V$4="",0,-IF(LOOKUP(V$4,'2. Kalkyldata'!$P$5:$R$5,'2. Kalkyldata'!$P$7:$R$7)=0,-U$27,LOOKUP(V$4,'2. Kalkyldata'!$P$5:$R$5,'2. Kalkyldata'!$P$7:$R$7))*((1+'2. Kalkyldata'!$M$9)^(V$4-$D$4)))*'2. Kalkyldata'!$P$8</f>
        <v>0</v>
      </c>
      <c r="W27" s="333">
        <f>IF(W$4="",0,-IF(LOOKUP(W$4,'2. Kalkyldata'!$P$5:$R$5,'2. Kalkyldata'!$P$7:$R$7)=0,-V$27,LOOKUP(W$4,'2. Kalkyldata'!$P$5:$R$5,'2. Kalkyldata'!$P$7:$R$7))*((1+'2. Kalkyldata'!$M$9)^(W$4-$D$4)))*'2. Kalkyldata'!$P$8</f>
        <v>0</v>
      </c>
      <c r="X27" s="333">
        <f>IF(X$4="",0,-IF(LOOKUP(X$4,'2. Kalkyldata'!$P$5:$R$5,'2. Kalkyldata'!$P$7:$R$7)=0,-W$27,LOOKUP(X$4,'2. Kalkyldata'!$P$5:$R$5,'2. Kalkyldata'!$P$7:$R$7))*((1+'2. Kalkyldata'!$M$9)^(X$4-$D$4)))*'2. Kalkyldata'!$P$8</f>
        <v>0</v>
      </c>
      <c r="Y27" s="333">
        <f>IF(Y$4="",0,-IF(LOOKUP(Y$4,'2. Kalkyldata'!$P$5:$R$5,'2. Kalkyldata'!$P$7:$R$7)=0,-X$27,LOOKUP(Y$4,'2. Kalkyldata'!$P$5:$R$5,'2. Kalkyldata'!$P$7:$R$7))*((1+'2. Kalkyldata'!$M$9)^(Y$4-$D$4)))*'2. Kalkyldata'!$P$8</f>
        <v>0</v>
      </c>
      <c r="Z27" s="333">
        <f>IF(Z$4="",0,-IF(LOOKUP(Z$4,'2. Kalkyldata'!$P$5:$R$5,'2. Kalkyldata'!$P$7:$R$7)=0,-Y$27,LOOKUP(Z$4,'2. Kalkyldata'!$P$5:$R$5,'2. Kalkyldata'!$P$7:$R$7))*((1+'2. Kalkyldata'!$M$9)^(Z$4-$D$4)))*'2. Kalkyldata'!$P$8</f>
        <v>0</v>
      </c>
      <c r="AA27" s="333">
        <f>IF(AA$4="",0,-IF(LOOKUP(AA$4,'2. Kalkyldata'!$P$5:$R$5,'2. Kalkyldata'!$P$7:$R$7)=0,-Z$27,LOOKUP(AA$4,'2. Kalkyldata'!$P$5:$R$5,'2. Kalkyldata'!$P$7:$R$7))*((1+'2. Kalkyldata'!$M$9)^(AA$4-$D$4)))*'2. Kalkyldata'!$P$8</f>
        <v>0</v>
      </c>
      <c r="AB27" s="333">
        <f>IF(AB$4="",0,-IF(LOOKUP(AB$4,'2. Kalkyldata'!$P$5:$R$5,'2. Kalkyldata'!$P$7:$R$7)=0,-AA$27,LOOKUP(AB$4,'2. Kalkyldata'!$P$5:$R$5,'2. Kalkyldata'!$P$7:$R$7))*((1+'2. Kalkyldata'!$M$9)^(AB$4-$D$4)))*'2. Kalkyldata'!$P$8</f>
        <v>0</v>
      </c>
      <c r="AC27" s="333">
        <f>IF(AC$4="",0,-IF(LOOKUP(AC$4,'2. Kalkyldata'!$P$5:$R$5,'2. Kalkyldata'!$P$7:$R$7)=0,-AB$27,LOOKUP(AC$4,'2. Kalkyldata'!$P$5:$R$5,'2. Kalkyldata'!$P$7:$R$7))*((1+'2. Kalkyldata'!$M$9)^(AC$4-$D$4)))*'2. Kalkyldata'!$P$8</f>
        <v>0</v>
      </c>
      <c r="AD27" s="333">
        <f>IF(AD$4="",0,-IF(LOOKUP(AD$4,'2. Kalkyldata'!$P$5:$R$5,'2. Kalkyldata'!$P$7:$R$7)=0,-AC$27,LOOKUP(AD$4,'2. Kalkyldata'!$P$5:$R$5,'2. Kalkyldata'!$P$7:$R$7))*((1+'2. Kalkyldata'!$M$9)^(AD$4-$D$4)))*'2. Kalkyldata'!$P$8</f>
        <v>0</v>
      </c>
      <c r="AE27" s="333">
        <f>IF(AE$4="",0,-IF(LOOKUP(AE$4,'2. Kalkyldata'!$P$5:$R$5,'2. Kalkyldata'!$P$7:$R$7)=0,-AD$27,LOOKUP(AE$4,'2. Kalkyldata'!$P$5:$R$5,'2. Kalkyldata'!$P$7:$R$7))*((1+'2. Kalkyldata'!$M$9)^(AE$4-$D$4)))*'2. Kalkyldata'!$P$8</f>
        <v>0</v>
      </c>
      <c r="AF27" s="333">
        <f>IF(AF$4="",0,-IF(LOOKUP(AF$4,'2. Kalkyldata'!$P$5:$R$5,'2. Kalkyldata'!$P$7:$R$7)=0,-AE$27,LOOKUP(AF$4,'2. Kalkyldata'!$P$5:$R$5,'2. Kalkyldata'!$P$7:$R$7))*((1+'2. Kalkyldata'!$M$9)^(AF$4-$D$4)))*'2. Kalkyldata'!$P$8</f>
        <v>0</v>
      </c>
      <c r="AG27" s="333">
        <f>IF(AG$4="",0,-IF(LOOKUP(AG$4,'2. Kalkyldata'!$P$5:$R$5,'2. Kalkyldata'!$P$7:$R$7)=0,-AF$27,LOOKUP(AG$4,'2. Kalkyldata'!$P$5:$R$5,'2. Kalkyldata'!$P$7:$R$7))*((1+'2. Kalkyldata'!$M$9)^(AG$4-$D$4)))*'2. Kalkyldata'!$P$8</f>
        <v>0</v>
      </c>
      <c r="AH27" s="333">
        <f>IF(AH$4="",0,-IF(LOOKUP(AH$4,'2. Kalkyldata'!$P$5:$R$5,'2. Kalkyldata'!$P$7:$R$7)=0,-AG$27,LOOKUP(AH$4,'2. Kalkyldata'!$P$5:$R$5,'2. Kalkyldata'!$P$7:$R$7))*((1+'2. Kalkyldata'!$M$9)^(AH$4-$D$4)))*'2. Kalkyldata'!$P$8</f>
        <v>0</v>
      </c>
      <c r="AI27" s="333">
        <f>IF(AI$4="",0,-IF(LOOKUP(AI$4,'2. Kalkyldata'!$P$5:$R$5,'2. Kalkyldata'!$P$7:$R$7)=0,-AH$27,LOOKUP(AI$4,'2. Kalkyldata'!$P$5:$R$5,'2. Kalkyldata'!$P$7:$R$7))*((1+'2. Kalkyldata'!$M$9)^(AI$4-$D$4)))*'2. Kalkyldata'!$P$8</f>
        <v>0</v>
      </c>
      <c r="AJ27" s="333">
        <f>IF(AJ$4="",0,-IF(LOOKUP(AJ$4,'2. Kalkyldata'!$P$5:$R$5,'2. Kalkyldata'!$P$7:$R$7)=0,-AI$27,LOOKUP(AJ$4,'2. Kalkyldata'!$P$5:$R$5,'2. Kalkyldata'!$P$7:$R$7))*((1+'2. Kalkyldata'!$M$9)^(AJ$4-$D$4)))*'2. Kalkyldata'!$P$8</f>
        <v>0</v>
      </c>
      <c r="AK27" s="333">
        <f>IF(AK$4="",0,-IF(LOOKUP(AK$4,'2. Kalkyldata'!$P$5:$R$5,'2. Kalkyldata'!$P$7:$R$7)=0,-AJ$27,LOOKUP(AK$4,'2. Kalkyldata'!$P$5:$R$5,'2. Kalkyldata'!$P$7:$R$7))*((1+'2. Kalkyldata'!$M$9)^(AK$4-$D$4)))*'2. Kalkyldata'!$P$8</f>
        <v>0</v>
      </c>
      <c r="AL27" s="333">
        <f>IF(AL$4="",0,-IF(LOOKUP(AL$4,'2. Kalkyldata'!$P$5:$R$5,'2. Kalkyldata'!$P$7:$R$7)=0,-AK$27,LOOKUP(AL$4,'2. Kalkyldata'!$P$5:$R$5,'2. Kalkyldata'!$P$7:$R$7))*((1+'2. Kalkyldata'!$M$9)^(AL$4-$D$4)))*'2. Kalkyldata'!$P$8</f>
        <v>0</v>
      </c>
      <c r="AM27" s="333">
        <f>IF(AM$4="",0,-IF(LOOKUP(AM$4,'2. Kalkyldata'!$P$5:$R$5,'2. Kalkyldata'!$P$7:$R$7)=0,-AL$27,LOOKUP(AM$4,'2. Kalkyldata'!$P$5:$R$5,'2. Kalkyldata'!$P$7:$R$7))*((1+'2. Kalkyldata'!$M$9)^(AM$4-$D$4)))*'2. Kalkyldata'!$P$8</f>
        <v>0</v>
      </c>
      <c r="AN27" s="333">
        <f>IF(AN$4="",0,-IF(LOOKUP(AN$4,'2. Kalkyldata'!$P$5:$R$5,'2. Kalkyldata'!$P$7:$R$7)=0,-AM$27,LOOKUP(AN$4,'2. Kalkyldata'!$P$5:$R$5,'2. Kalkyldata'!$P$7:$R$7))*((1+'2. Kalkyldata'!$M$9)^(AN$4-$D$4)))*'2. Kalkyldata'!$P$8</f>
        <v>0</v>
      </c>
      <c r="AO27" s="333">
        <f>IF(AO$4="",0,-IF(LOOKUP(AO$4,'2. Kalkyldata'!$P$5:$R$5,'2. Kalkyldata'!$P$7:$R$7)=0,-AN$27,LOOKUP(AO$4,'2. Kalkyldata'!$P$5:$R$5,'2. Kalkyldata'!$P$7:$R$7))*((1+'2. Kalkyldata'!$M$9)^(AO$4-$D$4)))*'2. Kalkyldata'!$P$8</f>
        <v>0</v>
      </c>
      <c r="AP27" s="333">
        <f>IF(AP$4="",0,-IF(LOOKUP(AP$4,'2. Kalkyldata'!$P$5:$R$5,'2. Kalkyldata'!$P$7:$R$7)=0,-AO$27,LOOKUP(AP$4,'2. Kalkyldata'!$P$5:$R$5,'2. Kalkyldata'!$P$7:$R$7))*((1+'2. Kalkyldata'!$M$9)^(AP$4-$D$4)))*'2. Kalkyldata'!$P$8</f>
        <v>0</v>
      </c>
      <c r="AQ27" s="333">
        <f>IF(AQ$4="",0,-IF(LOOKUP(AQ$4,'2. Kalkyldata'!$P$5:$R$5,'2. Kalkyldata'!$P$7:$R$7)=0,-AP$27,LOOKUP(AQ$4,'2. Kalkyldata'!$P$5:$R$5,'2. Kalkyldata'!$P$7:$R$7))*((1+'2. Kalkyldata'!$M$9)^(AQ$4-$D$4)))*'2. Kalkyldata'!$P$8</f>
        <v>0</v>
      </c>
      <c r="AR27" s="333">
        <f>IF(AR$4="",0,-IF(LOOKUP(AR$4,'2. Kalkyldata'!$P$5:$R$5,'2. Kalkyldata'!$P$7:$R$7)=0,-AQ$27,LOOKUP(AR$4,'2. Kalkyldata'!$P$5:$R$5,'2. Kalkyldata'!$P$7:$R$7))*((1+'2. Kalkyldata'!$M$9)^(AR$4-$D$4)))*'2. Kalkyldata'!$P$8</f>
        <v>0</v>
      </c>
      <c r="AS27" s="333">
        <f>IF(AS$4="",0,-IF(LOOKUP(AS$4,'2. Kalkyldata'!$P$5:$R$5,'2. Kalkyldata'!$P$7:$R$7)=0,-AR$27,LOOKUP(AS$4,'2. Kalkyldata'!$P$5:$R$5,'2. Kalkyldata'!$P$7:$R$7))*((1+'2. Kalkyldata'!$M$9)^(AS$4-$D$4)))*'2. Kalkyldata'!$P$8</f>
        <v>0</v>
      </c>
      <c r="AT27" s="333">
        <f>IF(AT$4="",0,-IF(LOOKUP(AT$4,'2. Kalkyldata'!$P$5:$R$5,'2. Kalkyldata'!$P$7:$R$7)=0,-AS$27,LOOKUP(AT$4,'2. Kalkyldata'!$P$5:$R$5,'2. Kalkyldata'!$P$7:$R$7))*((1+'2. Kalkyldata'!$M$9)^(AT$4-$D$4)))*'2. Kalkyldata'!$P$8</f>
        <v>0</v>
      </c>
      <c r="AU27" s="333">
        <f>IF(AU$4="",0,-IF(LOOKUP(AU$4,'2. Kalkyldata'!$P$5:$R$5,'2. Kalkyldata'!$P$7:$R$7)=0,-AT$27,LOOKUP(AU$4,'2. Kalkyldata'!$P$5:$R$5,'2. Kalkyldata'!$P$7:$R$7))*((1+'2. Kalkyldata'!$M$9)^(AU$4-$D$4)))*'2. Kalkyldata'!$P$8</f>
        <v>0</v>
      </c>
      <c r="AV27" s="333">
        <f>IF(AV$4="",0,-IF(LOOKUP(AV$4,'2. Kalkyldata'!$P$5:$R$5,'2. Kalkyldata'!$P$7:$R$7)=0,-AU$27,LOOKUP(AV$4,'2. Kalkyldata'!$P$5:$R$5,'2. Kalkyldata'!$P$7:$R$7))*((1+'2. Kalkyldata'!$M$9)^(AV$4-$D$4)))*'2. Kalkyldata'!$P$8</f>
        <v>0</v>
      </c>
      <c r="AW27" s="333">
        <f>IF(AW$4="",0,-IF(LOOKUP(AW$4,'2. Kalkyldata'!$P$5:$R$5,'2. Kalkyldata'!$P$7:$R$7)=0,-AV$27,LOOKUP(AW$4,'2. Kalkyldata'!$P$5:$R$5,'2. Kalkyldata'!$P$7:$R$7))*((1+'2. Kalkyldata'!$M$9)^(AW$4-$D$4)))*'2. Kalkyldata'!$P$8</f>
        <v>0</v>
      </c>
      <c r="AX27" s="333">
        <f>IF(AX$4="",0,-IF(LOOKUP(AX$4,'2. Kalkyldata'!$P$5:$R$5,'2. Kalkyldata'!$P$7:$R$7)=0,-AW$27,LOOKUP(AX$4,'2. Kalkyldata'!$P$5:$R$5,'2. Kalkyldata'!$P$7:$R$7))*((1+'2. Kalkyldata'!$M$9)^(AX$4-$D$4)))*'2. Kalkyldata'!$P$8</f>
        <v>0</v>
      </c>
      <c r="AY27" s="333">
        <f>IF(AY$4="",0,-IF(LOOKUP(AY$4,'2. Kalkyldata'!$P$5:$R$5,'2. Kalkyldata'!$P$7:$R$7)=0,-AX$27,LOOKUP(AY$4,'2. Kalkyldata'!$P$5:$R$5,'2. Kalkyldata'!$P$7:$R$7))*((1+'2. Kalkyldata'!$M$9)^(AY$4-$D$4)))*'2. Kalkyldata'!$P$8</f>
        <v>0</v>
      </c>
      <c r="AZ27" s="333">
        <f>IF(AZ$4="",0,-IF(LOOKUP(AZ$4,'2. Kalkyldata'!$P$5:$R$5,'2. Kalkyldata'!$P$7:$R$7)=0,-AY$27,LOOKUP(AZ$4,'2. Kalkyldata'!$P$5:$R$5,'2. Kalkyldata'!$P$7:$R$7))*((1+'2. Kalkyldata'!$M$9)^(AZ$4-$D$4)))*'2. Kalkyldata'!$P$8</f>
        <v>0</v>
      </c>
      <c r="BA27" s="333">
        <f>IF(BA$4="",0,-IF(LOOKUP(BA$4,'2. Kalkyldata'!$P$5:$R$5,'2. Kalkyldata'!$P$7:$R$7)=0,-AZ$27,LOOKUP(BA$4,'2. Kalkyldata'!$P$5:$R$5,'2. Kalkyldata'!$P$7:$R$7))*((1+'2. Kalkyldata'!$M$9)^(BA$4-$D$4)))*'2. Kalkyldata'!$P$8</f>
        <v>0</v>
      </c>
    </row>
    <row r="28" spans="2:54" s="19" customFormat="1" ht="15">
      <c r="B28" s="229" t="s">
        <v>115</v>
      </c>
      <c r="C28" s="332">
        <f ca="1">IFERROR($D28/$C$8,"")</f>
        <v>0</v>
      </c>
      <c r="D28" s="333">
        <f ca="1">IF(D$4="",0,-IF(LOOKUP(D$4,'2. Kalkyldata'!$P$5:$R$6,'2. Kalkyldata'!$P$6:$R$6)=0,0,LOOKUP(D$4,'2. Kalkyldata'!$P$5:$R$6,'2. Kalkyldata'!$P$6:$R$6)))</f>
        <v>0</v>
      </c>
      <c r="E28" s="333">
        <f ca="1">IF(E$4="",0,-IF(LOOKUP(E$4,'2. Kalkyldata'!$P$5:$R$5,'2. Kalkyldata'!$P$6:$R$6)=0,-D$28,LOOKUP(E$4,'2. Kalkyldata'!$P$5:$R$6,'2. Kalkyldata'!$P$6:$R$6)))</f>
        <v>0</v>
      </c>
      <c r="F28" s="333">
        <f ca="1">IF(F$4="",0,-IF(LOOKUP(F$4,'2. Kalkyldata'!$P$5:$R$5,'2. Kalkyldata'!$P$6:$R$6)=0,-E$28,LOOKUP(F$4,'2. Kalkyldata'!$P$5:$R$6,'2. Kalkyldata'!$P$6:$R$6)))</f>
        <v>0</v>
      </c>
      <c r="G28" s="333">
        <f ca="1">IF(G$4="",0,-IF(LOOKUP(G$4,'2. Kalkyldata'!$P$5:$R$5,'2. Kalkyldata'!$P$6:$R$6)=0,-F$28,LOOKUP(G$4,'2. Kalkyldata'!$P$5:$R$6,'2. Kalkyldata'!$P$6:$R$6)))</f>
        <v>0</v>
      </c>
      <c r="H28" s="333">
        <f ca="1">IF(H$4="",0,-IF(LOOKUP(H$4,'2. Kalkyldata'!$P$5:$R$5,'2. Kalkyldata'!$P$6:$R$6)=0,-G$28,LOOKUP(H$4,'2. Kalkyldata'!$P$5:$R$6,'2. Kalkyldata'!$P$6:$R$6)))</f>
        <v>0</v>
      </c>
      <c r="I28" s="333">
        <f ca="1">IF(I$4="",0,-IF(LOOKUP(I$4,'2. Kalkyldata'!$P$5:$R$5,'2. Kalkyldata'!$P$6:$R$6)=0,-H$28,LOOKUP(I$4,'2. Kalkyldata'!$P$5:$R$6,'2. Kalkyldata'!$P$6:$R$6)))</f>
        <v>0</v>
      </c>
      <c r="J28" s="333">
        <f ca="1">IF(J$4="",0,-IF(LOOKUP(J$4,'2. Kalkyldata'!$P$5:$R$5,'2. Kalkyldata'!$P$6:$R$6)=0,-I$28,LOOKUP(J$4,'2. Kalkyldata'!$P$5:$R$6,'2. Kalkyldata'!$P$6:$R$6)))</f>
        <v>0</v>
      </c>
      <c r="K28" s="333">
        <f ca="1">IF(K$4="",0,-IF(LOOKUP(K$4,'2. Kalkyldata'!$P$5:$R$5,'2. Kalkyldata'!$P$6:$R$6)=0,-J$28,LOOKUP(K$4,'2. Kalkyldata'!$P$5:$R$6,'2. Kalkyldata'!$P$6:$R$6)))</f>
        <v>0</v>
      </c>
      <c r="L28" s="333">
        <f ca="1">IF(L$4="",0,-IF(LOOKUP(L$4,'2. Kalkyldata'!$P$5:$R$5,'2. Kalkyldata'!$P$6:$R$6)=0,-K$28,LOOKUP(L$4,'2. Kalkyldata'!$P$5:$R$6,'2. Kalkyldata'!$P$6:$R$6)))</f>
        <v>0</v>
      </c>
      <c r="M28" s="333">
        <f ca="1">IF(M$4="",0,-IF(LOOKUP(M$4,'2. Kalkyldata'!$P$5:$R$5,'2. Kalkyldata'!$P$6:$R$6)=0,-L$28,LOOKUP(M$4,'2. Kalkyldata'!$P$5:$R$6,'2. Kalkyldata'!$P$6:$R$6)))</f>
        <v>0</v>
      </c>
      <c r="N28" s="333">
        <f ca="1">IF(N$4="",0,-IF(LOOKUP(N$4,'2. Kalkyldata'!$P$5:$R$5,'2. Kalkyldata'!$P$6:$R$6)=0,-M$28,LOOKUP(N$4,'2. Kalkyldata'!$P$5:$R$6,'2. Kalkyldata'!$P$6:$R$6)))</f>
        <v>0</v>
      </c>
      <c r="O28" s="333">
        <f ca="1">IF(O$4="",0,-IF(LOOKUP(O$4,'2. Kalkyldata'!$P$5:$R$5,'2. Kalkyldata'!$P$6:$R$6)=0,-N$28,LOOKUP(O$4,'2. Kalkyldata'!$P$5:$R$6,'2. Kalkyldata'!$P$6:$R$6)))</f>
        <v>0</v>
      </c>
      <c r="P28" s="333">
        <f ca="1">IF(P$4="",0,-IF(LOOKUP(P$4,'2. Kalkyldata'!$P$5:$R$5,'2. Kalkyldata'!$P$6:$R$6)=0,-O$28,LOOKUP(P$4,'2. Kalkyldata'!$P$5:$R$6,'2. Kalkyldata'!$P$6:$R$6)))</f>
        <v>0</v>
      </c>
      <c r="Q28" s="333">
        <f ca="1">IF(Q$4="",0,-IF(LOOKUP(Q$4,'2. Kalkyldata'!$P$5:$R$5,'2. Kalkyldata'!$P$6:$R$6)=0,-P$28,LOOKUP(Q$4,'2. Kalkyldata'!$P$5:$R$6,'2. Kalkyldata'!$P$6:$R$6)))</f>
        <v>0</v>
      </c>
      <c r="R28" s="333">
        <f ca="1">IF(R$4="",0,-IF(LOOKUP(R$4,'2. Kalkyldata'!$P$5:$R$5,'2. Kalkyldata'!$P$6:$R$6)=0,-Q$28,LOOKUP(R$4,'2. Kalkyldata'!$P$5:$R$6,'2. Kalkyldata'!$P$6:$R$6)))</f>
        <v>0</v>
      </c>
      <c r="S28" s="333">
        <f ca="1">IF(S$4="",0,-IF(LOOKUP(S$4,'2. Kalkyldata'!$P$5:$R$5,'2. Kalkyldata'!$P$6:$R$6)=0,-R$28,LOOKUP(S$4,'2. Kalkyldata'!$P$5:$R$6,'2. Kalkyldata'!$P$6:$R$6)))</f>
        <v>0</v>
      </c>
      <c r="T28" s="333">
        <f ca="1">IF(T$4="",0,-IF(LOOKUP(T$4,'2. Kalkyldata'!$P$5:$R$5,'2. Kalkyldata'!$P$6:$R$6)=0,-S$28,LOOKUP(T$4,'2. Kalkyldata'!$P$5:$R$6,'2. Kalkyldata'!$P$6:$R$6)))</f>
        <v>0</v>
      </c>
      <c r="U28" s="333">
        <f ca="1">IF(U$4="",0,-IF(LOOKUP(U$4,'2. Kalkyldata'!$P$5:$R$5,'2. Kalkyldata'!$P$6:$R$6)=0,-T$28,LOOKUP(U$4,'2. Kalkyldata'!$P$5:$R$6,'2. Kalkyldata'!$P$6:$R$6)))</f>
        <v>0</v>
      </c>
      <c r="V28" s="333">
        <f ca="1">IF(V$4="",0,-IF(LOOKUP(V$4,'2. Kalkyldata'!$P$5:$R$5,'2. Kalkyldata'!$P$6:$R$6)=0,-U$28,LOOKUP(V$4,'2. Kalkyldata'!$P$5:$R$6,'2. Kalkyldata'!$P$6:$R$6)))</f>
        <v>0</v>
      </c>
      <c r="W28" s="333">
        <f ca="1">IF(W$4="",0,-IF(LOOKUP(W$4,'2. Kalkyldata'!$P$5:$R$5,'2. Kalkyldata'!$P$6:$R$6)=0,-V$28,LOOKUP(W$4,'2. Kalkyldata'!$P$5:$R$6,'2. Kalkyldata'!$P$6:$R$6)))</f>
        <v>0</v>
      </c>
      <c r="X28" s="333">
        <f ca="1">IF(X$4="",0,-IF(LOOKUP(X$4,'2. Kalkyldata'!$P$5:$R$5,'2. Kalkyldata'!$P$6:$R$6)=0,-W$28,LOOKUP(X$4,'2. Kalkyldata'!$P$5:$R$6,'2. Kalkyldata'!$P$6:$R$6)))</f>
        <v>0</v>
      </c>
      <c r="Y28" s="333">
        <f>IF(Y$4="",0,-IF(LOOKUP(Y$4,'2. Kalkyldata'!$P$5:$R$5,'2. Kalkyldata'!$P$6:$R$6)=0,-X$28,LOOKUP(Y$4,'2. Kalkyldata'!$P$5:$R$6,'2. Kalkyldata'!$P$6:$R$6)))</f>
        <v>0</v>
      </c>
      <c r="Z28" s="333">
        <f>IF(Z$4="",0,-IF(LOOKUP(Z$4,'2. Kalkyldata'!$P$5:$R$5,'2. Kalkyldata'!$P$6:$R$6)=0,-Y$28,LOOKUP(Z$4,'2. Kalkyldata'!$P$5:$R$6,'2. Kalkyldata'!$P$6:$R$6)))</f>
        <v>0</v>
      </c>
      <c r="AA28" s="333">
        <f>IF(AA$4="",0,-IF(LOOKUP(AA$4,'2. Kalkyldata'!$P$5:$R$5,'2. Kalkyldata'!$P$6:$R$6)=0,-Z$28,LOOKUP(AA$4,'2. Kalkyldata'!$P$5:$R$6,'2. Kalkyldata'!$P$6:$R$6)))</f>
        <v>0</v>
      </c>
      <c r="AB28" s="333">
        <f>IF(AB$4="",0,-IF(LOOKUP(AB$4,'2. Kalkyldata'!$P$5:$R$5,'2. Kalkyldata'!$P$6:$R$6)=0,-AA$28,LOOKUP(AB$4,'2. Kalkyldata'!$P$5:$R$6,'2. Kalkyldata'!$P$6:$R$6)))</f>
        <v>0</v>
      </c>
      <c r="AC28" s="333">
        <f>IF(AC$4="",0,-IF(LOOKUP(AC$4,'2. Kalkyldata'!$P$5:$R$5,'2. Kalkyldata'!$P$6:$R$6)=0,-AB$28,LOOKUP(AC$4,'2. Kalkyldata'!$P$5:$R$6,'2. Kalkyldata'!$P$6:$R$6)))</f>
        <v>0</v>
      </c>
      <c r="AD28" s="333">
        <f>IF(AD$4="",0,-IF(LOOKUP(AD$4,'2. Kalkyldata'!$P$5:$R$5,'2. Kalkyldata'!$P$6:$R$6)=0,-AC$28,LOOKUP(AD$4,'2. Kalkyldata'!$P$5:$R$6,'2. Kalkyldata'!$P$6:$R$6)))</f>
        <v>0</v>
      </c>
      <c r="AE28" s="333">
        <f>IF(AE$4="",0,-IF(LOOKUP(AE$4,'2. Kalkyldata'!$P$5:$R$5,'2. Kalkyldata'!$P$6:$R$6)=0,-AD$28,LOOKUP(AE$4,'2. Kalkyldata'!$P$5:$R$6,'2. Kalkyldata'!$P$6:$R$6)))</f>
        <v>0</v>
      </c>
      <c r="AF28" s="333">
        <f>IF(AF$4="",0,-IF(LOOKUP(AF$4,'2. Kalkyldata'!$P$5:$R$5,'2. Kalkyldata'!$P$6:$R$6)=0,-AE$28,LOOKUP(AF$4,'2. Kalkyldata'!$P$5:$R$6,'2. Kalkyldata'!$P$6:$R$6)))</f>
        <v>0</v>
      </c>
      <c r="AG28" s="333">
        <f>IF(AG$4="",0,-IF(LOOKUP(AG$4,'2. Kalkyldata'!$P$5:$R$5,'2. Kalkyldata'!$P$6:$R$6)=0,-AF$28,LOOKUP(AG$4,'2. Kalkyldata'!$P$5:$R$6,'2. Kalkyldata'!$P$6:$R$6)))</f>
        <v>0</v>
      </c>
      <c r="AH28" s="333">
        <f>IF(AH$4="",0,-IF(LOOKUP(AH$4,'2. Kalkyldata'!$P$5:$R$5,'2. Kalkyldata'!$P$6:$R$6)=0,-AG$28,LOOKUP(AH$4,'2. Kalkyldata'!$P$5:$R$6,'2. Kalkyldata'!$P$6:$R$6)))</f>
        <v>0</v>
      </c>
      <c r="AI28" s="333">
        <f>IF(AI$4="",0,-IF(LOOKUP(AI$4,'2. Kalkyldata'!$P$5:$R$5,'2. Kalkyldata'!$P$6:$R$6)=0,-AH$28,LOOKUP(AI$4,'2. Kalkyldata'!$P$5:$R$6,'2. Kalkyldata'!$P$6:$R$6)))</f>
        <v>0</v>
      </c>
      <c r="AJ28" s="333">
        <f>IF(AJ$4="",0,-IF(LOOKUP(AJ$4,'2. Kalkyldata'!$P$5:$R$5,'2. Kalkyldata'!$P$6:$R$6)=0,-AI$28,LOOKUP(AJ$4,'2. Kalkyldata'!$P$5:$R$6,'2. Kalkyldata'!$P$6:$R$6)))</f>
        <v>0</v>
      </c>
      <c r="AK28" s="333">
        <f>IF(AK$4="",0,-IF(LOOKUP(AK$4,'2. Kalkyldata'!$P$5:$R$5,'2. Kalkyldata'!$P$6:$R$6)=0,-AJ$28,LOOKUP(AK$4,'2. Kalkyldata'!$P$5:$R$6,'2. Kalkyldata'!$P$6:$R$6)))</f>
        <v>0</v>
      </c>
      <c r="AL28" s="333">
        <f>IF(AL$4="",0,-IF(LOOKUP(AL$4,'2. Kalkyldata'!$P$5:$R$5,'2. Kalkyldata'!$P$6:$R$6)=0,-AK$28,LOOKUP(AL$4,'2. Kalkyldata'!$P$5:$R$6,'2. Kalkyldata'!$P$6:$R$6)))</f>
        <v>0</v>
      </c>
      <c r="AM28" s="333">
        <f>IF(AM$4="",0,-IF(LOOKUP(AM$4,'2. Kalkyldata'!$P$5:$R$5,'2. Kalkyldata'!$P$6:$R$6)=0,-AL$28,LOOKUP(AM$4,'2. Kalkyldata'!$P$5:$R$6,'2. Kalkyldata'!$P$6:$R$6)))</f>
        <v>0</v>
      </c>
      <c r="AN28" s="333">
        <f>IF(AN$4="",0,-IF(LOOKUP(AN$4,'2. Kalkyldata'!$P$5:$R$5,'2. Kalkyldata'!$P$6:$R$6)=0,-AM$28,LOOKUP(AN$4,'2. Kalkyldata'!$P$5:$R$6,'2. Kalkyldata'!$P$6:$R$6)))</f>
        <v>0</v>
      </c>
      <c r="AO28" s="333">
        <f>IF(AO$4="",0,-IF(LOOKUP(AO$4,'2. Kalkyldata'!$P$5:$R$5,'2. Kalkyldata'!$P$6:$R$6)=0,-AN$28,LOOKUP(AO$4,'2. Kalkyldata'!$P$5:$R$6,'2. Kalkyldata'!$P$6:$R$6)))</f>
        <v>0</v>
      </c>
      <c r="AP28" s="333">
        <f>IF(AP$4="",0,-IF(LOOKUP(AP$4,'2. Kalkyldata'!$P$5:$R$5,'2. Kalkyldata'!$P$6:$R$6)=0,-AO$28,LOOKUP(AP$4,'2. Kalkyldata'!$P$5:$R$6,'2. Kalkyldata'!$P$6:$R$6)))</f>
        <v>0</v>
      </c>
      <c r="AQ28" s="333">
        <f>IF(AQ$4="",0,-IF(LOOKUP(AQ$4,'2. Kalkyldata'!$P$5:$R$5,'2. Kalkyldata'!$P$6:$R$6)=0,-AP$28,LOOKUP(AQ$4,'2. Kalkyldata'!$P$5:$R$6,'2. Kalkyldata'!$P$6:$R$6)))</f>
        <v>0</v>
      </c>
      <c r="AR28" s="333">
        <f>IF(AR$4="",0,-IF(LOOKUP(AR$4,'2. Kalkyldata'!$P$5:$R$5,'2. Kalkyldata'!$P$6:$R$6)=0,-AQ$28,LOOKUP(AR$4,'2. Kalkyldata'!$P$5:$R$6,'2. Kalkyldata'!$P$6:$R$6)))</f>
        <v>0</v>
      </c>
      <c r="AS28" s="333">
        <f>IF(AS$4="",0,-IF(LOOKUP(AS$4,'2. Kalkyldata'!$P$5:$R$5,'2. Kalkyldata'!$P$6:$R$6)=0,-AR$28,LOOKUP(AS$4,'2. Kalkyldata'!$P$5:$R$6,'2. Kalkyldata'!$P$6:$R$6)))</f>
        <v>0</v>
      </c>
      <c r="AT28" s="333">
        <f>IF(AT$4="",0,-IF(LOOKUP(AT$4,'2. Kalkyldata'!$P$5:$R$5,'2. Kalkyldata'!$P$6:$R$6)=0,-AS$28,LOOKUP(AT$4,'2. Kalkyldata'!$P$5:$R$6,'2. Kalkyldata'!$P$6:$R$6)))</f>
        <v>0</v>
      </c>
      <c r="AU28" s="333">
        <f>IF(AU$4="",0,-IF(LOOKUP(AU$4,'2. Kalkyldata'!$P$5:$R$5,'2. Kalkyldata'!$P$6:$R$6)=0,-AT$28,LOOKUP(AU$4,'2. Kalkyldata'!$P$5:$R$6,'2. Kalkyldata'!$P$6:$R$6)))</f>
        <v>0</v>
      </c>
      <c r="AV28" s="333">
        <f>IF(AV$4="",0,-IF(LOOKUP(AV$4,'2. Kalkyldata'!$P$5:$R$5,'2. Kalkyldata'!$P$6:$R$6)=0,-AU$28,LOOKUP(AV$4,'2. Kalkyldata'!$P$5:$R$6,'2. Kalkyldata'!$P$6:$R$6)))</f>
        <v>0</v>
      </c>
      <c r="AW28" s="333">
        <f>IF(AW$4="",0,-IF(LOOKUP(AW$4,'2. Kalkyldata'!$P$5:$R$5,'2. Kalkyldata'!$P$6:$R$6)=0,-AV$28,LOOKUP(AW$4,'2. Kalkyldata'!$P$5:$R$6,'2. Kalkyldata'!$P$6:$R$6)))</f>
        <v>0</v>
      </c>
      <c r="AX28" s="333">
        <f>IF(AX$4="",0,-IF(LOOKUP(AX$4,'2. Kalkyldata'!$P$5:$R$5,'2. Kalkyldata'!$P$6:$R$6)=0,-AW$28,LOOKUP(AX$4,'2. Kalkyldata'!$P$5:$R$6,'2. Kalkyldata'!$P$6:$R$6)))</f>
        <v>0</v>
      </c>
      <c r="AY28" s="333">
        <f>IF(AY$4="",0,-IF(LOOKUP(AY$4,'2. Kalkyldata'!$P$5:$R$5,'2. Kalkyldata'!$P$6:$R$6)=0,-AX$28,LOOKUP(AY$4,'2. Kalkyldata'!$P$5:$R$6,'2. Kalkyldata'!$P$6:$R$6)))</f>
        <v>0</v>
      </c>
      <c r="AZ28" s="333">
        <f>IF(AZ$4="",0,-IF(LOOKUP(AZ$4,'2. Kalkyldata'!$P$5:$R$5,'2. Kalkyldata'!$P$6:$R$6)=0,-AY$28,LOOKUP(AZ$4,'2. Kalkyldata'!$P$5:$R$6,'2. Kalkyldata'!$P$6:$R$6)))</f>
        <v>0</v>
      </c>
      <c r="BA28" s="333">
        <f>IF(BA$4="",0,-IF(LOOKUP(BA$4,'2. Kalkyldata'!$P$5:$R$5,'2. Kalkyldata'!$P$6:$R$6)=0,-AZ$28,LOOKUP(BA$4,'2. Kalkyldata'!$P$5:$R$6,'2. Kalkyldata'!$P$6:$R$6)))</f>
        <v>0</v>
      </c>
    </row>
    <row r="29" spans="2:54" s="19" customFormat="1" ht="15">
      <c r="B29" s="421" t="s">
        <v>238</v>
      </c>
      <c r="C29" s="422">
        <f ca="1">IFERROR($D29/$C$8,"")</f>
        <v>2245</v>
      </c>
      <c r="D29" s="423">
        <f t="shared" ref="D29:AI29" ca="1" si="9">D19+D26+D27+D28</f>
        <v>13694500</v>
      </c>
      <c r="E29" s="423">
        <f t="shared" ca="1" si="9"/>
        <v>13871400</v>
      </c>
      <c r="F29" s="423">
        <f t="shared" ca="1" si="9"/>
        <v>14050480.140000001</v>
      </c>
      <c r="G29" s="423">
        <f t="shared" ca="1" si="9"/>
        <v>14231765.012760002</v>
      </c>
      <c r="H29" s="423">
        <f t="shared" ca="1" si="9"/>
        <v>14415279.436754644</v>
      </c>
      <c r="I29" s="423">
        <f t="shared" ca="1" si="9"/>
        <v>14601048.456961529</v>
      </c>
      <c r="J29" s="423">
        <f t="shared" ca="1" si="9"/>
        <v>14789097.345613157</v>
      </c>
      <c r="K29" s="423">
        <f t="shared" ca="1" si="9"/>
        <v>14979451.602910995</v>
      </c>
      <c r="L29" s="423">
        <f t="shared" ca="1" si="9"/>
        <v>15172136.957700187</v>
      </c>
      <c r="M29" s="423">
        <f t="shared" ca="1" si="9"/>
        <v>15367179.368103392</v>
      </c>
      <c r="N29" s="423">
        <f t="shared" ca="1" si="9"/>
        <v>15564605.022112153</v>
      </c>
      <c r="O29" s="423">
        <f t="shared" ca="1" si="9"/>
        <v>15764440.33813414</v>
      </c>
      <c r="P29" s="423">
        <f t="shared" ca="1" si="9"/>
        <v>15966711.965494689</v>
      </c>
      <c r="Q29" s="423">
        <f t="shared" ca="1" si="9"/>
        <v>16171446.784890812</v>
      </c>
      <c r="R29" s="423">
        <f t="shared" ca="1" si="9"/>
        <v>16378671.908796068</v>
      </c>
      <c r="S29" s="423">
        <f t="shared" ca="1" si="9"/>
        <v>16588414.681814335</v>
      </c>
      <c r="T29" s="423">
        <f t="shared" ca="1" si="9"/>
        <v>16800702.680980761</v>
      </c>
      <c r="U29" s="423">
        <f t="shared" ca="1" si="9"/>
        <v>17015563.716007937</v>
      </c>
      <c r="V29" s="423">
        <f t="shared" ca="1" si="9"/>
        <v>17233025.829475358</v>
      </c>
      <c r="W29" s="423">
        <f t="shared" ca="1" si="9"/>
        <v>17453117.29696019</v>
      </c>
      <c r="X29" s="423">
        <f t="shared" ca="1" si="9"/>
        <v>17675866.627107255</v>
      </c>
      <c r="Y29" s="423">
        <f t="shared" si="9"/>
        <v>0</v>
      </c>
      <c r="Z29" s="423">
        <f t="shared" si="9"/>
        <v>0</v>
      </c>
      <c r="AA29" s="423">
        <f t="shared" si="9"/>
        <v>0</v>
      </c>
      <c r="AB29" s="423">
        <f t="shared" si="9"/>
        <v>0</v>
      </c>
      <c r="AC29" s="423">
        <f t="shared" si="9"/>
        <v>0</v>
      </c>
      <c r="AD29" s="423">
        <f t="shared" si="9"/>
        <v>0</v>
      </c>
      <c r="AE29" s="423">
        <f t="shared" si="9"/>
        <v>0</v>
      </c>
      <c r="AF29" s="423">
        <f t="shared" si="9"/>
        <v>0</v>
      </c>
      <c r="AG29" s="423">
        <f t="shared" si="9"/>
        <v>0</v>
      </c>
      <c r="AH29" s="423">
        <f t="shared" si="9"/>
        <v>0</v>
      </c>
      <c r="AI29" s="423">
        <f t="shared" si="9"/>
        <v>0</v>
      </c>
      <c r="AJ29" s="423">
        <f t="shared" ref="AJ29:BA29" si="10">AJ19+AJ26+AJ27+AJ28</f>
        <v>0</v>
      </c>
      <c r="AK29" s="423">
        <f t="shared" si="10"/>
        <v>0</v>
      </c>
      <c r="AL29" s="423">
        <f t="shared" si="10"/>
        <v>0</v>
      </c>
      <c r="AM29" s="423">
        <f t="shared" si="10"/>
        <v>0</v>
      </c>
      <c r="AN29" s="423">
        <f t="shared" si="10"/>
        <v>0</v>
      </c>
      <c r="AO29" s="423">
        <f t="shared" si="10"/>
        <v>0</v>
      </c>
      <c r="AP29" s="423">
        <f t="shared" si="10"/>
        <v>0</v>
      </c>
      <c r="AQ29" s="423">
        <f t="shared" si="10"/>
        <v>0</v>
      </c>
      <c r="AR29" s="423">
        <f t="shared" si="10"/>
        <v>0</v>
      </c>
      <c r="AS29" s="423">
        <f t="shared" si="10"/>
        <v>0</v>
      </c>
      <c r="AT29" s="423">
        <f t="shared" si="10"/>
        <v>0</v>
      </c>
      <c r="AU29" s="423">
        <f t="shared" si="10"/>
        <v>0</v>
      </c>
      <c r="AV29" s="423">
        <f t="shared" si="10"/>
        <v>0</v>
      </c>
      <c r="AW29" s="423">
        <f t="shared" si="10"/>
        <v>0</v>
      </c>
      <c r="AX29" s="423">
        <f t="shared" si="10"/>
        <v>0</v>
      </c>
      <c r="AY29" s="423">
        <f t="shared" si="10"/>
        <v>0</v>
      </c>
      <c r="AZ29" s="423">
        <f t="shared" si="10"/>
        <v>0</v>
      </c>
      <c r="BA29" s="423">
        <f t="shared" si="10"/>
        <v>0</v>
      </c>
      <c r="BB29" s="506"/>
    </row>
    <row r="30" spans="2:54" s="189" customFormat="1">
      <c r="B30" s="341" t="s">
        <v>239</v>
      </c>
      <c r="C30" s="342"/>
      <c r="D30" s="332">
        <f t="shared" ref="D30:AI30" ca="1" si="11">IFERROR(D29/D8,0)</f>
        <v>2245</v>
      </c>
      <c r="E30" s="332">
        <f t="shared" ca="1" si="11"/>
        <v>2274</v>
      </c>
      <c r="F30" s="332">
        <f t="shared" ca="1" si="11"/>
        <v>2303.3573999999999</v>
      </c>
      <c r="G30" s="332">
        <f t="shared" ca="1" si="11"/>
        <v>2333.0762316000005</v>
      </c>
      <c r="H30" s="332">
        <f t="shared" ca="1" si="11"/>
        <v>2363.1605634024008</v>
      </c>
      <c r="I30" s="332">
        <f t="shared" ca="1" si="11"/>
        <v>2393.6145011412345</v>
      </c>
      <c r="J30" s="332">
        <f t="shared" ca="1" si="11"/>
        <v>2424.4421878054354</v>
      </c>
      <c r="K30" s="332">
        <f t="shared" ca="1" si="11"/>
        <v>2455.6478037559009</v>
      </c>
      <c r="L30" s="332">
        <f t="shared" ca="1" si="11"/>
        <v>2487.2355668360965</v>
      </c>
      <c r="M30" s="332">
        <f t="shared" ca="1" si="11"/>
        <v>2519.2097324759661</v>
      </c>
      <c r="N30" s="332">
        <f t="shared" ca="1" si="11"/>
        <v>2551.5745937888778</v>
      </c>
      <c r="O30" s="332">
        <f t="shared" ca="1" si="11"/>
        <v>2584.3344816613344</v>
      </c>
      <c r="P30" s="332">
        <f t="shared" ca="1" si="11"/>
        <v>2617.4937648351947</v>
      </c>
      <c r="Q30" s="332">
        <f t="shared" ca="1" si="11"/>
        <v>2651.0568499821002</v>
      </c>
      <c r="R30" s="332">
        <f t="shared" ca="1" si="11"/>
        <v>2685.0281817698474</v>
      </c>
      <c r="S30" s="332">
        <f t="shared" ca="1" si="11"/>
        <v>2719.4122429203831</v>
      </c>
      <c r="T30" s="332">
        <f t="shared" ca="1" si="11"/>
        <v>2754.2135542591409</v>
      </c>
      <c r="U30" s="332">
        <f t="shared" ca="1" si="11"/>
        <v>2789.4366747553995</v>
      </c>
      <c r="V30" s="332">
        <f t="shared" ca="1" si="11"/>
        <v>2825.0862015533376</v>
      </c>
      <c r="W30" s="332">
        <f t="shared" ca="1" si="11"/>
        <v>2861.1667699934737</v>
      </c>
      <c r="X30" s="332">
        <f t="shared" ca="1" si="11"/>
        <v>2897.68305362414</v>
      </c>
      <c r="Y30" s="332">
        <f t="shared" si="11"/>
        <v>0</v>
      </c>
      <c r="Z30" s="332">
        <f t="shared" si="11"/>
        <v>0</v>
      </c>
      <c r="AA30" s="332">
        <f t="shared" si="11"/>
        <v>0</v>
      </c>
      <c r="AB30" s="332">
        <f t="shared" si="11"/>
        <v>0</v>
      </c>
      <c r="AC30" s="332">
        <f t="shared" si="11"/>
        <v>0</v>
      </c>
      <c r="AD30" s="332">
        <f t="shared" si="11"/>
        <v>0</v>
      </c>
      <c r="AE30" s="332">
        <f t="shared" si="11"/>
        <v>0</v>
      </c>
      <c r="AF30" s="332">
        <f t="shared" si="11"/>
        <v>0</v>
      </c>
      <c r="AG30" s="332">
        <f t="shared" si="11"/>
        <v>0</v>
      </c>
      <c r="AH30" s="332">
        <f t="shared" si="11"/>
        <v>0</v>
      </c>
      <c r="AI30" s="332">
        <f t="shared" si="11"/>
        <v>0</v>
      </c>
      <c r="AJ30" s="332">
        <f t="shared" ref="AJ30:BA30" si="12">IFERROR(AJ29/AJ8,0)</f>
        <v>0</v>
      </c>
      <c r="AK30" s="332">
        <f t="shared" si="12"/>
        <v>0</v>
      </c>
      <c r="AL30" s="332">
        <f t="shared" si="12"/>
        <v>0</v>
      </c>
      <c r="AM30" s="332">
        <f t="shared" si="12"/>
        <v>0</v>
      </c>
      <c r="AN30" s="332">
        <f t="shared" si="12"/>
        <v>0</v>
      </c>
      <c r="AO30" s="332">
        <f t="shared" si="12"/>
        <v>0</v>
      </c>
      <c r="AP30" s="332">
        <f t="shared" si="12"/>
        <v>0</v>
      </c>
      <c r="AQ30" s="332">
        <f t="shared" si="12"/>
        <v>0</v>
      </c>
      <c r="AR30" s="332">
        <f t="shared" si="12"/>
        <v>0</v>
      </c>
      <c r="AS30" s="332">
        <f t="shared" si="12"/>
        <v>0</v>
      </c>
      <c r="AT30" s="332">
        <f t="shared" si="12"/>
        <v>0</v>
      </c>
      <c r="AU30" s="332">
        <f t="shared" si="12"/>
        <v>0</v>
      </c>
      <c r="AV30" s="332">
        <f t="shared" si="12"/>
        <v>0</v>
      </c>
      <c r="AW30" s="332">
        <f t="shared" si="12"/>
        <v>0</v>
      </c>
      <c r="AX30" s="332">
        <f t="shared" si="12"/>
        <v>0</v>
      </c>
      <c r="AY30" s="332">
        <f t="shared" si="12"/>
        <v>0</v>
      </c>
      <c r="AZ30" s="332">
        <f t="shared" si="12"/>
        <v>0</v>
      </c>
      <c r="BA30" s="332">
        <f t="shared" si="12"/>
        <v>0</v>
      </c>
    </row>
    <row r="31" spans="2:54" s="189" customFormat="1">
      <c r="B31" s="427" t="s">
        <v>240</v>
      </c>
      <c r="C31" s="425"/>
      <c r="D31" s="425">
        <f>IFERROR(D$19/D$8,0)</f>
        <v>2650</v>
      </c>
      <c r="E31" s="425">
        <f t="shared" ref="E31:BA31" si="13">IFERROR(E$19/E$8,0)</f>
        <v>2687.1</v>
      </c>
      <c r="F31" s="425">
        <f t="shared" si="13"/>
        <v>2724.7194000000004</v>
      </c>
      <c r="G31" s="425">
        <f t="shared" si="13"/>
        <v>2762.8654716000005</v>
      </c>
      <c r="H31" s="425">
        <f t="shared" si="13"/>
        <v>2801.5455882024007</v>
      </c>
      <c r="I31" s="425">
        <f t="shared" si="13"/>
        <v>2840.7672264372345</v>
      </c>
      <c r="J31" s="425">
        <f t="shared" si="13"/>
        <v>2880.5379676073558</v>
      </c>
      <c r="K31" s="425">
        <f t="shared" si="13"/>
        <v>2920.8654991538592</v>
      </c>
      <c r="L31" s="425">
        <f t="shared" si="13"/>
        <v>2961.7576161420138</v>
      </c>
      <c r="M31" s="425">
        <f t="shared" si="13"/>
        <v>3003.2222227680018</v>
      </c>
      <c r="N31" s="425">
        <f t="shared" si="13"/>
        <v>3045.2673338867539</v>
      </c>
      <c r="O31" s="425">
        <f t="shared" si="13"/>
        <v>3087.9010765611688</v>
      </c>
      <c r="P31" s="425">
        <f t="shared" si="13"/>
        <v>3131.1316916330256</v>
      </c>
      <c r="Q31" s="425">
        <f t="shared" si="13"/>
        <v>3174.9675353158877</v>
      </c>
      <c r="R31" s="425">
        <f t="shared" si="13"/>
        <v>3219.4170808103108</v>
      </c>
      <c r="S31" s="425">
        <f t="shared" si="13"/>
        <v>3264.4889199416552</v>
      </c>
      <c r="T31" s="425">
        <f t="shared" si="13"/>
        <v>3310.1917648208391</v>
      </c>
      <c r="U31" s="425">
        <f t="shared" si="13"/>
        <v>3356.5344495283312</v>
      </c>
      <c r="V31" s="425">
        <f t="shared" si="13"/>
        <v>3403.5259318217281</v>
      </c>
      <c r="W31" s="425">
        <f t="shared" si="13"/>
        <v>3451.175294867232</v>
      </c>
      <c r="X31" s="425">
        <f t="shared" si="13"/>
        <v>3499.4917489953737</v>
      </c>
      <c r="Y31" s="425">
        <f t="shared" si="13"/>
        <v>0</v>
      </c>
      <c r="Z31" s="425">
        <f t="shared" si="13"/>
        <v>0</v>
      </c>
      <c r="AA31" s="425">
        <f t="shared" si="13"/>
        <v>0</v>
      </c>
      <c r="AB31" s="425">
        <f t="shared" si="13"/>
        <v>0</v>
      </c>
      <c r="AC31" s="425">
        <f t="shared" si="13"/>
        <v>0</v>
      </c>
      <c r="AD31" s="425">
        <f t="shared" si="13"/>
        <v>0</v>
      </c>
      <c r="AE31" s="425">
        <f t="shared" si="13"/>
        <v>0</v>
      </c>
      <c r="AF31" s="425">
        <f t="shared" si="13"/>
        <v>0</v>
      </c>
      <c r="AG31" s="425">
        <f t="shared" si="13"/>
        <v>0</v>
      </c>
      <c r="AH31" s="425">
        <f t="shared" si="13"/>
        <v>0</v>
      </c>
      <c r="AI31" s="425">
        <f t="shared" si="13"/>
        <v>0</v>
      </c>
      <c r="AJ31" s="425">
        <f t="shared" si="13"/>
        <v>0</v>
      </c>
      <c r="AK31" s="425">
        <f t="shared" si="13"/>
        <v>0</v>
      </c>
      <c r="AL31" s="425">
        <f t="shared" si="13"/>
        <v>0</v>
      </c>
      <c r="AM31" s="425">
        <f t="shared" si="13"/>
        <v>0</v>
      </c>
      <c r="AN31" s="425">
        <f t="shared" si="13"/>
        <v>0</v>
      </c>
      <c r="AO31" s="425">
        <f t="shared" si="13"/>
        <v>0</v>
      </c>
      <c r="AP31" s="425">
        <f t="shared" si="13"/>
        <v>0</v>
      </c>
      <c r="AQ31" s="425">
        <f t="shared" si="13"/>
        <v>0</v>
      </c>
      <c r="AR31" s="425">
        <f t="shared" si="13"/>
        <v>0</v>
      </c>
      <c r="AS31" s="425">
        <f t="shared" si="13"/>
        <v>0</v>
      </c>
      <c r="AT31" s="425">
        <f t="shared" si="13"/>
        <v>0</v>
      </c>
      <c r="AU31" s="425">
        <f t="shared" si="13"/>
        <v>0</v>
      </c>
      <c r="AV31" s="425">
        <f t="shared" si="13"/>
        <v>0</v>
      </c>
      <c r="AW31" s="425">
        <f t="shared" si="13"/>
        <v>0</v>
      </c>
      <c r="AX31" s="425">
        <f t="shared" si="13"/>
        <v>0</v>
      </c>
      <c r="AY31" s="425">
        <f t="shared" si="13"/>
        <v>0</v>
      </c>
      <c r="AZ31" s="425">
        <f t="shared" si="13"/>
        <v>0</v>
      </c>
      <c r="BA31" s="425">
        <f t="shared" si="13"/>
        <v>0</v>
      </c>
    </row>
    <row r="32" spans="2:54" s="189" customFormat="1">
      <c r="B32" s="427" t="s">
        <v>241</v>
      </c>
      <c r="C32" s="425"/>
      <c r="D32" s="425">
        <f>IFERROR(SUM(D$20:D$24)/D$8,0)</f>
        <v>-405</v>
      </c>
      <c r="E32" s="425">
        <f t="shared" ref="E32:BA32" si="14">IFERROR(SUM(E$20:E$24)/E$8,0)</f>
        <v>-413.1</v>
      </c>
      <c r="F32" s="425">
        <f t="shared" si="14"/>
        <v>-421.36200000000002</v>
      </c>
      <c r="G32" s="425">
        <f t="shared" si="14"/>
        <v>-429.78923999999995</v>
      </c>
      <c r="H32" s="425">
        <f t="shared" si="14"/>
        <v>-438.3850248</v>
      </c>
      <c r="I32" s="425">
        <f t="shared" si="14"/>
        <v>-447.15272529599997</v>
      </c>
      <c r="J32" s="425">
        <f t="shared" si="14"/>
        <v>-456.09577980192006</v>
      </c>
      <c r="K32" s="425">
        <f t="shared" si="14"/>
        <v>-465.21769539795832</v>
      </c>
      <c r="L32" s="425">
        <f t="shared" si="14"/>
        <v>-474.52204930591756</v>
      </c>
      <c r="M32" s="425">
        <f t="shared" si="14"/>
        <v>-484.01249029203586</v>
      </c>
      <c r="N32" s="425">
        <f t="shared" si="14"/>
        <v>-493.69274009787659</v>
      </c>
      <c r="O32" s="425">
        <f t="shared" si="14"/>
        <v>-503.56659489983412</v>
      </c>
      <c r="P32" s="425">
        <f t="shared" si="14"/>
        <v>-513.63792679783091</v>
      </c>
      <c r="Q32" s="425">
        <f t="shared" si="14"/>
        <v>-523.91068533378746</v>
      </c>
      <c r="R32" s="425">
        <f t="shared" si="14"/>
        <v>-534.38889904046323</v>
      </c>
      <c r="S32" s="425">
        <f t="shared" si="14"/>
        <v>-545.0766770212723</v>
      </c>
      <c r="T32" s="425">
        <f t="shared" si="14"/>
        <v>-555.97821056169789</v>
      </c>
      <c r="U32" s="425">
        <f t="shared" si="14"/>
        <v>-567.09777477293187</v>
      </c>
      <c r="V32" s="425">
        <f t="shared" si="14"/>
        <v>-578.43973026839046</v>
      </c>
      <c r="W32" s="425">
        <f t="shared" si="14"/>
        <v>-590.00852487375823</v>
      </c>
      <c r="X32" s="425">
        <f t="shared" si="14"/>
        <v>-601.80869537123351</v>
      </c>
      <c r="Y32" s="425">
        <f t="shared" si="14"/>
        <v>0</v>
      </c>
      <c r="Z32" s="425">
        <f t="shared" si="14"/>
        <v>0</v>
      </c>
      <c r="AA32" s="425">
        <f t="shared" si="14"/>
        <v>0</v>
      </c>
      <c r="AB32" s="425">
        <f t="shared" si="14"/>
        <v>0</v>
      </c>
      <c r="AC32" s="425">
        <f t="shared" si="14"/>
        <v>0</v>
      </c>
      <c r="AD32" s="425">
        <f t="shared" si="14"/>
        <v>0</v>
      </c>
      <c r="AE32" s="425">
        <f t="shared" si="14"/>
        <v>0</v>
      </c>
      <c r="AF32" s="425">
        <f t="shared" si="14"/>
        <v>0</v>
      </c>
      <c r="AG32" s="425">
        <f t="shared" si="14"/>
        <v>0</v>
      </c>
      <c r="AH32" s="425">
        <f t="shared" si="14"/>
        <v>0</v>
      </c>
      <c r="AI32" s="425">
        <f t="shared" si="14"/>
        <v>0</v>
      </c>
      <c r="AJ32" s="425">
        <f t="shared" si="14"/>
        <v>0</v>
      </c>
      <c r="AK32" s="425">
        <f t="shared" si="14"/>
        <v>0</v>
      </c>
      <c r="AL32" s="425">
        <f t="shared" si="14"/>
        <v>0</v>
      </c>
      <c r="AM32" s="425">
        <f t="shared" si="14"/>
        <v>0</v>
      </c>
      <c r="AN32" s="425">
        <f t="shared" si="14"/>
        <v>0</v>
      </c>
      <c r="AO32" s="425">
        <f t="shared" si="14"/>
        <v>0</v>
      </c>
      <c r="AP32" s="425">
        <f t="shared" si="14"/>
        <v>0</v>
      </c>
      <c r="AQ32" s="425">
        <f t="shared" si="14"/>
        <v>0</v>
      </c>
      <c r="AR32" s="425">
        <f t="shared" si="14"/>
        <v>0</v>
      </c>
      <c r="AS32" s="425">
        <f t="shared" si="14"/>
        <v>0</v>
      </c>
      <c r="AT32" s="425">
        <f t="shared" si="14"/>
        <v>0</v>
      </c>
      <c r="AU32" s="425">
        <f t="shared" si="14"/>
        <v>0</v>
      </c>
      <c r="AV32" s="425">
        <f t="shared" si="14"/>
        <v>0</v>
      </c>
      <c r="AW32" s="425">
        <f t="shared" si="14"/>
        <v>0</v>
      </c>
      <c r="AX32" s="425">
        <f t="shared" si="14"/>
        <v>0</v>
      </c>
      <c r="AY32" s="425">
        <f t="shared" si="14"/>
        <v>0</v>
      </c>
      <c r="AZ32" s="425">
        <f t="shared" si="14"/>
        <v>0</v>
      </c>
      <c r="BA32" s="425">
        <f t="shared" si="14"/>
        <v>0</v>
      </c>
    </row>
    <row r="33" spans="2:54">
      <c r="B33" s="341" t="s">
        <v>242</v>
      </c>
      <c r="C33" s="419"/>
      <c r="D33" s="420">
        <f ca="1">IF(D4="","",IFERROR((D29-D25)/D19,0))</f>
        <v>0.84716981132075475</v>
      </c>
      <c r="E33" s="420">
        <f ca="1">IF(E4="","",IFERROR((E29-E25)/E19,0))</f>
        <v>0.84626549067768231</v>
      </c>
      <c r="F33" s="420">
        <f t="shared" ref="F33:BA33" ca="1" si="15">IF(F4="","",IFERROR((F29-F25)/F19,0))</f>
        <v>0.84535581902488743</v>
      </c>
      <c r="G33" s="420">
        <f t="shared" ca="1" si="15"/>
        <v>0.84444076469959095</v>
      </c>
      <c r="H33" s="420">
        <f t="shared" ca="1" si="15"/>
        <v>0.84352029585165955</v>
      </c>
      <c r="I33" s="420">
        <f t="shared" ca="1" si="15"/>
        <v>0.84259438044249779</v>
      </c>
      <c r="J33" s="420">
        <f t="shared" ca="1" si="15"/>
        <v>0.84166298624393265</v>
      </c>
      <c r="K33" s="420">
        <f t="shared" ca="1" si="15"/>
        <v>0.84072608083709222</v>
      </c>
      <c r="L33" s="420">
        <f t="shared" ca="1" si="15"/>
        <v>0.83978363161127612</v>
      </c>
      <c r="M33" s="420">
        <f t="shared" ca="1" si="15"/>
        <v>0.83883560576282212</v>
      </c>
      <c r="N33" s="420">
        <f t="shared" ca="1" si="15"/>
        <v>0.83788197029396316</v>
      </c>
      <c r="O33" s="420">
        <f t="shared" ca="1" si="15"/>
        <v>0.83692269201167879</v>
      </c>
      <c r="P33" s="420">
        <f t="shared" ca="1" si="15"/>
        <v>0.8359577375265409</v>
      </c>
      <c r="Q33" s="420">
        <f t="shared" ca="1" si="15"/>
        <v>0.83498707325155008</v>
      </c>
      <c r="R33" s="420">
        <f t="shared" ca="1" si="15"/>
        <v>0.83401066540096747</v>
      </c>
      <c r="S33" s="420">
        <f t="shared" ca="1" si="15"/>
        <v>0.83302847998913887</v>
      </c>
      <c r="T33" s="420">
        <f t="shared" ca="1" si="15"/>
        <v>0.83204048282931131</v>
      </c>
      <c r="U33" s="420">
        <f t="shared" ca="1" si="15"/>
        <v>0.8310466395324434</v>
      </c>
      <c r="V33" s="420">
        <f t="shared" ca="1" si="15"/>
        <v>0.83004691550600807</v>
      </c>
      <c r="W33" s="420">
        <f t="shared" ca="1" si="15"/>
        <v>0.82904127595278931</v>
      </c>
      <c r="X33" s="420">
        <f t="shared" ca="1" si="15"/>
        <v>0.82802968586966974</v>
      </c>
      <c r="Y33" s="420" t="str">
        <f t="shared" si="15"/>
        <v/>
      </c>
      <c r="Z33" s="420" t="str">
        <f t="shared" si="15"/>
        <v/>
      </c>
      <c r="AA33" s="420" t="str">
        <f t="shared" si="15"/>
        <v/>
      </c>
      <c r="AB33" s="420" t="str">
        <f t="shared" si="15"/>
        <v/>
      </c>
      <c r="AC33" s="420" t="str">
        <f t="shared" si="15"/>
        <v/>
      </c>
      <c r="AD33" s="420" t="str">
        <f t="shared" si="15"/>
        <v/>
      </c>
      <c r="AE33" s="420" t="str">
        <f t="shared" si="15"/>
        <v/>
      </c>
      <c r="AF33" s="420" t="str">
        <f t="shared" si="15"/>
        <v/>
      </c>
      <c r="AG33" s="420" t="str">
        <f t="shared" si="15"/>
        <v/>
      </c>
      <c r="AH33" s="420" t="str">
        <f t="shared" si="15"/>
        <v/>
      </c>
      <c r="AI33" s="420" t="str">
        <f t="shared" si="15"/>
        <v/>
      </c>
      <c r="AJ33" s="420" t="str">
        <f t="shared" si="15"/>
        <v/>
      </c>
      <c r="AK33" s="420" t="str">
        <f t="shared" si="15"/>
        <v/>
      </c>
      <c r="AL33" s="420" t="str">
        <f t="shared" si="15"/>
        <v/>
      </c>
      <c r="AM33" s="420" t="str">
        <f t="shared" si="15"/>
        <v/>
      </c>
      <c r="AN33" s="420" t="str">
        <f t="shared" si="15"/>
        <v/>
      </c>
      <c r="AO33" s="420" t="str">
        <f t="shared" si="15"/>
        <v/>
      </c>
      <c r="AP33" s="420" t="str">
        <f t="shared" si="15"/>
        <v/>
      </c>
      <c r="AQ33" s="420" t="str">
        <f t="shared" si="15"/>
        <v/>
      </c>
      <c r="AR33" s="420" t="str">
        <f t="shared" si="15"/>
        <v/>
      </c>
      <c r="AS33" s="420" t="str">
        <f t="shared" si="15"/>
        <v/>
      </c>
      <c r="AT33" s="420" t="str">
        <f t="shared" si="15"/>
        <v/>
      </c>
      <c r="AU33" s="420" t="str">
        <f t="shared" si="15"/>
        <v/>
      </c>
      <c r="AV33" s="420" t="str">
        <f t="shared" si="15"/>
        <v/>
      </c>
      <c r="AW33" s="420" t="str">
        <f t="shared" si="15"/>
        <v/>
      </c>
      <c r="AX33" s="420" t="str">
        <f t="shared" si="15"/>
        <v/>
      </c>
      <c r="AY33" s="420" t="str">
        <f t="shared" si="15"/>
        <v/>
      </c>
      <c r="AZ33" s="420" t="str">
        <f t="shared" si="15"/>
        <v/>
      </c>
      <c r="BA33" s="420" t="str">
        <f t="shared" si="15"/>
        <v/>
      </c>
      <c r="BB33" s="506"/>
    </row>
    <row r="34" spans="2:54" s="191" customFormat="1" ht="12">
      <c r="B34" s="341" t="s">
        <v>243</v>
      </c>
      <c r="C34" s="342"/>
      <c r="D34" s="343">
        <f ca="1">IFERROR(D$29/'7.Grafer'!C$44,0)</f>
        <v>6.5000000000000002E-2</v>
      </c>
      <c r="E34" s="343">
        <f ca="1">IFERROR(E$29/'7.Grafer'!D$44,0)</f>
        <v>6.5000000000000002E-2</v>
      </c>
      <c r="F34" s="343">
        <f ca="1">IFERROR(F$29/'7.Grafer'!E$44,0)</f>
        <v>6.5000000000000002E-2</v>
      </c>
      <c r="G34" s="343">
        <f ca="1">IFERROR(G$29/'7.Grafer'!F$44,0)</f>
        <v>6.5000000000000002E-2</v>
      </c>
      <c r="H34" s="343">
        <f ca="1">IFERROR(H$29/'7.Grafer'!G$44,0)</f>
        <v>6.5000000000000002E-2</v>
      </c>
      <c r="I34" s="343">
        <f ca="1">IFERROR(I$29/'7.Grafer'!H$44,0)</f>
        <v>6.5000000000000002E-2</v>
      </c>
      <c r="J34" s="343">
        <f ca="1">IFERROR(J$29/'7.Grafer'!I$44,0)</f>
        <v>6.5000000000000002E-2</v>
      </c>
      <c r="K34" s="343">
        <f ca="1">IFERROR(K$29/'7.Grafer'!J$44,0)</f>
        <v>6.5000000000000002E-2</v>
      </c>
      <c r="L34" s="343">
        <f ca="1">IFERROR(L$29/'7.Grafer'!K$44,0)</f>
        <v>6.5000000000000002E-2</v>
      </c>
      <c r="M34" s="343">
        <f ca="1">IFERROR(M$29/'7.Grafer'!L$44,0)</f>
        <v>6.5000000000000002E-2</v>
      </c>
      <c r="N34" s="343">
        <f ca="1">IFERROR(N$29/'7.Grafer'!M$44,0)</f>
        <v>6.5000000000000002E-2</v>
      </c>
      <c r="O34" s="343">
        <f ca="1">IFERROR(O$29/'7.Grafer'!N$44,0)</f>
        <v>6.5000000000000002E-2</v>
      </c>
      <c r="P34" s="343">
        <f ca="1">IFERROR(P$29/'7.Grafer'!O$44,0)</f>
        <v>6.5000000000000002E-2</v>
      </c>
      <c r="Q34" s="343">
        <f ca="1">IFERROR(Q$29/'7.Grafer'!P$44,0)</f>
        <v>6.5000000000000002E-2</v>
      </c>
      <c r="R34" s="343">
        <f ca="1">IFERROR(R$29/'7.Grafer'!Q$44,0)</f>
        <v>6.5000000000000002E-2</v>
      </c>
      <c r="S34" s="343">
        <f ca="1">IFERROR(S$29/'7.Grafer'!R$44,0)</f>
        <v>6.5000000000000002E-2</v>
      </c>
      <c r="T34" s="343">
        <f ca="1">IFERROR(T$29/'7.Grafer'!S$44,0)</f>
        <v>6.5000000000000002E-2</v>
      </c>
      <c r="U34" s="343">
        <f ca="1">IFERROR(U$29/'7.Grafer'!T$44,0)</f>
        <v>6.5000000000000002E-2</v>
      </c>
      <c r="V34" s="343">
        <f ca="1">IFERROR(V$29/'7.Grafer'!U$44,0)</f>
        <v>6.5000000000000002E-2</v>
      </c>
      <c r="W34" s="343">
        <f ca="1">IFERROR(W$29/'7.Grafer'!V$44,0)</f>
        <v>6.5000000000000002E-2</v>
      </c>
      <c r="X34" s="343">
        <f ca="1">IFERROR(X$29/'7.Grafer'!W$44,0)</f>
        <v>6.5000000000000002E-2</v>
      </c>
      <c r="Y34" s="343">
        <f>IFERROR(Y$29/'7.Grafer'!X$44,0)</f>
        <v>0</v>
      </c>
      <c r="Z34" s="343">
        <f>IFERROR(Z$29/'7.Grafer'!Y$44,0)</f>
        <v>0</v>
      </c>
      <c r="AA34" s="343">
        <f>IFERROR(AA$29/'7.Grafer'!Z$44,0)</f>
        <v>0</v>
      </c>
      <c r="AB34" s="343">
        <f>IFERROR(AB$29/'7.Grafer'!AA$44,0)</f>
        <v>0</v>
      </c>
      <c r="AC34" s="343">
        <f>IFERROR(AC$29/'7.Grafer'!AB$44,0)</f>
        <v>0</v>
      </c>
      <c r="AD34" s="343">
        <f>IFERROR(AD$29/'7.Grafer'!AC$44,0)</f>
        <v>0</v>
      </c>
      <c r="AE34" s="343">
        <f>IFERROR(AE$29/'7.Grafer'!AD$44,0)</f>
        <v>0</v>
      </c>
      <c r="AF34" s="343">
        <f>IFERROR(AF$29/'7.Grafer'!AE$44,0)</f>
        <v>0</v>
      </c>
      <c r="AG34" s="343">
        <f>IFERROR(AG$29/'7.Grafer'!AF$44,0)</f>
        <v>0</v>
      </c>
      <c r="AH34" s="343">
        <f>IFERROR(AH$29/'7.Grafer'!AG$44,0)</f>
        <v>0</v>
      </c>
      <c r="AI34" s="343">
        <f>IFERROR(AI$29/'7.Grafer'!AH$44,0)</f>
        <v>0</v>
      </c>
      <c r="AJ34" s="343">
        <f>IFERROR(AJ$29/'7.Grafer'!AI$44,0)</f>
        <v>0</v>
      </c>
      <c r="AK34" s="343">
        <f>IFERROR(AK$29/'7.Grafer'!AJ$44,0)</f>
        <v>0</v>
      </c>
      <c r="AL34" s="343">
        <f>IFERROR(AL$29/'7.Grafer'!AK$44,0)</f>
        <v>0</v>
      </c>
      <c r="AM34" s="343">
        <f>IFERROR(AM$29/'7.Grafer'!AL$44,0)</f>
        <v>0</v>
      </c>
      <c r="AN34" s="343">
        <f>IFERROR(AN$29/'7.Grafer'!AM$44,0)</f>
        <v>0</v>
      </c>
      <c r="AO34" s="343">
        <f>IFERROR(AO$29/'7.Grafer'!AN$44,0)</f>
        <v>0</v>
      </c>
      <c r="AP34" s="343">
        <f>IFERROR(AP$29/'7.Grafer'!AO$44,0)</f>
        <v>0</v>
      </c>
      <c r="AQ34" s="343">
        <f>IFERROR(AQ$29/'7.Grafer'!AP$44,0)</f>
        <v>0</v>
      </c>
      <c r="AR34" s="343">
        <f>IFERROR(AR$29/'7.Grafer'!AQ$44,0)</f>
        <v>0</v>
      </c>
      <c r="AS34" s="343">
        <f>IFERROR(AS$29/'7.Grafer'!AR$44,0)</f>
        <v>0</v>
      </c>
      <c r="AT34" s="343">
        <f>IFERROR(AT$29/'7.Grafer'!AS$44,0)</f>
        <v>0</v>
      </c>
      <c r="AU34" s="343">
        <f>IFERROR(AU$29/'7.Grafer'!AT$44,0)</f>
        <v>0</v>
      </c>
      <c r="AV34" s="343">
        <f>IFERROR(AV$29/'7.Grafer'!AU$44,0)</f>
        <v>0</v>
      </c>
      <c r="AW34" s="343">
        <f>IFERROR(AW$29/'7.Grafer'!AV$44,0)</f>
        <v>0</v>
      </c>
      <c r="AX34" s="343">
        <f>IFERROR(AX$29/'7.Grafer'!AW$44,0)</f>
        <v>0</v>
      </c>
      <c r="AY34" s="343">
        <f>IFERROR(AY$29/'7.Grafer'!AX$44,0)</f>
        <v>0</v>
      </c>
      <c r="AZ34" s="343">
        <f>IFERROR(AZ$29/'7.Grafer'!AY$44,0)</f>
        <v>0</v>
      </c>
      <c r="BA34" s="343">
        <f>IFERROR(BA$29/'7.Grafer'!AZ$44,0)</f>
        <v>0</v>
      </c>
      <c r="BB34" s="190"/>
    </row>
    <row r="35" spans="2:54" s="191" customFormat="1" ht="12">
      <c r="B35" s="341" t="s">
        <v>244</v>
      </c>
      <c r="C35" s="342"/>
      <c r="D35" s="343">
        <f ca="1">IFERROR(D$29/'7.Grafer'!C$48,0)</f>
        <v>5.8843554687500008E-2</v>
      </c>
      <c r="E35" s="343">
        <f ca="1">IFERROR(E$29/'7.Grafer'!D$48,0)</f>
        <v>6.1526370967741939E-2</v>
      </c>
      <c r="F35" s="343">
        <f ca="1">IFERROR(F$29/'7.Grafer'!E$48,0)</f>
        <v>6.4398033975000005E-2</v>
      </c>
      <c r="G35" s="343">
        <f ca="1">IFERROR(G$29/'7.Grafer'!F$48,0)</f>
        <v>6.7478196181189679E-2</v>
      </c>
      <c r="H35" s="343">
        <f ca="1">IFERROR(H$29/'7.Grafer'!G$48,0)</f>
        <v>7.078931866263441E-2</v>
      </c>
      <c r="I35" s="343">
        <f ca="1">IFERROR(I$29/'7.Grafer'!H$48,0)</f>
        <v>7.4357191216007798E-2</v>
      </c>
      <c r="J35" s="343">
        <f ca="1">IFERROR(J$29/'7.Grafer'!I$48,0)</f>
        <v>7.8211572500838822E-2</v>
      </c>
      <c r="K35" s="343">
        <f ca="1">IFERROR(K$29/'7.Grafer'!J$48,0)</f>
        <v>8.2386983816010492E-2</v>
      </c>
      <c r="L35" s="343">
        <f ca="1">IFERROR(L$29/'7.Grafer'!K$48,0)</f>
        <v>8.6923701320157351E-2</v>
      </c>
      <c r="M35" s="343">
        <f ca="1">IFERROR(M$29/'7.Grafer'!L$48,0)</f>
        <v>9.1869007091922472E-2</v>
      </c>
      <c r="N35" s="343">
        <f ca="1">IFERROR(N$29/'7.Grafer'!M$48,0)</f>
        <v>9.7278781388200966E-2</v>
      </c>
      <c r="O35" s="343">
        <f ca="1">IFERROR(O$29/'7.Grafer'!N$48,0)</f>
        <v>0.10321954983302116</v>
      </c>
      <c r="P35" s="343">
        <f ca="1">IFERROR(P$29/'7.Grafer'!O$48,0)</f>
        <v>0.109771144762776</v>
      </c>
      <c r="Q35" s="343">
        <f ca="1">IFERROR(Q$29/'7.Grafer'!P$48,0)</f>
        <v>0.11703020699592034</v>
      </c>
      <c r="R35" s="343">
        <f ca="1">IFERROR(R$29/'7.Grafer'!Q$48,0)</f>
        <v>0.12511485485885884</v>
      </c>
      <c r="S35" s="343">
        <f ca="1">IFERROR(S$29/'7.Grafer'!R$48,0)</f>
        <v>0.13417100110291005</v>
      </c>
      <c r="T35" s="343">
        <f ca="1">IFERROR(T$29/'7.Grafer'!S$48,0)</f>
        <v>0.14438103866467838</v>
      </c>
      <c r="U35" s="343">
        <f ca="1">IFERROR(U$29/'7.Grafer'!T$48,0)</f>
        <v>0.1559760007300727</v>
      </c>
      <c r="V35" s="343">
        <f ca="1">IFERROR(V$29/'7.Grafer'!U$48,0)</f>
        <v>0.1692529322537758</v>
      </c>
      <c r="W35" s="343">
        <f ca="1">IFERROR(W$29/'7.Grafer'!V$48,0)</f>
        <v>0.18460027910246352</v>
      </c>
      <c r="X35" s="343">
        <f ca="1">IFERROR(X$29/'7.Grafer'!W$48,0)</f>
        <v>0.20253597176893728</v>
      </c>
      <c r="Y35" s="343">
        <f>IFERROR(Y$29/'7.Grafer'!X$48,0)</f>
        <v>0</v>
      </c>
      <c r="Z35" s="343">
        <f>IFERROR(Z$29/'7.Grafer'!Y$48,0)</f>
        <v>0</v>
      </c>
      <c r="AA35" s="343">
        <f>IFERROR(AA$29/'7.Grafer'!Z$48,0)</f>
        <v>0</v>
      </c>
      <c r="AB35" s="343">
        <f>IFERROR(AB$29/'7.Grafer'!AA$48,0)</f>
        <v>0</v>
      </c>
      <c r="AC35" s="343">
        <f>IFERROR(AC$29/'7.Grafer'!AB$48,0)</f>
        <v>0</v>
      </c>
      <c r="AD35" s="343">
        <f>IFERROR(AD$29/'7.Grafer'!AC$48,0)</f>
        <v>0</v>
      </c>
      <c r="AE35" s="343">
        <f>IFERROR(AE$29/'7.Grafer'!AD$48,0)</f>
        <v>0</v>
      </c>
      <c r="AF35" s="343">
        <f>IFERROR(AF$29/'7.Grafer'!AE$48,0)</f>
        <v>0</v>
      </c>
      <c r="AG35" s="343">
        <f>IFERROR(AG$29/'7.Grafer'!AF$48,0)</f>
        <v>0</v>
      </c>
      <c r="AH35" s="343">
        <f>IFERROR(AH$29/'7.Grafer'!AG$48,0)</f>
        <v>0</v>
      </c>
      <c r="AI35" s="343">
        <f>IFERROR(AI$29/'7.Grafer'!AH$48,0)</f>
        <v>0</v>
      </c>
      <c r="AJ35" s="343">
        <f>IFERROR(AJ$29/'7.Grafer'!AI$48,0)</f>
        <v>0</v>
      </c>
      <c r="AK35" s="343">
        <f>IFERROR(AK$29/'7.Grafer'!AJ$48,0)</f>
        <v>0</v>
      </c>
      <c r="AL35" s="343">
        <f>IFERROR(AL$29/'7.Grafer'!AK$48,0)</f>
        <v>0</v>
      </c>
      <c r="AM35" s="343">
        <f>IFERROR(AM$29/'7.Grafer'!AL$48,0)</f>
        <v>0</v>
      </c>
      <c r="AN35" s="343">
        <f>IFERROR(AN$29/'7.Grafer'!AM$48,0)</f>
        <v>0</v>
      </c>
      <c r="AO35" s="343">
        <f>IFERROR(AO$29/'7.Grafer'!AN$48,0)</f>
        <v>0</v>
      </c>
      <c r="AP35" s="343">
        <f>IFERROR(AP$29/'7.Grafer'!AO$48,0)</f>
        <v>0</v>
      </c>
      <c r="AQ35" s="343">
        <f>IFERROR(AQ$29/'7.Grafer'!AP$48,0)</f>
        <v>0</v>
      </c>
      <c r="AR35" s="343">
        <f>IFERROR(AR$29/'7.Grafer'!AQ$48,0)</f>
        <v>0</v>
      </c>
      <c r="AS35" s="343">
        <f>IFERROR(AS$29/'7.Grafer'!AR$48,0)</f>
        <v>0</v>
      </c>
      <c r="AT35" s="343">
        <f>IFERROR(AT$29/'7.Grafer'!AS$48,0)</f>
        <v>0</v>
      </c>
      <c r="AU35" s="343">
        <f>IFERROR(AU$29/'7.Grafer'!AT$48,0)</f>
        <v>0</v>
      </c>
      <c r="AV35" s="343">
        <f>IFERROR(AV$29/'7.Grafer'!AU$48,0)</f>
        <v>0</v>
      </c>
      <c r="AW35" s="343">
        <f>IFERROR(AW$29/'7.Grafer'!AV$48,0)</f>
        <v>0</v>
      </c>
      <c r="AX35" s="343">
        <f>IFERROR(AX$29/'7.Grafer'!AW$48,0)</f>
        <v>0</v>
      </c>
      <c r="AY35" s="343">
        <f>IFERROR(AY$29/'7.Grafer'!AX$48,0)</f>
        <v>0</v>
      </c>
      <c r="AZ35" s="343">
        <f>IFERROR(AZ$29/'7.Grafer'!AY$48,0)</f>
        <v>0</v>
      </c>
      <c r="BA35" s="343">
        <f>IFERROR(BA$29/'7.Grafer'!AZ$48,0)</f>
        <v>0</v>
      </c>
      <c r="BB35" s="190"/>
    </row>
    <row r="36" spans="2:54" hidden="1" outlineLevel="1">
      <c r="B36" s="192" t="s">
        <v>245</v>
      </c>
      <c r="C36" s="532"/>
      <c r="D36" s="192">
        <f ca="1">(D$29-D$25)/((1+'2. Kalkyldata'!$M$7)^'4. NPV'!D$5)</f>
        <v>13098517.455762792</v>
      </c>
      <c r="E36" s="192">
        <f ca="1">(E$29-E$25)/((1+'2. Kalkyldata'!$M$7)^'4. NPV'!E$5)</f>
        <v>12690309.703333337</v>
      </c>
      <c r="F36" s="192">
        <f ca="1">(F$29-F$25)/((1+'2. Kalkyldata'!$M$7)^'4. NPV'!F$5)</f>
        <v>12294731.646523232</v>
      </c>
      <c r="G36" s="192">
        <f ca="1">(G$29-G$25)/((1+'2. Kalkyldata'!$M$7)^'4. NPV'!G$5)</f>
        <v>11911394.696503207</v>
      </c>
      <c r="H36" s="192">
        <f ca="1">(H$29-H$25)/((1+'2. Kalkyldata'!$M$7)^'4. NPV'!H$5)</f>
        <v>11539922.16904518</v>
      </c>
      <c r="I36" s="192">
        <f ca="1">(I$29-I$25)/((1+'2. Kalkyldata'!$M$7)^'4. NPV'!I$5)</f>
        <v>11179948.921048013</v>
      </c>
      <c r="J36" s="192">
        <f ca="1">(J$29-J$25)/((1+'2. Kalkyldata'!$M$7)^'4. NPV'!J$5)</f>
        <v>10831120.998131493</v>
      </c>
      <c r="K36" s="192">
        <f ca="1">(K$29-K$25)/((1+'2. Kalkyldata'!$M$7)^'4. NPV'!K$5)</f>
        <v>10493095.292962182</v>
      </c>
      <c r="L36" s="192">
        <f ca="1">(L$29-L$25)/((1+'2. Kalkyldata'!$M$7)^'4. NPV'!L$5)</f>
        <v>10165539.21398502</v>
      </c>
      <c r="M36" s="192">
        <f ca="1">(M$29-M$25)/((1+'2. Kalkyldata'!$M$7)^'4. NPV'!M$5)</f>
        <v>9848130.3642444499</v>
      </c>
      <c r="N36" s="192">
        <f ca="1">(N$29-N$25)/((1+'2. Kalkyldata'!$M$7)^'4. NPV'!N$5)</f>
        <v>9540556.229988439</v>
      </c>
      <c r="O36" s="192">
        <f ca="1">(O$29-O$25)/((1+'2. Kalkyldata'!$M$7)^'4. NPV'!O$5)</f>
        <v>9242513.8787579946</v>
      </c>
      <c r="P36" s="192">
        <f ca="1">(P$29-P$25)/((1+'2. Kalkyldata'!$M$7)^'4. NPV'!P$5)</f>
        <v>8953709.6666739769</v>
      </c>
      <c r="Q36" s="192">
        <f ca="1">(Q$29-Q$25)/((1+'2. Kalkyldata'!$M$7)^'4. NPV'!Q$5)</f>
        <v>8673858.9546414968</v>
      </c>
      <c r="R36" s="192">
        <f ca="1">(R$29-R$25)/((1+'2. Kalkyldata'!$M$7)^'4. NPV'!R$5)</f>
        <v>8402685.83320098</v>
      </c>
      <c r="S36" s="192">
        <f ca="1">(S$29-S$25)/((1+'2. Kalkyldata'!$M$7)^'4. NPV'!S$5)</f>
        <v>8139922.8557628747</v>
      </c>
      <c r="T36" s="192">
        <f ca="1">(T$29-T$25)/((1+'2. Kalkyldata'!$M$7)^'4. NPV'!T$5)</f>
        <v>7885310.7799712447</v>
      </c>
      <c r="U36" s="192">
        <f ca="1">(U$29-U$25)/((1+'2. Kalkyldata'!$M$7)^'4. NPV'!U$5)</f>
        <v>7638598.3169490555</v>
      </c>
      <c r="V36" s="192">
        <f ca="1">(V$29-V$25)/((1+'2. Kalkyldata'!$M$7)^'4. NPV'!V$5)</f>
        <v>7399541.8881855067</v>
      </c>
      <c r="W36" s="192">
        <f ca="1">(W$29-W$25)/((1+'2. Kalkyldata'!$M$7)^'4. NPV'!W$5)</f>
        <v>7167905.3898330461</v>
      </c>
      <c r="X36" s="192">
        <f ca="1">(X$29-X$25)/((1+'2.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06"/>
    </row>
    <row r="37" spans="2:54" hidden="1" outlineLevel="1">
      <c r="B37" s="192" t="s">
        <v>246</v>
      </c>
      <c r="C37" s="532"/>
      <c r="D37" s="192">
        <f ca="1">D$29-D$25</f>
        <v>13694500</v>
      </c>
      <c r="E37" s="192">
        <f t="shared" ref="E37:BA37" ca="1" si="16">E$29-E$25</f>
        <v>13871400</v>
      </c>
      <c r="F37" s="192">
        <f t="shared" ca="1" si="16"/>
        <v>14050480.140000001</v>
      </c>
      <c r="G37" s="192">
        <f t="shared" ca="1" si="16"/>
        <v>14231765.012760002</v>
      </c>
      <c r="H37" s="192">
        <f t="shared" ca="1" si="16"/>
        <v>14415279.436754644</v>
      </c>
      <c r="I37" s="192">
        <f t="shared" ca="1" si="16"/>
        <v>14601048.456961529</v>
      </c>
      <c r="J37" s="192">
        <f t="shared" ca="1" si="16"/>
        <v>14789097.345613157</v>
      </c>
      <c r="K37" s="192">
        <f t="shared" ca="1" si="16"/>
        <v>14979451.602910995</v>
      </c>
      <c r="L37" s="192">
        <f t="shared" ca="1" si="16"/>
        <v>15172136.957700187</v>
      </c>
      <c r="M37" s="192">
        <f t="shared" ca="1" si="16"/>
        <v>15367179.368103392</v>
      </c>
      <c r="N37" s="192">
        <f t="shared" ca="1" si="16"/>
        <v>15564605.022112153</v>
      </c>
      <c r="O37" s="192">
        <f t="shared" ca="1" si="16"/>
        <v>15764440.33813414</v>
      </c>
      <c r="P37" s="192">
        <f t="shared" ca="1" si="16"/>
        <v>15966711.965494689</v>
      </c>
      <c r="Q37" s="192">
        <f t="shared" ca="1" si="16"/>
        <v>16171446.784890812</v>
      </c>
      <c r="R37" s="192">
        <f t="shared" ca="1" si="16"/>
        <v>16378671.908796068</v>
      </c>
      <c r="S37" s="192">
        <f t="shared" ca="1" si="16"/>
        <v>16588414.681814335</v>
      </c>
      <c r="T37" s="192">
        <f t="shared" ca="1" si="16"/>
        <v>16800702.680980761</v>
      </c>
      <c r="U37" s="192">
        <f t="shared" ca="1" si="16"/>
        <v>17015563.716007937</v>
      </c>
      <c r="V37" s="192">
        <f t="shared" ca="1" si="16"/>
        <v>17233025.829475358</v>
      </c>
      <c r="W37" s="192">
        <f t="shared" ca="1" si="16"/>
        <v>17453117.29696019</v>
      </c>
      <c r="X37" s="192">
        <f t="shared" ca="1"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06"/>
    </row>
    <row r="38" spans="2:54" hidden="1" outlineLevel="1">
      <c r="B38" s="192" t="s">
        <v>247</v>
      </c>
      <c r="C38" s="532"/>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06"/>
    </row>
    <row r="39" spans="2:54" hidden="1" outlineLevel="1">
      <c r="B39" s="192" t="s">
        <v>248</v>
      </c>
      <c r="C39" s="532"/>
      <c r="D39" s="192">
        <f ca="1">IF(-D$25+SUM(($D$29:D$29))&gt;'2. Kalkyldata'!$W$28,"",(SUM(($D$29:D$29))))</f>
        <v>13694500</v>
      </c>
      <c r="E39" s="192">
        <f ca="1">IF(-E$25+SUM(($D$29:E$29))&gt;'2. Kalkyldata'!$W$28,"",(SUM(($D$29:E$29))))</f>
        <v>27565900</v>
      </c>
      <c r="F39" s="192">
        <f ca="1">IF(-F$25+SUM(($D$29:F$29))&gt;'2. Kalkyldata'!$W$28,"",(SUM(($D$29:F$29))))</f>
        <v>41616380.140000001</v>
      </c>
      <c r="G39" s="192">
        <f ca="1">IF(-G$25+SUM(($D$29:G$29))&gt;'2. Kalkyldata'!$W$28,"",(SUM(($D$29:G$29))))</f>
        <v>55848145.152759999</v>
      </c>
      <c r="H39" s="192">
        <f ca="1">IF(-H$25+SUM(($D$29:H$29))&gt;'2. Kalkyldata'!$W$28,"",(SUM(($D$29:H$29))))</f>
        <v>70263424.589514643</v>
      </c>
      <c r="I39" s="192">
        <f ca="1">IF(-I$25+SUM(($D$29:I$29))&gt;'2. Kalkyldata'!$W$28,"",(SUM(($D$29:I$29))))</f>
        <v>84864473.04647617</v>
      </c>
      <c r="J39" s="192">
        <f ca="1">IF(-J$25+SUM(($D$29:J$29))&gt;'2. Kalkyldata'!$W$28,"",(SUM(($D$29:J$29))))</f>
        <v>99653570.392089322</v>
      </c>
      <c r="K39" s="192">
        <f ca="1">IF(-K$25+SUM(($D$29:K$29))&gt;'2. Kalkyldata'!$W$28,"",(SUM(($D$29:K$29))))</f>
        <v>114633021.99500032</v>
      </c>
      <c r="L39" s="192">
        <f ca="1">IF(-L$25+SUM(($D$29:L$29))&gt;'2. Kalkyldata'!$W$28,"",(SUM(($D$29:L$29))))</f>
        <v>129805158.95270051</v>
      </c>
      <c r="M39" s="192">
        <f ca="1">IF(-M$25+SUM(($D$29:M$29))&gt;'2. Kalkyldata'!$W$28,"",(SUM(($D$29:M$29))))</f>
        <v>145172338.32080391</v>
      </c>
      <c r="N39" s="192">
        <f ca="1">IF(-N$25+SUM(($D$29:N$29))&gt;'2. Kalkyldata'!$W$28,"",(SUM(($D$29:N$29))))</f>
        <v>160736943.34291607</v>
      </c>
      <c r="O39" s="192">
        <f ca="1">IF(-O$25+SUM(($D$29:O$29))&gt;'2. Kalkyldata'!$W$28,"",(SUM(($D$29:O$29))))</f>
        <v>176501383.68105021</v>
      </c>
      <c r="P39" s="192">
        <f ca="1">IF(-P$25+SUM(($D$29:P$29))&gt;'2. Kalkyldata'!$W$28,"",(SUM(($D$29:P$29))))</f>
        <v>192468095.6465449</v>
      </c>
      <c r="Q39" s="192">
        <f ca="1">IF(-Q$25+SUM(($D$29:Q$29))&gt;'2. Kalkyldata'!$W$28,"",(SUM(($D$29:Q$29))))</f>
        <v>208639542.4314357</v>
      </c>
      <c r="R39" s="192">
        <f ca="1">IF(-R$25+SUM(($D$29:R$29))&gt;'2. Kalkyldata'!$W$28,"",(SUM(($D$29:R$29))))</f>
        <v>225018214.34023178</v>
      </c>
      <c r="S39" s="192" t="str">
        <f ca="1">IF(-S$25+SUM(($D$29:S$29))&gt;'2. Kalkyldata'!$W$28,"",(SUM(($D$29:S$29))))</f>
        <v/>
      </c>
      <c r="T39" s="192" t="str">
        <f ca="1">IF(-T$25+SUM(($D$29:T$29))&gt;'2. Kalkyldata'!$W$28,"",(SUM(($D$29:T$29))))</f>
        <v/>
      </c>
      <c r="U39" s="192" t="str">
        <f ca="1">IF(-U$25+SUM(($D$29:U$29))&gt;'2. Kalkyldata'!$W$28,"",(SUM(($D$29:U$29))))</f>
        <v/>
      </c>
      <c r="V39" s="192" t="str">
        <f ca="1">IF(-V$25+SUM(($D$29:V$29))&gt;'2. Kalkyldata'!$W$28,"",(SUM(($D$29:V$29))))</f>
        <v/>
      </c>
      <c r="W39" s="192" t="str">
        <f ca="1">IF(-W$25+SUM(($D$29:W$29))&gt;'2. Kalkyldata'!$W$28,"",(SUM(($D$29:W$29))))</f>
        <v/>
      </c>
      <c r="X39" s="192" t="str">
        <f ca="1">IF(-X$25+SUM(($D$29:X$29))&gt;'2. Kalkyldata'!$W$28,"",(SUM(($D$29:X$29))))</f>
        <v/>
      </c>
      <c r="Y39" s="192" t="str">
        <f ca="1">IF(-Y$25+SUM(($D$29:Y$29))&gt;'2. Kalkyldata'!$W$28,"",(SUM(($D$29:Y$29))))</f>
        <v/>
      </c>
      <c r="Z39" s="192" t="str">
        <f ca="1">IF(-Z$25+SUM(($D$29:Z$29))&gt;'2. Kalkyldata'!$W$28,"",(SUM(($D$29:Z$29))))</f>
        <v/>
      </c>
      <c r="AA39" s="192" t="str">
        <f ca="1">IF(-AA$25+SUM(($D$29:AA$29))&gt;'2. Kalkyldata'!$W$28,"",(SUM(($D$29:AA$29))))</f>
        <v/>
      </c>
      <c r="AB39" s="192" t="str">
        <f ca="1">IF(-AB$25+SUM(($D$29:AB$29))&gt;'2. Kalkyldata'!$W$28,"",(SUM(($D$29:AB$29))))</f>
        <v/>
      </c>
      <c r="AC39" s="192" t="str">
        <f ca="1">IF(-AC$25+SUM(($D$29:AC$29))&gt;'2. Kalkyldata'!$W$28,"",(SUM(($D$29:AC$29))))</f>
        <v/>
      </c>
      <c r="AD39" s="192" t="str">
        <f ca="1">IF(-AD$25+SUM(($D$29:AD$29))&gt;'2. Kalkyldata'!$W$28,"",(SUM(($D$29:AD$29))))</f>
        <v/>
      </c>
      <c r="AE39" s="192" t="str">
        <f ca="1">IF(-AE$25+SUM(($D$29:AE$29))&gt;'2. Kalkyldata'!$W$28,"",(SUM(($D$29:AE$29))))</f>
        <v/>
      </c>
      <c r="AF39" s="192" t="str">
        <f ca="1">IF(-AF$25+SUM(($D$29:AF$29))&gt;'2. Kalkyldata'!$W$28,"",(SUM(($D$29:AF$29))))</f>
        <v/>
      </c>
      <c r="AG39" s="192" t="str">
        <f ca="1">IF(-AG$25+SUM(($D$29:AG$29))&gt;'2. Kalkyldata'!$W$28,"",(SUM(($D$29:AG$29))))</f>
        <v/>
      </c>
      <c r="AH39" s="192" t="str">
        <f ca="1">IF(-AH$25+SUM(($D$29:AH$29))&gt;'2. Kalkyldata'!$W$28,"",(SUM(($D$29:AH$29))))</f>
        <v/>
      </c>
      <c r="AI39" s="192" t="str">
        <f ca="1">IF(-AI$25+SUM(($D$29:AI$29))&gt;'2. Kalkyldata'!$W$28,"",(SUM(($D$29:AI$29))))</f>
        <v/>
      </c>
      <c r="AJ39" s="192" t="str">
        <f ca="1">IF(-AJ$25+SUM(($D$29:AJ$29))&gt;'2. Kalkyldata'!$W$28,"",(SUM(($D$29:AJ$29))))</f>
        <v/>
      </c>
      <c r="AK39" s="192" t="str">
        <f ca="1">IF(-AK$25+SUM(($D$29:AK$29))&gt;'2. Kalkyldata'!$W$28,"",(SUM(($D$29:AK$29))))</f>
        <v/>
      </c>
      <c r="AL39" s="192" t="str">
        <f ca="1">IF(-AL$25+SUM(($D$29:AL$29))&gt;'2. Kalkyldata'!$W$28,"",(SUM(($D$29:AL$29))))</f>
        <v/>
      </c>
      <c r="AM39" s="192" t="str">
        <f ca="1">IF(-AM$25+SUM(($D$29:AM$29))&gt;'2. Kalkyldata'!$W$28,"",(SUM(($D$29:AM$29))))</f>
        <v/>
      </c>
      <c r="AN39" s="192" t="str">
        <f ca="1">IF(-AN$25+SUM(($D$29:AN$29))&gt;'2. Kalkyldata'!$W$28,"",(SUM(($D$29:AN$29))))</f>
        <v/>
      </c>
      <c r="AO39" s="192" t="str">
        <f ca="1">IF(-AO$25+SUM(($D$29:AO$29))&gt;'2. Kalkyldata'!$W$28,"",(SUM(($D$29:AO$29))))</f>
        <v/>
      </c>
      <c r="AP39" s="192" t="str">
        <f ca="1">IF(-AP$25+SUM(($D$29:AP$29))&gt;'2. Kalkyldata'!$W$28,"",(SUM(($D$29:AP$29))))</f>
        <v/>
      </c>
      <c r="AQ39" s="192" t="str">
        <f ca="1">IF(-AQ$25+SUM(($D$29:AQ$29))&gt;'2. Kalkyldata'!$W$28,"",(SUM(($D$29:AQ$29))))</f>
        <v/>
      </c>
      <c r="AR39" s="192" t="str">
        <f ca="1">IF(-AR$25+SUM(($D$29:AR$29))&gt;'2. Kalkyldata'!$W$28,"",(SUM(($D$29:AR$29))))</f>
        <v/>
      </c>
      <c r="AS39" s="192" t="str">
        <f ca="1">IF(-AS$25+SUM(($D$29:AS$29))&gt;'2. Kalkyldata'!$W$28,"",(SUM(($D$29:AS$29))))</f>
        <v/>
      </c>
      <c r="AT39" s="192" t="str">
        <f ca="1">IF(-AT$25+SUM(($D$29:AT$29))&gt;'2. Kalkyldata'!$W$28,"",(SUM(($D$29:AT$29))))</f>
        <v/>
      </c>
      <c r="AU39" s="192" t="str">
        <f ca="1">IF(-AU$25+SUM(($D$29:AU$29))&gt;'2. Kalkyldata'!$W$28,"",(SUM(($D$29:AU$29))))</f>
        <v/>
      </c>
      <c r="AV39" s="192" t="str">
        <f ca="1">IF(-AV$25+SUM(($D$29:AV$29))&gt;'2. Kalkyldata'!$W$28,"",(SUM(($D$29:AV$29))))</f>
        <v/>
      </c>
      <c r="AW39" s="192" t="str">
        <f ca="1">IF(-AW$25+SUM(($D$29:AW$29))&gt;'2. Kalkyldata'!$W$28,"",(SUM(($D$29:AW$29))))</f>
        <v/>
      </c>
      <c r="AX39" s="192" t="str">
        <f ca="1">IF(-AX$25+SUM(($D$29:AX$29))&gt;'2. Kalkyldata'!$W$28,"",(SUM(($D$29:AX$29))))</f>
        <v/>
      </c>
      <c r="AY39" s="192" t="str">
        <f ca="1">IF(-AY$25+SUM(($D$29:AY$29))&gt;'2. Kalkyldata'!$W$28,"",(SUM(($D$29:AY$29))))</f>
        <v/>
      </c>
      <c r="AZ39" s="192" t="str">
        <f ca="1">IF(-AZ$25+SUM(($D$29:AZ$29))&gt;'2. Kalkyldata'!$W$28,"",(SUM(($D$29:AZ$29))))</f>
        <v/>
      </c>
      <c r="BA39" s="192" t="str">
        <f ca="1">IF(-BA$25+SUM(($D$29:BA$29))&gt;'2. Kalkyldata'!$W$28,"",(SUM(($D$29:BA$29))))</f>
        <v/>
      </c>
      <c r="BB39" s="506"/>
    </row>
    <row r="40" spans="2:54" hidden="1" outlineLevel="1">
      <c r="B40" s="192" t="s">
        <v>249</v>
      </c>
      <c r="C40" s="532"/>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ca="1"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06"/>
    </row>
    <row r="41" spans="2:54" hidden="1" outlineLevel="1">
      <c r="B41" s="192" t="s">
        <v>250</v>
      </c>
      <c r="C41" s="532"/>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ca="1"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06"/>
    </row>
    <row r="42" spans="2:54" hidden="1" outlineLevel="1">
      <c r="B42" s="192" t="s">
        <v>251</v>
      </c>
      <c r="C42" s="532"/>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06"/>
    </row>
    <row r="43" spans="2:54" ht="15" hidden="1" outlineLevel="1">
      <c r="B43" s="193"/>
      <c r="C43" s="194">
        <f>$D$4+(C47-1)</f>
        <v>2035</v>
      </c>
      <c r="D43" s="194">
        <f>$D$4+(E47-1)</f>
        <v>2045</v>
      </c>
      <c r="E43" s="193"/>
      <c r="F43" s="195" t="str">
        <f>IF(OR(C43="",D43=""),"ÅR SAKNAS ovan NPV år!!!","")</f>
        <v/>
      </c>
      <c r="G43" s="196"/>
      <c r="H43" s="740"/>
      <c r="I43" s="740"/>
      <c r="J43" s="639"/>
      <c r="K43" s="639"/>
      <c r="L43" s="639"/>
      <c r="M43" s="639"/>
      <c r="N43" s="639"/>
      <c r="O43" s="639"/>
      <c r="P43" s="639"/>
      <c r="Q43" s="639"/>
      <c r="R43" s="639"/>
      <c r="S43" s="639"/>
      <c r="T43" s="639"/>
      <c r="U43" s="639"/>
      <c r="V43" s="639"/>
      <c r="W43" s="639"/>
      <c r="X43" s="639"/>
      <c r="Y43" s="639"/>
      <c r="Z43" s="639"/>
      <c r="AA43" s="639"/>
      <c r="AB43" s="639"/>
      <c r="AC43" s="639"/>
      <c r="AD43" s="639"/>
      <c r="AE43" s="639"/>
      <c r="AF43" s="639"/>
      <c r="AG43" s="639"/>
      <c r="AH43" s="639"/>
      <c r="AI43" s="639"/>
      <c r="AJ43" s="639"/>
      <c r="AK43" s="639"/>
      <c r="AL43" s="639"/>
      <c r="AM43" s="639"/>
      <c r="AN43" s="639"/>
      <c r="AO43" s="639"/>
      <c r="AP43" s="639"/>
      <c r="AQ43" s="639"/>
      <c r="AR43" s="639"/>
      <c r="AS43" s="639"/>
      <c r="AT43" s="639"/>
      <c r="AU43" s="506"/>
      <c r="AV43" s="506"/>
      <c r="AW43" s="506"/>
      <c r="AX43" s="506"/>
      <c r="AY43" s="506"/>
      <c r="AZ43" s="506"/>
      <c r="BA43" s="506"/>
      <c r="BB43" s="506"/>
    </row>
    <row r="44" spans="2:54" ht="15" hidden="1" outlineLevel="1">
      <c r="B44" s="198"/>
      <c r="C44" s="199" t="str">
        <f>LOOKUP(C43,D4:BA4,D3:BA3)</f>
        <v>&lt;=2035</v>
      </c>
      <c r="D44" s="199" t="str">
        <f>LOOKUP(D43,E4:BB4,E3:BB3)</f>
        <v>&lt;=2045</v>
      </c>
      <c r="E44" s="193"/>
      <c r="F44" s="195" t="str">
        <f>IF(OR(C44="",D44=""),"ÅR SAKNAS ovan NPV år!!!","")</f>
        <v/>
      </c>
      <c r="G44" s="506"/>
      <c r="H44" s="740"/>
      <c r="I44" s="740"/>
      <c r="J44" s="639"/>
      <c r="K44" s="639"/>
      <c r="L44" s="639"/>
      <c r="M44" s="639"/>
      <c r="N44" s="639"/>
      <c r="O44" s="639"/>
      <c r="P44" s="639"/>
      <c r="Q44" s="639"/>
      <c r="R44" s="639"/>
      <c r="S44" s="639"/>
      <c r="T44" s="639"/>
      <c r="U44" s="639"/>
      <c r="V44" s="639"/>
      <c r="W44" s="639"/>
      <c r="X44" s="639"/>
      <c r="Y44" s="639"/>
      <c r="Z44" s="639"/>
      <c r="AA44" s="639"/>
      <c r="AB44" s="639"/>
      <c r="AC44" s="639"/>
      <c r="AD44" s="639"/>
      <c r="AE44" s="639"/>
      <c r="AF44" s="639"/>
      <c r="AG44" s="639"/>
      <c r="AH44" s="639"/>
      <c r="AI44" s="639"/>
      <c r="AJ44" s="639"/>
      <c r="AK44" s="639"/>
      <c r="AL44" s="506"/>
      <c r="AM44" s="506"/>
      <c r="AN44" s="506"/>
      <c r="AO44" s="506"/>
      <c r="AP44" s="506"/>
      <c r="AQ44" s="506"/>
      <c r="AR44" s="506"/>
      <c r="AS44" s="506"/>
      <c r="AT44" s="506"/>
      <c r="AU44" s="506"/>
      <c r="AV44" s="506"/>
      <c r="AW44" s="506"/>
      <c r="AX44" s="506"/>
      <c r="AY44" s="506"/>
      <c r="AZ44" s="506"/>
      <c r="BA44" s="506"/>
      <c r="BB44" s="506"/>
    </row>
    <row r="45" spans="2:54" ht="15" hidden="1" outlineLevel="1">
      <c r="B45" s="198"/>
      <c r="C45" s="199"/>
      <c r="D45" s="199"/>
      <c r="E45" s="193"/>
      <c r="F45" s="195"/>
      <c r="G45" s="506"/>
      <c r="H45" s="197"/>
      <c r="I45" s="197"/>
      <c r="J45" s="639"/>
      <c r="K45" s="639"/>
      <c r="L45" s="639"/>
      <c r="M45" s="639"/>
      <c r="N45" s="639"/>
      <c r="O45" s="639"/>
      <c r="P45" s="639"/>
      <c r="Q45" s="639"/>
      <c r="R45" s="639"/>
      <c r="S45" s="639"/>
      <c r="T45" s="639"/>
      <c r="U45" s="639"/>
      <c r="V45" s="639"/>
      <c r="W45" s="639"/>
      <c r="X45" s="639"/>
      <c r="Y45" s="639"/>
      <c r="Z45" s="639"/>
      <c r="AA45" s="639"/>
      <c r="AB45" s="639"/>
      <c r="AC45" s="639"/>
      <c r="AD45" s="639"/>
      <c r="AE45" s="639"/>
      <c r="AF45" s="639"/>
      <c r="AG45" s="639"/>
      <c r="AH45" s="639"/>
      <c r="AI45" s="639"/>
      <c r="AJ45" s="639"/>
      <c r="AK45" s="639"/>
      <c r="AL45" s="506"/>
      <c r="AM45" s="506"/>
      <c r="AN45" s="506"/>
      <c r="AO45" s="506"/>
      <c r="AP45" s="506"/>
      <c r="AQ45" s="506"/>
      <c r="AR45" s="506"/>
      <c r="AS45" s="506"/>
      <c r="AT45" s="506"/>
      <c r="AU45" s="506"/>
      <c r="AV45" s="506"/>
      <c r="AW45" s="506"/>
      <c r="AX45" s="506"/>
      <c r="AY45" s="506"/>
      <c r="AZ45" s="506"/>
      <c r="BA45" s="506"/>
      <c r="BB45" s="506"/>
    </row>
    <row r="46" spans="2:54" ht="15" collapsed="1">
      <c r="B46" s="69"/>
      <c r="C46" s="200"/>
      <c r="D46" s="200"/>
      <c r="E46" s="76"/>
      <c r="F46" s="195"/>
      <c r="G46" s="506"/>
      <c r="H46" s="197"/>
      <c r="I46" s="197"/>
      <c r="J46" s="639"/>
      <c r="K46" s="639"/>
      <c r="L46" s="639"/>
      <c r="M46" s="639"/>
      <c r="N46" s="639"/>
      <c r="O46" s="639"/>
      <c r="P46" s="639"/>
      <c r="Q46" s="639"/>
      <c r="R46" s="639"/>
      <c r="S46" s="639"/>
      <c r="T46" s="639"/>
      <c r="U46" s="639"/>
      <c r="V46" s="639"/>
      <c r="W46" s="639"/>
      <c r="X46" s="639"/>
      <c r="Y46" s="639"/>
      <c r="Z46" s="639"/>
      <c r="AA46" s="639"/>
      <c r="AB46" s="639"/>
      <c r="AC46" s="639"/>
      <c r="AD46" s="639"/>
      <c r="AE46" s="639"/>
      <c r="AF46" s="639"/>
      <c r="AG46" s="639"/>
      <c r="AH46" s="639"/>
      <c r="AI46" s="639"/>
      <c r="AJ46" s="639"/>
      <c r="AK46" s="639"/>
      <c r="AL46" s="506"/>
      <c r="AM46" s="506"/>
      <c r="AN46" s="506"/>
      <c r="AO46" s="506"/>
      <c r="AP46" s="506"/>
      <c r="AQ46" s="506"/>
      <c r="AR46" s="506"/>
      <c r="AS46" s="506"/>
      <c r="AT46" s="506"/>
      <c r="AU46" s="506"/>
      <c r="AV46" s="506"/>
      <c r="AW46" s="506"/>
      <c r="AX46" s="506"/>
      <c r="AY46" s="506"/>
      <c r="AZ46" s="506"/>
      <c r="BA46" s="506"/>
      <c r="BB46" s="506"/>
    </row>
    <row r="47" spans="2:54" s="201" customFormat="1" ht="30" customHeight="1">
      <c r="B47" s="428" t="s">
        <v>396</v>
      </c>
      <c r="C47" s="429">
        <v>10</v>
      </c>
      <c r="D47" s="429"/>
      <c r="E47" s="429">
        <f>'2. Kalkyldata'!P17</f>
        <v>20</v>
      </c>
      <c r="F47" s="581"/>
      <c r="G47" s="202"/>
      <c r="H47" s="203"/>
      <c r="I47" s="204"/>
      <c r="J47" s="640"/>
      <c r="K47" s="640"/>
      <c r="L47" s="640"/>
      <c r="M47" s="640"/>
      <c r="N47" s="640"/>
      <c r="O47" s="640"/>
      <c r="P47" s="640"/>
      <c r="Q47" s="640"/>
      <c r="R47" s="640"/>
      <c r="S47" s="640"/>
      <c r="T47" s="641"/>
      <c r="U47" s="641"/>
      <c r="V47" s="641"/>
      <c r="W47" s="641"/>
      <c r="X47" s="641"/>
      <c r="Y47" s="641"/>
      <c r="Z47" s="641"/>
      <c r="AA47" s="641"/>
      <c r="AB47" s="641"/>
      <c r="AC47" s="641"/>
      <c r="AD47" s="641"/>
      <c r="AE47" s="641"/>
      <c r="AF47" s="641"/>
      <c r="AG47" s="641"/>
      <c r="AH47" s="641"/>
      <c r="AI47" s="641"/>
      <c r="AJ47" s="641"/>
      <c r="AK47" s="641"/>
      <c r="AL47" s="581"/>
      <c r="AM47" s="581"/>
      <c r="AN47" s="581"/>
      <c r="AO47" s="581"/>
      <c r="AP47" s="581"/>
      <c r="AQ47" s="581"/>
      <c r="AR47" s="581"/>
      <c r="AS47" s="581"/>
      <c r="AT47" s="581"/>
      <c r="AU47" s="581"/>
      <c r="AV47" s="581"/>
      <c r="AW47" s="581"/>
      <c r="AX47" s="581"/>
      <c r="AY47" s="581"/>
      <c r="AZ47" s="581"/>
      <c r="BA47" s="581"/>
      <c r="BB47" s="581"/>
    </row>
    <row r="48" spans="2:54">
      <c r="B48" s="229" t="s">
        <v>252</v>
      </c>
      <c r="C48" s="333">
        <f ca="1">MROUND(SUMIFS($D$36:$BA$36,$D$4:$BA$4,$C$44),10000)</f>
        <v>114050000</v>
      </c>
      <c r="D48" s="333"/>
      <c r="E48" s="333">
        <f ca="1">MROUND(SUMIFS($D$36:$BA$36,$D$4:$BA$4,$D$44),10000)</f>
        <v>197100000</v>
      </c>
      <c r="F48" s="506"/>
      <c r="G48" s="506"/>
      <c r="H48" s="506"/>
      <c r="I48" s="506"/>
      <c r="J48" s="506"/>
      <c r="K48" s="640"/>
      <c r="L48" s="640"/>
      <c r="M48" s="640"/>
      <c r="N48" s="640"/>
      <c r="O48" s="640"/>
      <c r="P48" s="640"/>
      <c r="Q48" s="640"/>
      <c r="R48" s="640"/>
      <c r="S48" s="640"/>
      <c r="T48" s="506"/>
      <c r="U48" s="506"/>
      <c r="V48" s="506"/>
      <c r="W48" s="506"/>
      <c r="X48" s="558"/>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row>
    <row r="49" spans="2:25" ht="15">
      <c r="B49" s="229" t="s">
        <v>247</v>
      </c>
      <c r="C49" s="333">
        <f>-MROUND(SUM($D$38:$BA$38),10000)</f>
        <v>0</v>
      </c>
      <c r="D49" s="333"/>
      <c r="E49" s="333">
        <f>-MROUND(SUM($D$38:$BA$38),10000)</f>
        <v>0</v>
      </c>
      <c r="F49" s="506"/>
      <c r="G49" s="506"/>
      <c r="H49" s="506"/>
      <c r="I49" s="506"/>
      <c r="J49" s="506"/>
      <c r="K49" s="205"/>
      <c r="L49" s="205"/>
      <c r="M49" s="205"/>
      <c r="N49" s="205"/>
      <c r="O49" s="205"/>
      <c r="P49" s="205"/>
      <c r="Q49" s="205"/>
      <c r="R49" s="205"/>
      <c r="S49" s="205"/>
      <c r="T49" s="205"/>
      <c r="U49" s="205"/>
      <c r="V49" s="205"/>
      <c r="W49" s="205"/>
      <c r="X49" s="205"/>
      <c r="Y49" s="506"/>
    </row>
    <row r="50" spans="2:25">
      <c r="B50" s="229" t="s">
        <v>253</v>
      </c>
      <c r="C50" s="333">
        <f ca="1">MROUND(HLOOKUP(C$43+1,$D$4:$BA$33,26,FALSE)/'2. Kalkyldata'!$M$11,10000)</f>
        <v>239460000</v>
      </c>
      <c r="D50" s="333"/>
      <c r="E50" s="333">
        <f ca="1">MROUND(((HLOOKUP(D$43+1,$D$4:$BA$33,26,FALSE)-HLOOKUP(D$43+1,$D$4:$BA$33,22,FALSE))/'2. Kalkyldata'!$M$11),10000)</f>
        <v>271940000</v>
      </c>
      <c r="F50" s="506"/>
      <c r="G50" s="506"/>
      <c r="H50" s="506"/>
      <c r="I50" s="506"/>
      <c r="J50" s="506"/>
      <c r="K50" s="506"/>
      <c r="L50" s="506"/>
      <c r="M50" s="642"/>
      <c r="N50" s="506"/>
      <c r="O50" s="506"/>
      <c r="P50" s="506"/>
      <c r="Q50" s="506"/>
      <c r="R50" s="506"/>
      <c r="S50" s="506"/>
      <c r="T50" s="506"/>
      <c r="U50" s="506"/>
      <c r="V50" s="506"/>
      <c r="W50" s="506"/>
      <c r="X50" s="506"/>
      <c r="Y50" s="506"/>
    </row>
    <row r="51" spans="2:25" s="201" customFormat="1">
      <c r="B51" s="430" t="s">
        <v>254</v>
      </c>
      <c r="C51" s="333">
        <f ca="1">MROUND(C50/((1+'2. Kalkyldata'!$M$8)^(C47)),10000)</f>
        <v>105910000</v>
      </c>
      <c r="D51" s="333"/>
      <c r="E51" s="333">
        <f ca="1">MROUND(E50/((1+'2. Kalkyldata'!$M$8)^(E47)),10000)</f>
        <v>53200000</v>
      </c>
      <c r="F51" s="581"/>
      <c r="G51" s="581"/>
      <c r="H51" s="581"/>
      <c r="I51" s="581"/>
      <c r="J51" s="643"/>
      <c r="K51" s="643"/>
      <c r="L51" s="643"/>
      <c r="M51" s="643"/>
      <c r="N51" s="643"/>
      <c r="O51" s="643"/>
      <c r="P51" s="643"/>
      <c r="Q51" s="643"/>
      <c r="R51" s="643"/>
      <c r="S51" s="643"/>
      <c r="T51" s="643"/>
      <c r="U51" s="643"/>
      <c r="V51" s="581"/>
      <c r="W51" s="581"/>
      <c r="X51" s="581"/>
      <c r="Y51" s="581"/>
    </row>
    <row r="52" spans="2:25" ht="15">
      <c r="B52" s="431" t="s">
        <v>255</v>
      </c>
      <c r="C52" s="432">
        <f ca="1">IFERROR(C48+C49+C51,0)</f>
        <v>219960000</v>
      </c>
      <c r="D52" s="433"/>
      <c r="E52" s="433">
        <f ca="1">IFERROR(E51+E48+E49,0)</f>
        <v>250300000</v>
      </c>
      <c r="F52" s="506"/>
      <c r="G52" s="506"/>
      <c r="H52" s="506"/>
      <c r="I52" s="506"/>
      <c r="J52" s="506"/>
      <c r="K52" s="644"/>
      <c r="L52" s="645"/>
      <c r="M52" s="506"/>
      <c r="N52" s="506"/>
      <c r="O52" s="506"/>
      <c r="P52" s="506"/>
      <c r="Q52" s="506"/>
      <c r="R52" s="506"/>
      <c r="S52" s="506"/>
      <c r="T52" s="506"/>
      <c r="U52" s="506"/>
      <c r="V52" s="506"/>
      <c r="W52" s="506"/>
      <c r="X52" s="506"/>
      <c r="Y52" s="506"/>
    </row>
    <row r="53" spans="2:25">
      <c r="B53" s="434" t="s">
        <v>65</v>
      </c>
      <c r="C53" s="435">
        <f ca="1">IFERROR(C52/'2. Kalkyldata'!$H$28,0)</f>
        <v>36059.016393442624</v>
      </c>
      <c r="D53" s="435"/>
      <c r="E53" s="435">
        <f ca="1">IFERROR(E52/'2. Kalkyldata'!$H$28,0)</f>
        <v>41032.7868852459</v>
      </c>
      <c r="F53" s="195"/>
      <c r="G53" s="506"/>
      <c r="H53" s="506"/>
      <c r="I53" s="506"/>
      <c r="J53" s="506"/>
      <c r="K53" s="619"/>
      <c r="L53" s="506"/>
      <c r="M53" s="506"/>
      <c r="N53" s="506"/>
      <c r="O53" s="506"/>
      <c r="P53" s="506"/>
      <c r="Q53" s="506"/>
      <c r="R53" s="506"/>
      <c r="S53" s="506"/>
      <c r="T53" s="506"/>
      <c r="U53" s="506"/>
      <c r="V53" s="506"/>
      <c r="W53" s="506"/>
      <c r="X53" s="506"/>
      <c r="Y53" s="506"/>
    </row>
    <row r="54" spans="2:25">
      <c r="B54" s="229"/>
      <c r="C54" s="333"/>
      <c r="D54" s="333"/>
      <c r="E54" s="333"/>
      <c r="F54" s="195"/>
      <c r="G54" s="506"/>
      <c r="H54" s="506"/>
      <c r="I54" s="506"/>
      <c r="J54" s="506"/>
      <c r="K54" s="506"/>
      <c r="L54" s="506"/>
      <c r="M54" s="506"/>
      <c r="N54" s="506"/>
      <c r="O54" s="506"/>
      <c r="P54" s="506"/>
      <c r="Q54" s="506"/>
      <c r="R54" s="506"/>
      <c r="S54" s="506"/>
      <c r="T54" s="506"/>
      <c r="U54" s="506"/>
      <c r="V54" s="506"/>
      <c r="W54" s="506"/>
      <c r="X54" s="506"/>
      <c r="Y54" s="506"/>
    </row>
    <row r="55" spans="2:25">
      <c r="B55" s="229" t="s">
        <v>166</v>
      </c>
      <c r="C55" s="333">
        <f>-'2. Kalkyldata'!$W$28</f>
        <v>-239999999.99999997</v>
      </c>
      <c r="D55" s="230"/>
      <c r="E55" s="230">
        <f>$C$55</f>
        <v>-239999999.99999997</v>
      </c>
      <c r="F55" s="506"/>
      <c r="G55" s="506"/>
      <c r="H55" s="506"/>
      <c r="I55" s="506"/>
      <c r="J55" s="506"/>
      <c r="K55" s="506"/>
      <c r="L55" s="646"/>
      <c r="M55" s="646"/>
      <c r="N55" s="646"/>
      <c r="O55" s="646"/>
      <c r="P55" s="506"/>
      <c r="Q55" s="506"/>
      <c r="R55" s="506"/>
      <c r="S55" s="506"/>
      <c r="T55" s="506"/>
      <c r="U55" s="506"/>
      <c r="V55" s="506"/>
      <c r="W55" s="506"/>
      <c r="X55" s="506"/>
      <c r="Y55" s="506"/>
    </row>
    <row r="56" spans="2:25">
      <c r="B56" s="229" t="s">
        <v>256</v>
      </c>
      <c r="C56" s="333">
        <f>-'2. Kalkyldata'!$X$28</f>
        <v>-239999999.99999997</v>
      </c>
      <c r="D56" s="230"/>
      <c r="E56" s="230">
        <f>$C$56</f>
        <v>-239999999.99999997</v>
      </c>
      <c r="F56" s="506"/>
      <c r="G56" s="506"/>
      <c r="H56" s="506"/>
      <c r="I56" s="506"/>
      <c r="J56" s="506"/>
      <c r="K56" s="506"/>
      <c r="L56" s="506"/>
      <c r="M56" s="506"/>
      <c r="N56" s="642"/>
      <c r="O56" s="558"/>
      <c r="P56" s="506"/>
      <c r="Q56" s="506"/>
      <c r="R56" s="506"/>
      <c r="S56" s="506"/>
      <c r="T56" s="506"/>
      <c r="U56" s="506"/>
      <c r="V56" s="506"/>
      <c r="W56" s="506"/>
      <c r="X56" s="506"/>
      <c r="Y56" s="639"/>
    </row>
    <row r="57" spans="2:25">
      <c r="B57" s="436" t="s">
        <v>27</v>
      </c>
      <c r="C57" s="437">
        <f>IFERROR($C$56/'2. Kalkyldata'!$H$28,0)</f>
        <v>-39344.262295081964</v>
      </c>
      <c r="D57" s="437"/>
      <c r="E57" s="437">
        <f>IFERROR($E$56/'2. Kalkyldata'!$H$28,0)</f>
        <v>-39344.262295081964</v>
      </c>
      <c r="F57" s="506"/>
      <c r="G57" s="506"/>
      <c r="H57" s="506"/>
      <c r="I57" s="506"/>
      <c r="J57" s="506"/>
      <c r="K57" s="506"/>
      <c r="L57" s="506"/>
      <c r="M57" s="506"/>
      <c r="N57" s="642"/>
      <c r="O57" s="558"/>
      <c r="P57" s="506"/>
      <c r="Q57" s="506"/>
      <c r="R57" s="506"/>
      <c r="S57" s="506"/>
      <c r="T57" s="506"/>
      <c r="U57" s="506"/>
      <c r="V57" s="506"/>
      <c r="W57" s="506"/>
      <c r="X57" s="506"/>
      <c r="Y57" s="506"/>
    </row>
    <row r="58" spans="2:25">
      <c r="B58" s="438"/>
      <c r="C58" s="437"/>
      <c r="D58" s="437"/>
      <c r="E58" s="437"/>
      <c r="F58" s="506"/>
      <c r="G58" s="506"/>
      <c r="H58" s="506"/>
      <c r="I58" s="506"/>
      <c r="J58" s="506"/>
      <c r="K58" s="506"/>
      <c r="L58" s="506"/>
      <c r="M58" s="506"/>
      <c r="N58" s="642"/>
      <c r="O58" s="558"/>
      <c r="P58" s="506"/>
      <c r="Q58" s="506"/>
      <c r="R58" s="506"/>
      <c r="S58" s="506"/>
      <c r="T58" s="506"/>
      <c r="U58" s="506"/>
      <c r="V58" s="506"/>
      <c r="W58" s="506"/>
      <c r="X58" s="506"/>
      <c r="Y58" s="506"/>
    </row>
    <row r="59" spans="2:25" s="201" customFormat="1" ht="15.75">
      <c r="B59" s="428" t="s">
        <v>257</v>
      </c>
      <c r="C59" s="439">
        <f ca="1">$C$52+$C$56</f>
        <v>-20039999.99999997</v>
      </c>
      <c r="D59" s="439"/>
      <c r="E59" s="439">
        <f ca="1">$E$52+$E$56</f>
        <v>10300000.00000003</v>
      </c>
      <c r="F59" s="581"/>
      <c r="G59" s="581"/>
      <c r="H59" s="581"/>
      <c r="I59" s="581"/>
      <c r="J59" s="581"/>
      <c r="K59" s="581"/>
      <c r="L59" s="581"/>
      <c r="M59" s="581"/>
      <c r="N59" s="558"/>
      <c r="O59" s="506"/>
      <c r="P59" s="581"/>
      <c r="Q59" s="581"/>
      <c r="R59" s="581"/>
      <c r="S59" s="581"/>
      <c r="T59" s="581"/>
      <c r="U59" s="581"/>
      <c r="V59" s="581"/>
      <c r="W59" s="581"/>
      <c r="X59" s="581"/>
      <c r="Y59" s="581"/>
    </row>
    <row r="60" spans="2:25" s="201" customFormat="1" ht="15" customHeight="1">
      <c r="B60" s="440" t="s">
        <v>65</v>
      </c>
      <c r="C60" s="441">
        <f ca="1">IFERROR($C$59/'2. Kalkyldata'!$H$28,0)</f>
        <v>-3285.2459016393395</v>
      </c>
      <c r="D60" s="441"/>
      <c r="E60" s="441">
        <f ca="1">IFERROR($E$59/'2. Kalkyldata'!$H$28,0)</f>
        <v>1688.5245901639394</v>
      </c>
      <c r="F60" s="581"/>
      <c r="G60" s="581"/>
      <c r="H60" s="581"/>
      <c r="I60" s="581"/>
      <c r="J60" s="581"/>
      <c r="K60" s="581"/>
      <c r="L60" s="581"/>
      <c r="M60" s="581"/>
      <c r="N60" s="642"/>
      <c r="O60" s="506"/>
      <c r="P60" s="581"/>
      <c r="Q60" s="581"/>
      <c r="R60" s="581"/>
      <c r="S60" s="581"/>
      <c r="T60" s="581"/>
      <c r="U60" s="581"/>
      <c r="V60" s="581"/>
      <c r="W60" s="581"/>
      <c r="X60" s="581"/>
      <c r="Y60" s="581"/>
    </row>
    <row r="61" spans="2:25" ht="15">
      <c r="B61" s="442"/>
      <c r="C61" s="443"/>
      <c r="D61" s="442"/>
      <c r="E61" s="442"/>
      <c r="F61" s="506"/>
      <c r="G61" s="506"/>
      <c r="H61" s="506"/>
      <c r="I61" s="506"/>
      <c r="J61" s="506"/>
      <c r="K61" s="506"/>
      <c r="L61" s="506"/>
      <c r="M61" s="506"/>
      <c r="N61" s="642"/>
      <c r="O61" s="506"/>
      <c r="P61" s="506"/>
      <c r="Q61" s="506"/>
      <c r="R61" s="506"/>
      <c r="S61" s="506"/>
      <c r="T61" s="506"/>
      <c r="U61" s="506"/>
      <c r="V61" s="506"/>
      <c r="W61" s="506"/>
      <c r="X61" s="506"/>
      <c r="Y61" s="506"/>
    </row>
    <row r="62" spans="2:25" ht="15.75">
      <c r="B62" s="428" t="s">
        <v>150</v>
      </c>
      <c r="C62" s="741">
        <f ca="1">IF(COUNT(D39:BA39)=50,"N/A",COUNT(D39:BA39))</f>
        <v>15</v>
      </c>
      <c r="D62" s="741"/>
      <c r="E62" s="741"/>
      <c r="F62" s="506"/>
      <c r="G62" s="506"/>
      <c r="H62" s="506"/>
      <c r="I62" s="506"/>
      <c r="J62" s="506"/>
      <c r="K62" s="506"/>
      <c r="L62" s="506"/>
      <c r="M62" s="506"/>
      <c r="N62" s="506"/>
      <c r="O62" s="506"/>
      <c r="P62" s="506"/>
      <c r="Q62" s="506"/>
      <c r="R62" s="506"/>
      <c r="S62" s="506"/>
      <c r="T62" s="506"/>
      <c r="U62" s="506"/>
      <c r="V62" s="506"/>
      <c r="W62" s="506"/>
      <c r="X62" s="506"/>
      <c r="Y62" s="506"/>
    </row>
    <row r="63" spans="2:25">
      <c r="B63" s="506"/>
      <c r="C63" s="206"/>
      <c r="D63" s="207"/>
      <c r="E63" s="207"/>
      <c r="F63" s="207"/>
      <c r="G63" s="506"/>
      <c r="H63" s="506"/>
      <c r="I63" s="506"/>
      <c r="J63" s="506"/>
      <c r="K63" s="506"/>
      <c r="L63" s="506"/>
      <c r="M63" s="506"/>
      <c r="N63" s="506"/>
      <c r="O63" s="506"/>
      <c r="P63" s="506"/>
      <c r="Q63" s="506"/>
      <c r="R63" s="506"/>
      <c r="S63" s="506"/>
      <c r="T63" s="506"/>
      <c r="U63" s="506"/>
      <c r="V63" s="506"/>
      <c r="W63" s="506"/>
      <c r="X63" s="506"/>
      <c r="Y63" s="506"/>
    </row>
    <row r="64" spans="2:25" ht="15.75">
      <c r="B64" s="428" t="s">
        <v>379</v>
      </c>
      <c r="C64" s="429"/>
      <c r="D64" s="429"/>
      <c r="E64" s="429"/>
      <c r="F64" s="207"/>
      <c r="G64" s="506"/>
      <c r="H64" s="506"/>
      <c r="I64" s="506"/>
      <c r="J64" s="506"/>
      <c r="K64" s="506"/>
      <c r="L64" s="506"/>
      <c r="M64" s="506"/>
      <c r="N64" s="506"/>
      <c r="O64" s="506"/>
      <c r="P64" s="506"/>
      <c r="Q64" s="506"/>
      <c r="R64" s="506"/>
      <c r="S64" s="506"/>
      <c r="T64" s="506"/>
      <c r="U64" s="506"/>
      <c r="V64" s="506"/>
      <c r="W64" s="506"/>
      <c r="X64" s="506"/>
      <c r="Y64" s="506"/>
    </row>
    <row r="65" spans="2:53" ht="15">
      <c r="B65" s="229" t="s">
        <v>380</v>
      </c>
      <c r="C65" s="208"/>
      <c r="D65" s="230">
        <f>IF(D$4="",0,SUMIFS('2. Kalkyldata'!$H$23:$H$27,'2. Kalkyldata'!$E$23:$E$27,"Bef",'2. Kalkyldata'!$M$23:$M$27,D$3))</f>
        <v>0</v>
      </c>
      <c r="E65" s="230">
        <f>IF(E$4="",0,SUMIFS('2. Kalkyldata'!$H$23:$H$27,'2. Kalkyldata'!$E$23:$E$27,"Bef",'2. Kalkyldata'!$M$23:$M$27,E$3))</f>
        <v>0</v>
      </c>
      <c r="F65" s="230">
        <f>IF(F$4="",0,SUMIFS('2. Kalkyldata'!$H$23:$H$27,'2. Kalkyldata'!$E$23:$E$27,"Bef",'2. Kalkyldata'!$M$23:$M$27,F$3))</f>
        <v>0</v>
      </c>
      <c r="G65" s="230">
        <f>IF(G$4="",0,SUMIFS('2. Kalkyldata'!$H$23:$H$27,'2. Kalkyldata'!$E$23:$E$27,"Bef",'2. Kalkyldata'!$M$23:$M$27,G$3))</f>
        <v>0</v>
      </c>
      <c r="H65" s="230">
        <f>IF(H$4="",0,SUMIFS('2. Kalkyldata'!$H$23:$H$27,'2. Kalkyldata'!$E$23:$E$27,"Bef",'2. Kalkyldata'!$M$23:$M$27,H$3))</f>
        <v>0</v>
      </c>
      <c r="I65" s="230">
        <f>IF(I$4="",0,SUMIFS('2. Kalkyldata'!$H$23:$H$27,'2. Kalkyldata'!$E$23:$E$27,"Bef",'2. Kalkyldata'!$M$23:$M$27,I$3))</f>
        <v>0</v>
      </c>
      <c r="J65" s="230">
        <f>IF(J$4="",0,SUMIFS('2. Kalkyldata'!$H$23:$H$27,'2. Kalkyldata'!$E$23:$E$27,"Bef",'2. Kalkyldata'!$M$23:$M$27,J$3))</f>
        <v>0</v>
      </c>
      <c r="K65" s="230">
        <f>IF(K$4="",0,SUMIFS('2. Kalkyldata'!$H$23:$H$27,'2. Kalkyldata'!$E$23:$E$27,"Bef",'2. Kalkyldata'!$M$23:$M$27,K$3))</f>
        <v>0</v>
      </c>
      <c r="L65" s="230">
        <f>IF(L$4="",0,SUMIFS('2. Kalkyldata'!$H$23:$H$27,'2. Kalkyldata'!$E$23:$E$27,"Bef",'2. Kalkyldata'!$M$23:$M$27,L$3))</f>
        <v>0</v>
      </c>
      <c r="M65" s="230">
        <f>IF(M$4="",0,SUMIFS('2. Kalkyldata'!$H$23:$H$27,'2. Kalkyldata'!$E$23:$E$27,"Bef",'2. Kalkyldata'!$M$23:$M$27,M$3))</f>
        <v>0</v>
      </c>
      <c r="N65" s="230">
        <f>IF(N$4="",0,SUMIFS('2. Kalkyldata'!$H$23:$H$27,'2. Kalkyldata'!$E$23:$E$27,"Bef",'2. Kalkyldata'!$M$23:$M$27,N$3))</f>
        <v>0</v>
      </c>
      <c r="O65" s="230">
        <f>IF(O$4="",0,SUMIFS('2. Kalkyldata'!$H$23:$H$27,'2. Kalkyldata'!$E$23:$E$27,"Bef",'2. Kalkyldata'!$M$23:$M$27,O$3))</f>
        <v>0</v>
      </c>
      <c r="P65" s="230">
        <f>IF(P$4="",0,SUMIFS('2. Kalkyldata'!$H$23:$H$27,'2. Kalkyldata'!$E$23:$E$27,"Bef",'2. Kalkyldata'!$M$23:$M$27,P$3))</f>
        <v>0</v>
      </c>
      <c r="Q65" s="230">
        <f>IF(Q$4="",0,SUMIFS('2. Kalkyldata'!$H$23:$H$27,'2. Kalkyldata'!$E$23:$E$27,"Bef",'2. Kalkyldata'!$M$23:$M$27,Q$3))</f>
        <v>0</v>
      </c>
      <c r="R65" s="230">
        <f>IF(R$4="",0,SUMIFS('2. Kalkyldata'!$H$23:$H$27,'2. Kalkyldata'!$E$23:$E$27,"Bef",'2. Kalkyldata'!$M$23:$M$27,R$3))</f>
        <v>0</v>
      </c>
      <c r="S65" s="230">
        <f>IF(S$4="",0,SUMIFS('2. Kalkyldata'!$H$23:$H$27,'2. Kalkyldata'!$E$23:$E$27,"Bef",'2. Kalkyldata'!$M$23:$M$27,S$3))</f>
        <v>0</v>
      </c>
      <c r="T65" s="230">
        <f>IF(T$4="",0,SUMIFS('2. Kalkyldata'!$H$23:$H$27,'2. Kalkyldata'!$E$23:$E$27,"Bef",'2. Kalkyldata'!$M$23:$M$27,T$3))</f>
        <v>0</v>
      </c>
      <c r="U65" s="230">
        <f>IF(U$4="",0,SUMIFS('2. Kalkyldata'!$H$23:$H$27,'2. Kalkyldata'!$E$23:$E$27,"Bef",'2. Kalkyldata'!$M$23:$M$27,U$3))</f>
        <v>0</v>
      </c>
      <c r="V65" s="230">
        <f>IF(V$4="",0,SUMIFS('2. Kalkyldata'!$H$23:$H$27,'2. Kalkyldata'!$E$23:$E$27,"Bef",'2. Kalkyldata'!$M$23:$M$27,V$3))</f>
        <v>0</v>
      </c>
      <c r="W65" s="230">
        <f>IF(W$4="",0,SUMIFS('2. Kalkyldata'!$H$23:$H$27,'2. Kalkyldata'!$E$23:$E$27,"Bef",'2. Kalkyldata'!$M$23:$M$27,W$3))</f>
        <v>0</v>
      </c>
      <c r="X65" s="230">
        <f>IF(X$4="",0,SUMIFS('2. Kalkyldata'!$H$23:$H$27,'2. Kalkyldata'!$E$23:$E$27,"Bef",'2. Kalkyldata'!$M$23:$M$27,X$3))</f>
        <v>0</v>
      </c>
      <c r="Y65" s="230">
        <f>IF(Y$4="",0,SUMIFS('2. Kalkyldata'!$H$23:$H$27,'2. Kalkyldata'!$E$23:$E$27,"Bef",'2. Kalkyldata'!$M$23:$M$27,Y$3))</f>
        <v>0</v>
      </c>
      <c r="Z65" s="230">
        <f>IF(Z$4="",0,SUMIFS('2. Kalkyldata'!$H$23:$H$27,'2. Kalkyldata'!$E$23:$E$27,"Bef",'2. Kalkyldata'!$M$23:$M$27,Z$3))</f>
        <v>0</v>
      </c>
      <c r="AA65" s="230">
        <f>IF(AA$4="",0,SUMIFS('2. Kalkyldata'!$H$23:$H$27,'2. Kalkyldata'!$E$23:$E$27,"Bef",'2. Kalkyldata'!$M$23:$M$27,AA$3))</f>
        <v>0</v>
      </c>
      <c r="AB65" s="230">
        <f>IF(AB$4="",0,SUMIFS('2. Kalkyldata'!$H$23:$H$27,'2. Kalkyldata'!$E$23:$E$27,"Bef",'2. Kalkyldata'!$M$23:$M$27,AB$3))</f>
        <v>0</v>
      </c>
      <c r="AC65" s="230">
        <f>IF(AC$4="",0,SUMIFS('2. Kalkyldata'!$H$23:$H$27,'2. Kalkyldata'!$E$23:$E$27,"Bef",'2. Kalkyldata'!$M$23:$M$27,AC$3))</f>
        <v>0</v>
      </c>
      <c r="AD65" s="230">
        <f>IF(AD$4="",0,SUMIFS('2. Kalkyldata'!$H$23:$H$27,'2. Kalkyldata'!$E$23:$E$27,"Bef",'2. Kalkyldata'!$M$23:$M$27,AD$3))</f>
        <v>0</v>
      </c>
      <c r="AE65" s="230">
        <f>IF(AE$4="",0,SUMIFS('2. Kalkyldata'!$H$23:$H$27,'2. Kalkyldata'!$E$23:$E$27,"Bef",'2. Kalkyldata'!$M$23:$M$27,AE$3))</f>
        <v>0</v>
      </c>
      <c r="AF65" s="230">
        <f>IF(AF$4="",0,SUMIFS('2. Kalkyldata'!$H$23:$H$27,'2. Kalkyldata'!$E$23:$E$27,"Bef",'2. Kalkyldata'!$M$23:$M$27,AF$3))</f>
        <v>0</v>
      </c>
      <c r="AG65" s="230">
        <f>IF(AG$4="",0,SUMIFS('2. Kalkyldata'!$H$23:$H$27,'2. Kalkyldata'!$E$23:$E$27,"Bef",'2. Kalkyldata'!$M$23:$M$27,AG$3))</f>
        <v>0</v>
      </c>
      <c r="AH65" s="230">
        <f>IF(AH$4="",0,SUMIFS('2. Kalkyldata'!$H$23:$H$27,'2. Kalkyldata'!$E$23:$E$27,"Bef",'2. Kalkyldata'!$M$23:$M$27,AH$3))</f>
        <v>0</v>
      </c>
      <c r="AI65" s="230">
        <f>IF(AI$4="",0,SUMIFS('2. Kalkyldata'!$H$23:$H$27,'2. Kalkyldata'!$E$23:$E$27,"Bef",'2. Kalkyldata'!$M$23:$M$27,AI$3))</f>
        <v>0</v>
      </c>
      <c r="AJ65" s="230">
        <f>IF(AJ$4="",0,SUMIFS('2. Kalkyldata'!$H$23:$H$27,'2. Kalkyldata'!$E$23:$E$27,"Bef",'2. Kalkyldata'!$M$23:$M$27,AJ$3))</f>
        <v>0</v>
      </c>
      <c r="AK65" s="230">
        <f>IF(AK$4="",0,SUMIFS('2. Kalkyldata'!$H$23:$H$27,'2. Kalkyldata'!$E$23:$E$27,"Bef",'2. Kalkyldata'!$M$23:$M$27,AK$3))</f>
        <v>0</v>
      </c>
      <c r="AL65" s="230">
        <f>IF(AL$4="",0,SUMIFS('2. Kalkyldata'!$H$23:$H$27,'2. Kalkyldata'!$E$23:$E$27,"Bef",'2. Kalkyldata'!$M$23:$M$27,AL$3))</f>
        <v>0</v>
      </c>
      <c r="AM65" s="230">
        <f>IF(AM$4="",0,SUMIFS('2. Kalkyldata'!$H$23:$H$27,'2. Kalkyldata'!$E$23:$E$27,"Bef",'2. Kalkyldata'!$M$23:$M$27,AM$3))</f>
        <v>0</v>
      </c>
      <c r="AN65" s="230">
        <f>IF(AN$4="",0,SUMIFS('2. Kalkyldata'!$H$23:$H$27,'2. Kalkyldata'!$E$23:$E$27,"Bef",'2. Kalkyldata'!$M$23:$M$27,AN$3))</f>
        <v>0</v>
      </c>
      <c r="AO65" s="230">
        <f>IF(AO$4="",0,SUMIFS('2. Kalkyldata'!$H$23:$H$27,'2. Kalkyldata'!$E$23:$E$27,"Bef",'2. Kalkyldata'!$M$23:$M$27,AO$3))</f>
        <v>0</v>
      </c>
      <c r="AP65" s="230">
        <f>IF(AP$4="",0,SUMIFS('2. Kalkyldata'!$H$23:$H$27,'2. Kalkyldata'!$E$23:$E$27,"Bef",'2. Kalkyldata'!$M$23:$M$27,AP$3))</f>
        <v>0</v>
      </c>
      <c r="AQ65" s="230">
        <f>IF(AQ$4="",0,SUMIFS('2. Kalkyldata'!$H$23:$H$27,'2. Kalkyldata'!$E$23:$E$27,"Bef",'2. Kalkyldata'!$M$23:$M$27,AQ$3))</f>
        <v>0</v>
      </c>
      <c r="AR65" s="230">
        <f>IF(AR$4="",0,SUMIFS('2. Kalkyldata'!$H$23:$H$27,'2. Kalkyldata'!$E$23:$E$27,"Bef",'2. Kalkyldata'!$M$23:$M$27,AR$3))</f>
        <v>0</v>
      </c>
      <c r="AS65" s="230">
        <f>IF(AS$4="",0,SUMIFS('2. Kalkyldata'!$H$23:$H$27,'2. Kalkyldata'!$E$23:$E$27,"Bef",'2. Kalkyldata'!$M$23:$M$27,AS$3))</f>
        <v>0</v>
      </c>
      <c r="AT65" s="230">
        <f>IF(AT$4="",0,SUMIFS('2. Kalkyldata'!$H$23:$H$27,'2. Kalkyldata'!$E$23:$E$27,"Bef",'2. Kalkyldata'!$M$23:$M$27,AT$3))</f>
        <v>0</v>
      </c>
      <c r="AU65" s="230">
        <f>IF(AU$4="",0,SUMIFS('2. Kalkyldata'!$H$23:$H$27,'2. Kalkyldata'!$E$23:$E$27,"Bef",'2. Kalkyldata'!$M$23:$M$27,AU$3))</f>
        <v>0</v>
      </c>
      <c r="AV65" s="230">
        <f>IF(AV$4="",0,SUMIFS('2. Kalkyldata'!$H$23:$H$27,'2. Kalkyldata'!$E$23:$E$27,"Bef",'2. Kalkyldata'!$M$23:$M$27,AV$3))</f>
        <v>0</v>
      </c>
      <c r="AW65" s="230">
        <f>IF(AW$4="",0,SUMIFS('2. Kalkyldata'!$H$23:$H$27,'2. Kalkyldata'!$E$23:$E$27,"Bef",'2. Kalkyldata'!$M$23:$M$27,AW$3))</f>
        <v>0</v>
      </c>
      <c r="AX65" s="230">
        <f>IF(AX$4="",0,SUMIFS('2. Kalkyldata'!$H$23:$H$27,'2. Kalkyldata'!$E$23:$E$27,"Bef",'2. Kalkyldata'!$M$23:$M$27,AX$3))</f>
        <v>0</v>
      </c>
      <c r="AY65" s="230">
        <f>IF(AY$4="",0,SUMIFS('2. Kalkyldata'!$H$23:$H$27,'2. Kalkyldata'!$E$23:$E$27,"Bef",'2. Kalkyldata'!$M$23:$M$27,AY$3))</f>
        <v>0</v>
      </c>
      <c r="AZ65" s="230">
        <f>IF(AZ$4="",0,SUMIFS('2. Kalkyldata'!$H$23:$H$27,'2. Kalkyldata'!$E$23:$E$27,"Bef",'2. Kalkyldata'!$M$23:$M$27,AZ$3))</f>
        <v>0</v>
      </c>
      <c r="BA65" s="230">
        <f>IF(BA$4="",0,SUMIFS('2. Kalkyldata'!$H$23:$H$27,'2. Kalkyldata'!$E$23:$E$27,"Bef",'2. Kalkyldata'!$M$23:$M$27,BA$3))</f>
        <v>0</v>
      </c>
    </row>
    <row r="66" spans="2:53">
      <c r="B66" s="229" t="s">
        <v>381</v>
      </c>
      <c r="C66" s="206"/>
      <c r="D66" s="230">
        <f>IF(D$4="",0,SUMPRODUCT(--('2. Kalkyldata'!$E$23:$E$27="Bef"),D12:D16))</f>
        <v>0</v>
      </c>
      <c r="E66" s="230">
        <f>IF(E$4="",0,SUMPRODUCT(--('2. Kalkyldata'!$E$23:$E$27="Bef"),E12:E16))</f>
        <v>0</v>
      </c>
      <c r="F66" s="230">
        <f>IF(F$4="",0,SUMPRODUCT(--('2. Kalkyldata'!$E$23:$E$27="Bef"),F12:F16))</f>
        <v>0</v>
      </c>
      <c r="G66" s="230">
        <f>IF(G$4="",0,SUMPRODUCT(--('2. Kalkyldata'!$E$23:$E$27="Bef"),G12:G16))</f>
        <v>0</v>
      </c>
      <c r="H66" s="230">
        <f>IF(H$4="",0,SUMPRODUCT(--('2. Kalkyldata'!$E$23:$E$27="Bef"),H12:H16))</f>
        <v>0</v>
      </c>
      <c r="I66" s="230">
        <f>IF(I$4="",0,SUMPRODUCT(--('2. Kalkyldata'!$E$23:$E$27="Bef"),I12:I16))</f>
        <v>0</v>
      </c>
      <c r="J66" s="230">
        <f>IF(J$4="",0,SUMPRODUCT(--('2. Kalkyldata'!$E$23:$E$27="Bef"),J12:J16))</f>
        <v>0</v>
      </c>
      <c r="K66" s="230">
        <f>IF(K$4="",0,SUMPRODUCT(--('2. Kalkyldata'!$E$23:$E$27="Bef"),K12:K16))</f>
        <v>0</v>
      </c>
      <c r="L66" s="230">
        <f>IF(L$4="",0,SUMPRODUCT(--('2. Kalkyldata'!$E$23:$E$27="Bef"),L12:L16))</f>
        <v>0</v>
      </c>
      <c r="M66" s="230">
        <f>IF(M$4="",0,SUMPRODUCT(--('2. Kalkyldata'!$E$23:$E$27="Bef"),M12:M16))</f>
        <v>0</v>
      </c>
      <c r="N66" s="230">
        <f>IF(N$4="",0,SUMPRODUCT(--('2. Kalkyldata'!$E$23:$E$27="Bef"),N12:N16))</f>
        <v>0</v>
      </c>
      <c r="O66" s="230">
        <f>IF(O$4="",0,SUMPRODUCT(--('2. Kalkyldata'!$E$23:$E$27="Bef"),O12:O16))</f>
        <v>0</v>
      </c>
      <c r="P66" s="230">
        <f>IF(P$4="",0,SUMPRODUCT(--('2. Kalkyldata'!$E$23:$E$27="Bef"),P12:P16))</f>
        <v>0</v>
      </c>
      <c r="Q66" s="230">
        <f>IF(Q$4="",0,SUMPRODUCT(--('2. Kalkyldata'!$E$23:$E$27="Bef"),Q12:Q16))</f>
        <v>0</v>
      </c>
      <c r="R66" s="230">
        <f>IF(R$4="",0,SUMPRODUCT(--('2. Kalkyldata'!$E$23:$E$27="Bef"),R12:R16))</f>
        <v>0</v>
      </c>
      <c r="S66" s="230">
        <f>IF(S$4="",0,SUMPRODUCT(--('2. Kalkyldata'!$E$23:$E$27="Bef"),S12:S16))</f>
        <v>0</v>
      </c>
      <c r="T66" s="230">
        <f>IF(T$4="",0,SUMPRODUCT(--('2. Kalkyldata'!$E$23:$E$27="Bef"),T12:T16))</f>
        <v>0</v>
      </c>
      <c r="U66" s="230">
        <f>IF(U$4="",0,SUMPRODUCT(--('2. Kalkyldata'!$E$23:$E$27="Bef"),U12:U16))</f>
        <v>0</v>
      </c>
      <c r="V66" s="230">
        <f>IF(V$4="",0,SUMPRODUCT(--('2. Kalkyldata'!$E$23:$E$27="Bef"),V12:V16))</f>
        <v>0</v>
      </c>
      <c r="W66" s="230">
        <f>IF(W$4="",0,SUMPRODUCT(--('2. Kalkyldata'!$E$23:$E$27="Bef"),W12:W16))</f>
        <v>0</v>
      </c>
      <c r="X66" s="230">
        <f>IF(X$4="",0,SUMPRODUCT(--('2. Kalkyldata'!$E$23:$E$27="Bef"),X12:X16))</f>
        <v>0</v>
      </c>
      <c r="Y66" s="230">
        <f>IF(Y$4="",0,SUMPRODUCT(--('2. Kalkyldata'!$E$23:$E$27="Bef"),Y12:Y16))</f>
        <v>0</v>
      </c>
      <c r="Z66" s="230">
        <f>IF(Z$4="",0,SUMPRODUCT(--('2. Kalkyldata'!$E$23:$E$27="Bef"),Z12:Z16))</f>
        <v>0</v>
      </c>
      <c r="AA66" s="230">
        <f>IF(AA$4="",0,SUMPRODUCT(--('2. Kalkyldata'!$E$23:$E$27="Bef"),AA12:AA16))</f>
        <v>0</v>
      </c>
      <c r="AB66" s="230">
        <f>IF(AB$4="",0,SUMPRODUCT(--('2. Kalkyldata'!$E$23:$E$27="Bef"),AB12:AB16))</f>
        <v>0</v>
      </c>
      <c r="AC66" s="230">
        <f>IF(AC$4="",0,SUMPRODUCT(--('2. Kalkyldata'!$E$23:$E$27="Bef"),AC12:AC16))</f>
        <v>0</v>
      </c>
      <c r="AD66" s="230">
        <f>IF(AD$4="",0,SUMPRODUCT(--('2. Kalkyldata'!$E$23:$E$27="Bef"),AD12:AD16))</f>
        <v>0</v>
      </c>
      <c r="AE66" s="230">
        <f>IF(AE$4="",0,SUMPRODUCT(--('2. Kalkyldata'!$E$23:$E$27="Bef"),AE12:AE16))</f>
        <v>0</v>
      </c>
      <c r="AF66" s="230">
        <f>IF(AF$4="",0,SUMPRODUCT(--('2. Kalkyldata'!$E$23:$E$27="Bef"),AF12:AF16))</f>
        <v>0</v>
      </c>
      <c r="AG66" s="230">
        <f>IF(AG$4="",0,SUMPRODUCT(--('2. Kalkyldata'!$E$23:$E$27="Bef"),AG12:AG16))</f>
        <v>0</v>
      </c>
      <c r="AH66" s="230">
        <f>IF(AH$4="",0,SUMPRODUCT(--('2. Kalkyldata'!$E$23:$E$27="Bef"),AH12:AH16))</f>
        <v>0</v>
      </c>
      <c r="AI66" s="230">
        <f>IF(AI$4="",0,SUMPRODUCT(--('2. Kalkyldata'!$E$23:$E$27="Bef"),AI12:AI16))</f>
        <v>0</v>
      </c>
      <c r="AJ66" s="230">
        <f>IF(AJ$4="",0,SUMPRODUCT(--('2. Kalkyldata'!$E$23:$E$27="Bef"),AJ12:AJ16))</f>
        <v>0</v>
      </c>
      <c r="AK66" s="230">
        <f>IF(AK$4="",0,SUMPRODUCT(--('2. Kalkyldata'!$E$23:$E$27="Bef"),AK12:AK16))</f>
        <v>0</v>
      </c>
      <c r="AL66" s="230">
        <f>IF(AL$4="",0,SUMPRODUCT(--('2. Kalkyldata'!$E$23:$E$27="Bef"),AL12:AL16))</f>
        <v>0</v>
      </c>
      <c r="AM66" s="230">
        <f>IF(AM$4="",0,SUMPRODUCT(--('2. Kalkyldata'!$E$23:$E$27="Bef"),AM12:AM16))</f>
        <v>0</v>
      </c>
      <c r="AN66" s="230">
        <f>IF(AN$4="",0,SUMPRODUCT(--('2. Kalkyldata'!$E$23:$E$27="Bef"),AN12:AN16))</f>
        <v>0</v>
      </c>
      <c r="AO66" s="230">
        <f>IF(AO$4="",0,SUMPRODUCT(--('2. Kalkyldata'!$E$23:$E$27="Bef"),AO12:AO16))</f>
        <v>0</v>
      </c>
      <c r="AP66" s="230">
        <f>IF(AP$4="",0,SUMPRODUCT(--('2. Kalkyldata'!$E$23:$E$27="Bef"),AP12:AP16))</f>
        <v>0</v>
      </c>
      <c r="AQ66" s="230">
        <f>IF(AQ$4="",0,SUMPRODUCT(--('2. Kalkyldata'!$E$23:$E$27="Bef"),AQ12:AQ16))</f>
        <v>0</v>
      </c>
      <c r="AR66" s="230">
        <f>IF(AR$4="",0,SUMPRODUCT(--('2. Kalkyldata'!$E$23:$E$27="Bef"),AR12:AR16))</f>
        <v>0</v>
      </c>
      <c r="AS66" s="230">
        <f>IF(AS$4="",0,SUMPRODUCT(--('2. Kalkyldata'!$E$23:$E$27="Bef"),AS12:AS16))</f>
        <v>0</v>
      </c>
      <c r="AT66" s="230">
        <f>IF(AT$4="",0,SUMPRODUCT(--('2. Kalkyldata'!$E$23:$E$27="Bef"),AT12:AT16))</f>
        <v>0</v>
      </c>
      <c r="AU66" s="230">
        <f>IF(AU$4="",0,SUMPRODUCT(--('2. Kalkyldata'!$E$23:$E$27="Bef"),AU12:AU16))</f>
        <v>0</v>
      </c>
      <c r="AV66" s="230">
        <f>IF(AV$4="",0,SUMPRODUCT(--('2. Kalkyldata'!$E$23:$E$27="Bef"),AV12:AV16))</f>
        <v>0</v>
      </c>
      <c r="AW66" s="230">
        <f>IF(AW$4="",0,SUMPRODUCT(--('2. Kalkyldata'!$E$23:$E$27="Bef"),AW12:AW16))</f>
        <v>0</v>
      </c>
      <c r="AX66" s="230">
        <f>IF(AX$4="",0,SUMPRODUCT(--('2. Kalkyldata'!$E$23:$E$27="Bef"),AX12:AX16))</f>
        <v>0</v>
      </c>
      <c r="AY66" s="230">
        <f>IF(AY$4="",0,SUMPRODUCT(--('2. Kalkyldata'!$E$23:$E$27="Bef"),AY12:AY16))</f>
        <v>0</v>
      </c>
      <c r="AZ66" s="230">
        <f>IF(AZ$4="",0,SUMPRODUCT(--('2. Kalkyldata'!$E$23:$E$27="Bef"),AZ12:AZ16))</f>
        <v>0</v>
      </c>
      <c r="BA66" s="230">
        <f>IF(BA$4="",0,SUMPRODUCT(--('2. Kalkyldata'!$E$23:$E$27="Bef"),BA12:BA16))</f>
        <v>0</v>
      </c>
    </row>
    <row r="67" spans="2:53" ht="15">
      <c r="B67" s="229" t="s">
        <v>382</v>
      </c>
      <c r="C67" s="97"/>
      <c r="D67" s="230">
        <f>IF(D$4="",0,-SUMPRODUCT(--('2. Kalkyldata'!$E$23:$E$27="Bef"),1-(D$4&gt;='2. Kalkyldata'!$M$23:$M$27)*(D$4&lt;='2. Kalkyldata'!$N$23:$N$27),D12:D16,'2. Kalkyldata'!$P$23:$P$27))</f>
        <v>0</v>
      </c>
      <c r="E67" s="230">
        <f>IF(E$4="",0,-SUMPRODUCT(--('2. Kalkyldata'!$E$23:$E$27="Bef"),1-(E$4&gt;='2. Kalkyldata'!$M$23:$M$27)*(E$4&lt;='2. Kalkyldata'!$N$23:$N$27),E12:E16,'2. Kalkyldata'!$P$23:$P$27))</f>
        <v>0</v>
      </c>
      <c r="F67" s="230">
        <f>IF(F$4="",0,-SUMPRODUCT(--('2. Kalkyldata'!$E$23:$E$27="Bef"),1-(F$4&gt;='2. Kalkyldata'!$M$23:$M$27)*(F$4&lt;='2. Kalkyldata'!$N$23:$N$27),F12:F16,'2. Kalkyldata'!$P$23:$P$27))</f>
        <v>0</v>
      </c>
      <c r="G67" s="230">
        <f>IF(G$4="",0,-SUMPRODUCT(--('2. Kalkyldata'!$E$23:$E$27="Bef"),1-(G$4&gt;='2. Kalkyldata'!$M$23:$M$27)*(G$4&lt;='2. Kalkyldata'!$N$23:$N$27),G12:G16,'2. Kalkyldata'!$P$23:$P$27))</f>
        <v>0</v>
      </c>
      <c r="H67" s="230">
        <f>IF(H$4="",0,-SUMPRODUCT(--('2. Kalkyldata'!$E$23:$E$27="Bef"),1-(H$4&gt;='2. Kalkyldata'!$M$23:$M$27)*(H$4&lt;='2. Kalkyldata'!$N$23:$N$27),H12:H16,'2. Kalkyldata'!$P$23:$P$27))</f>
        <v>0</v>
      </c>
      <c r="I67" s="230">
        <f>IF(I$4="",0,-SUMPRODUCT(--('2. Kalkyldata'!$E$23:$E$27="Bef"),1-(I$4&gt;='2. Kalkyldata'!$M$23:$M$27)*(I$4&lt;='2. Kalkyldata'!$N$23:$N$27),I12:I16,'2. Kalkyldata'!$P$23:$P$27))</f>
        <v>0</v>
      </c>
      <c r="J67" s="230">
        <f>IF(J$4="",0,-SUMPRODUCT(--('2. Kalkyldata'!$E$23:$E$27="Bef"),1-(J$4&gt;='2. Kalkyldata'!$M$23:$M$27)*(J$4&lt;='2. Kalkyldata'!$N$23:$N$27),J12:J16,'2. Kalkyldata'!$P$23:$P$27))</f>
        <v>0</v>
      </c>
      <c r="K67" s="230">
        <f>IF(K$4="",0,-SUMPRODUCT(--('2. Kalkyldata'!$E$23:$E$27="Bef"),1-(K$4&gt;='2. Kalkyldata'!$M$23:$M$27)*(K$4&lt;='2. Kalkyldata'!$N$23:$N$27),K12:K16,'2. Kalkyldata'!$P$23:$P$27))</f>
        <v>0</v>
      </c>
      <c r="L67" s="230">
        <f>IF(L$4="",0,-SUMPRODUCT(--('2. Kalkyldata'!$E$23:$E$27="Bef"),1-(L$4&gt;='2. Kalkyldata'!$M$23:$M$27)*(L$4&lt;='2. Kalkyldata'!$N$23:$N$27),L12:L16,'2. Kalkyldata'!$P$23:$P$27))</f>
        <v>0</v>
      </c>
      <c r="M67" s="230">
        <f>IF(M$4="",0,-SUMPRODUCT(--('2. Kalkyldata'!$E$23:$E$27="Bef"),1-(M$4&gt;='2. Kalkyldata'!$M$23:$M$27)*(M$4&lt;='2. Kalkyldata'!$N$23:$N$27),M12:M16,'2. Kalkyldata'!$P$23:$P$27))</f>
        <v>0</v>
      </c>
      <c r="N67" s="230">
        <f>IF(N$4="",0,-SUMPRODUCT(--('2. Kalkyldata'!$E$23:$E$27="Bef"),1-(N$4&gt;='2. Kalkyldata'!$M$23:$M$27)*(N$4&lt;='2. Kalkyldata'!$N$23:$N$27),N12:N16,'2. Kalkyldata'!$P$23:$P$27))</f>
        <v>0</v>
      </c>
      <c r="O67" s="230">
        <f>IF(O$4="",0,-SUMPRODUCT(--('2. Kalkyldata'!$E$23:$E$27="Bef"),1-(O$4&gt;='2. Kalkyldata'!$M$23:$M$27)*(O$4&lt;='2. Kalkyldata'!$N$23:$N$27),O12:O16,'2. Kalkyldata'!$P$23:$P$27))</f>
        <v>0</v>
      </c>
      <c r="P67" s="230">
        <f>IF(P$4="",0,-SUMPRODUCT(--('2. Kalkyldata'!$E$23:$E$27="Bef"),1-(P$4&gt;='2. Kalkyldata'!$M$23:$M$27)*(P$4&lt;='2. Kalkyldata'!$N$23:$N$27),P12:P16,'2. Kalkyldata'!$P$23:$P$27))</f>
        <v>0</v>
      </c>
      <c r="Q67" s="230">
        <f>IF(Q$4="",0,-SUMPRODUCT(--('2. Kalkyldata'!$E$23:$E$27="Bef"),1-(Q$4&gt;='2. Kalkyldata'!$M$23:$M$27)*(Q$4&lt;='2. Kalkyldata'!$N$23:$N$27),Q12:Q16,'2. Kalkyldata'!$P$23:$P$27))</f>
        <v>0</v>
      </c>
      <c r="R67" s="230">
        <f>IF(R$4="",0,-SUMPRODUCT(--('2. Kalkyldata'!$E$23:$E$27="Bef"),1-(R$4&gt;='2. Kalkyldata'!$M$23:$M$27)*(R$4&lt;='2. Kalkyldata'!$N$23:$N$27),R12:R16,'2. Kalkyldata'!$P$23:$P$27))</f>
        <v>0</v>
      </c>
      <c r="S67" s="230">
        <f>IF(S$4="",0,-SUMPRODUCT(--('2. Kalkyldata'!$E$23:$E$27="Bef"),1-(S$4&gt;='2. Kalkyldata'!$M$23:$M$27)*(S$4&lt;='2. Kalkyldata'!$N$23:$N$27),S12:S16,'2. Kalkyldata'!$P$23:$P$27))</f>
        <v>0</v>
      </c>
      <c r="T67" s="230">
        <f>IF(T$4="",0,-SUMPRODUCT(--('2. Kalkyldata'!$E$23:$E$27="Bef"),1-(T$4&gt;='2. Kalkyldata'!$M$23:$M$27)*(T$4&lt;='2. Kalkyldata'!$N$23:$N$27),T12:T16,'2. Kalkyldata'!$P$23:$P$27))</f>
        <v>0</v>
      </c>
      <c r="U67" s="230">
        <f>IF(U$4="",0,-SUMPRODUCT(--('2. Kalkyldata'!$E$23:$E$27="Bef"),1-(U$4&gt;='2. Kalkyldata'!$M$23:$M$27)*(U$4&lt;='2. Kalkyldata'!$N$23:$N$27),U12:U16,'2. Kalkyldata'!$P$23:$P$27))</f>
        <v>0</v>
      </c>
      <c r="V67" s="230">
        <f>IF(V$4="",0,-SUMPRODUCT(--('2. Kalkyldata'!$E$23:$E$27="Bef"),1-(V$4&gt;='2. Kalkyldata'!$M$23:$M$27)*(V$4&lt;='2. Kalkyldata'!$N$23:$N$27),V12:V16,'2. Kalkyldata'!$P$23:$P$27))</f>
        <v>0</v>
      </c>
      <c r="W67" s="230">
        <f>IF(W$4="",0,-SUMPRODUCT(--('2. Kalkyldata'!$E$23:$E$27="Bef"),1-(W$4&gt;='2. Kalkyldata'!$M$23:$M$27)*(W$4&lt;='2. Kalkyldata'!$N$23:$N$27),W12:W16,'2. Kalkyldata'!$P$23:$P$27))</f>
        <v>0</v>
      </c>
      <c r="X67" s="230">
        <f>IF(X$4="",0,-SUMPRODUCT(--('2. Kalkyldata'!$E$23:$E$27="Bef"),1-(X$4&gt;='2. Kalkyldata'!$M$23:$M$27)*(X$4&lt;='2. Kalkyldata'!$N$23:$N$27),X12:X16,'2. Kalkyldata'!$P$23:$P$27))</f>
        <v>0</v>
      </c>
      <c r="Y67" s="230">
        <f>IF(Y$4="",0,-SUMPRODUCT(--('2. Kalkyldata'!$E$23:$E$27="Bef"),1-(Y$4&gt;='2. Kalkyldata'!$M$23:$M$27)*(Y$4&lt;='2. Kalkyldata'!$N$23:$N$27),Y12:Y16,'2. Kalkyldata'!$P$23:$P$27))</f>
        <v>0</v>
      </c>
      <c r="Z67" s="230">
        <f>IF(Z$4="",0,-SUMPRODUCT(--('2. Kalkyldata'!$E$23:$E$27="Bef"),1-(Z$4&gt;='2. Kalkyldata'!$M$23:$M$27)*(Z$4&lt;='2. Kalkyldata'!$N$23:$N$27),Z12:Z16,'2. Kalkyldata'!$P$23:$P$27))</f>
        <v>0</v>
      </c>
      <c r="AA67" s="230">
        <f>IF(AA$4="",0,-SUMPRODUCT(--('2. Kalkyldata'!$E$23:$E$27="Bef"),1-(AA$4&gt;='2. Kalkyldata'!$M$23:$M$27)*(AA$4&lt;='2. Kalkyldata'!$N$23:$N$27),AA12:AA16,'2. Kalkyldata'!$P$23:$P$27))</f>
        <v>0</v>
      </c>
      <c r="AB67" s="230">
        <f>IF(AB$4="",0,-SUMPRODUCT(--('2. Kalkyldata'!$E$23:$E$27="Bef"),1-(AB$4&gt;='2. Kalkyldata'!$M$23:$M$27)*(AB$4&lt;='2. Kalkyldata'!$N$23:$N$27),AB12:AB16,'2. Kalkyldata'!$P$23:$P$27))</f>
        <v>0</v>
      </c>
      <c r="AC67" s="230">
        <f>IF(AC$4="",0,-SUMPRODUCT(--('2. Kalkyldata'!$E$23:$E$27="Bef"),1-(AC$4&gt;='2. Kalkyldata'!$M$23:$M$27)*(AC$4&lt;='2. Kalkyldata'!$N$23:$N$27),AC12:AC16,'2. Kalkyldata'!$P$23:$P$27))</f>
        <v>0</v>
      </c>
      <c r="AD67" s="230">
        <f>IF(AD$4="",0,-SUMPRODUCT(--('2. Kalkyldata'!$E$23:$E$27="Bef"),1-(AD$4&gt;='2. Kalkyldata'!$M$23:$M$27)*(AD$4&lt;='2. Kalkyldata'!$N$23:$N$27),AD12:AD16,'2. Kalkyldata'!$P$23:$P$27))</f>
        <v>0</v>
      </c>
      <c r="AE67" s="230">
        <f>IF(AE$4="",0,-SUMPRODUCT(--('2. Kalkyldata'!$E$23:$E$27="Bef"),1-(AE$4&gt;='2. Kalkyldata'!$M$23:$M$27)*(AE$4&lt;='2. Kalkyldata'!$N$23:$N$27),AE12:AE16,'2. Kalkyldata'!$P$23:$P$27))</f>
        <v>0</v>
      </c>
      <c r="AF67" s="230">
        <f>IF(AF$4="",0,-SUMPRODUCT(--('2. Kalkyldata'!$E$23:$E$27="Bef"),1-(AF$4&gt;='2. Kalkyldata'!$M$23:$M$27)*(AF$4&lt;='2. Kalkyldata'!$N$23:$N$27),AF12:AF16,'2. Kalkyldata'!$P$23:$P$27))</f>
        <v>0</v>
      </c>
      <c r="AG67" s="230">
        <f>IF(AG$4="",0,-SUMPRODUCT(--('2. Kalkyldata'!$E$23:$E$27="Bef"),1-(AG$4&gt;='2. Kalkyldata'!$M$23:$M$27)*(AG$4&lt;='2. Kalkyldata'!$N$23:$N$27),AG12:AG16,'2. Kalkyldata'!$P$23:$P$27))</f>
        <v>0</v>
      </c>
      <c r="AH67" s="230">
        <f>IF(AH$4="",0,-SUMPRODUCT(--('2. Kalkyldata'!$E$23:$E$27="Bef"),1-(AH$4&gt;='2. Kalkyldata'!$M$23:$M$27)*(AH$4&lt;='2. Kalkyldata'!$N$23:$N$27),AH12:AH16,'2. Kalkyldata'!$P$23:$P$27))</f>
        <v>0</v>
      </c>
      <c r="AI67" s="230">
        <f>IF(AI$4="",0,-SUMPRODUCT(--('2. Kalkyldata'!$E$23:$E$27="Bef"),1-(AI$4&gt;='2. Kalkyldata'!$M$23:$M$27)*(AI$4&lt;='2. Kalkyldata'!$N$23:$N$27),AI12:AI16,'2. Kalkyldata'!$P$23:$P$27))</f>
        <v>0</v>
      </c>
      <c r="AJ67" s="230">
        <f>IF(AJ$4="",0,-SUMPRODUCT(--('2. Kalkyldata'!$E$23:$E$27="Bef"),1-(AJ$4&gt;='2. Kalkyldata'!$M$23:$M$27)*(AJ$4&lt;='2. Kalkyldata'!$N$23:$N$27),AJ12:AJ16,'2. Kalkyldata'!$P$23:$P$27))</f>
        <v>0</v>
      </c>
      <c r="AK67" s="230">
        <f>IF(AK$4="",0,-SUMPRODUCT(--('2. Kalkyldata'!$E$23:$E$27="Bef"),1-(AK$4&gt;='2. Kalkyldata'!$M$23:$M$27)*(AK$4&lt;='2. Kalkyldata'!$N$23:$N$27),AK12:AK16,'2. Kalkyldata'!$P$23:$P$27))</f>
        <v>0</v>
      </c>
      <c r="AL67" s="230">
        <f>IF(AL$4="",0,-SUMPRODUCT(--('2. Kalkyldata'!$E$23:$E$27="Bef"),1-(AL$4&gt;='2. Kalkyldata'!$M$23:$M$27)*(AL$4&lt;='2. Kalkyldata'!$N$23:$N$27),AL12:AL16,'2. Kalkyldata'!$P$23:$P$27))</f>
        <v>0</v>
      </c>
      <c r="AM67" s="230">
        <f>IF(AM$4="",0,-SUMPRODUCT(--('2. Kalkyldata'!$E$23:$E$27="Bef"),1-(AM$4&gt;='2. Kalkyldata'!$M$23:$M$27)*(AM$4&lt;='2. Kalkyldata'!$N$23:$N$27),AM12:AM16,'2. Kalkyldata'!$P$23:$P$27))</f>
        <v>0</v>
      </c>
      <c r="AN67" s="230">
        <f>IF(AN$4="",0,-SUMPRODUCT(--('2. Kalkyldata'!$E$23:$E$27="Bef"),1-(AN$4&gt;='2. Kalkyldata'!$M$23:$M$27)*(AN$4&lt;='2. Kalkyldata'!$N$23:$N$27),AN12:AN16,'2. Kalkyldata'!$P$23:$P$27))</f>
        <v>0</v>
      </c>
      <c r="AO67" s="230">
        <f>IF(AO$4="",0,-SUMPRODUCT(--('2. Kalkyldata'!$E$23:$E$27="Bef"),1-(AO$4&gt;='2. Kalkyldata'!$M$23:$M$27)*(AO$4&lt;='2. Kalkyldata'!$N$23:$N$27),AO12:AO16,'2. Kalkyldata'!$P$23:$P$27))</f>
        <v>0</v>
      </c>
      <c r="AP67" s="230">
        <f>IF(AP$4="",0,-SUMPRODUCT(--('2. Kalkyldata'!$E$23:$E$27="Bef"),1-(AP$4&gt;='2. Kalkyldata'!$M$23:$M$27)*(AP$4&lt;='2. Kalkyldata'!$N$23:$N$27),AP12:AP16,'2. Kalkyldata'!$P$23:$P$27))</f>
        <v>0</v>
      </c>
      <c r="AQ67" s="230">
        <f>IF(AQ$4="",0,-SUMPRODUCT(--('2. Kalkyldata'!$E$23:$E$27="Bef"),1-(AQ$4&gt;='2. Kalkyldata'!$M$23:$M$27)*(AQ$4&lt;='2. Kalkyldata'!$N$23:$N$27),AQ12:AQ16,'2. Kalkyldata'!$P$23:$P$27))</f>
        <v>0</v>
      </c>
      <c r="AR67" s="230">
        <f>IF(AR$4="",0,-SUMPRODUCT(--('2. Kalkyldata'!$E$23:$E$27="Bef"),1-(AR$4&gt;='2. Kalkyldata'!$M$23:$M$27)*(AR$4&lt;='2. Kalkyldata'!$N$23:$N$27),AR12:AR16,'2. Kalkyldata'!$P$23:$P$27))</f>
        <v>0</v>
      </c>
      <c r="AS67" s="230">
        <f>IF(AS$4="",0,-SUMPRODUCT(--('2. Kalkyldata'!$E$23:$E$27="Bef"),1-(AS$4&gt;='2. Kalkyldata'!$M$23:$M$27)*(AS$4&lt;='2. Kalkyldata'!$N$23:$N$27),AS12:AS16,'2. Kalkyldata'!$P$23:$P$27))</f>
        <v>0</v>
      </c>
      <c r="AT67" s="230">
        <f>IF(AT$4="",0,-SUMPRODUCT(--('2. Kalkyldata'!$E$23:$E$27="Bef"),1-(AT$4&gt;='2. Kalkyldata'!$M$23:$M$27)*(AT$4&lt;='2. Kalkyldata'!$N$23:$N$27),AT12:AT16,'2. Kalkyldata'!$P$23:$P$27))</f>
        <v>0</v>
      </c>
      <c r="AU67" s="230">
        <f>IF(AU$4="",0,-SUMPRODUCT(--('2. Kalkyldata'!$E$23:$E$27="Bef"),1-(AU$4&gt;='2. Kalkyldata'!$M$23:$M$27)*(AU$4&lt;='2. Kalkyldata'!$N$23:$N$27),AU12:AU16,'2. Kalkyldata'!$P$23:$P$27))</f>
        <v>0</v>
      </c>
      <c r="AV67" s="230">
        <f>IF(AV$4="",0,-SUMPRODUCT(--('2. Kalkyldata'!$E$23:$E$27="Bef"),1-(AV$4&gt;='2. Kalkyldata'!$M$23:$M$27)*(AV$4&lt;='2. Kalkyldata'!$N$23:$N$27),AV12:AV16,'2. Kalkyldata'!$P$23:$P$27))</f>
        <v>0</v>
      </c>
      <c r="AW67" s="230">
        <f>IF(AW$4="",0,-SUMPRODUCT(--('2. Kalkyldata'!$E$23:$E$27="Bef"),1-(AW$4&gt;='2. Kalkyldata'!$M$23:$M$27)*(AW$4&lt;='2. Kalkyldata'!$N$23:$N$27),AW12:AW16,'2. Kalkyldata'!$P$23:$P$27))</f>
        <v>0</v>
      </c>
      <c r="AX67" s="230">
        <f>IF(AX$4="",0,-SUMPRODUCT(--('2. Kalkyldata'!$E$23:$E$27="Bef"),1-(AX$4&gt;='2. Kalkyldata'!$M$23:$M$27)*(AX$4&lt;='2. Kalkyldata'!$N$23:$N$27),AX12:AX16,'2. Kalkyldata'!$P$23:$P$27))</f>
        <v>0</v>
      </c>
      <c r="AY67" s="230">
        <f>IF(AY$4="",0,-SUMPRODUCT(--('2. Kalkyldata'!$E$23:$E$27="Bef"),1-(AY$4&gt;='2. Kalkyldata'!$M$23:$M$27)*(AY$4&lt;='2. Kalkyldata'!$N$23:$N$27),AY12:AY16,'2. Kalkyldata'!$P$23:$P$27))</f>
        <v>0</v>
      </c>
      <c r="AZ67" s="230">
        <f>IF(AZ$4="",0,-SUMPRODUCT(--('2. Kalkyldata'!$E$23:$E$27="Bef"),1-(AZ$4&gt;='2. Kalkyldata'!$M$23:$M$27)*(AZ$4&lt;='2. Kalkyldata'!$N$23:$N$27),AZ12:AZ16,'2. Kalkyldata'!$P$23:$P$27))</f>
        <v>0</v>
      </c>
      <c r="BA67" s="230">
        <f>IF(BA$4="",0,-SUMPRODUCT(--('2. Kalkyldata'!$E$23:$E$27="Bef"),1-(BA$4&gt;='2. Kalkyldata'!$M$23:$M$27)*(BA$4&lt;='2. Kalkyldata'!$N$23:$N$27),BA12:BA16,'2. Kalkyldata'!$P$23:$P$27))</f>
        <v>0</v>
      </c>
    </row>
    <row r="68" spans="2:53" ht="15">
      <c r="B68" s="229" t="s">
        <v>383</v>
      </c>
      <c r="C68" s="97"/>
      <c r="D68" s="230">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30">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30">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30">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30">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30">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30">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30">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30">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30">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30">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30">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30">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30">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30">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30">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30">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30">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30">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30">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30">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30">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30">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30">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30">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30">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30">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30">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30">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30">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30">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30">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30">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30">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30">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30">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30">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30">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30">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30">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30">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30">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30">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30">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30">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30">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30">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30">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30">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30">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ht="15">
      <c r="B69" s="229" t="s">
        <v>384</v>
      </c>
      <c r="C69" s="97"/>
      <c r="D69" s="230">
        <f>IF(D$4="",0,-SUMPRODUCT(--('2. Kalkyldata'!$E$23:$E$27="Bef"),SUMIFS('2. Kalkyldata'!$W$34:$W$39,'2. Kalkyldata'!$R$34:$R$39,D$4,'2. Kalkyldata'!$Q$34:$Q$39,'2. Kalkyldata'!$C$23:$C$27)))</f>
        <v>0</v>
      </c>
      <c r="E69" s="230">
        <f>IF(E$4="",0,-SUMPRODUCT(--('2. Kalkyldata'!$E$23:$E$27="Bef"),SUMIFS('2. Kalkyldata'!$W$34:$W$39,'2. Kalkyldata'!$R$34:$R$39,E$4,'2. Kalkyldata'!$Q$34:$Q$39,'2. Kalkyldata'!$C$23:$C$27)))</f>
        <v>0</v>
      </c>
      <c r="F69" s="230">
        <f>IF(F$4="",0,-SUMPRODUCT(--('2. Kalkyldata'!$E$23:$E$27="Bef"),SUMIFS('2. Kalkyldata'!$W$34:$W$39,'2. Kalkyldata'!$R$34:$R$39,F$4,'2. Kalkyldata'!$Q$34:$Q$39,'2. Kalkyldata'!$C$23:$C$27)))</f>
        <v>0</v>
      </c>
      <c r="G69" s="230">
        <f>IF(G$4="",0,-SUMPRODUCT(--('2. Kalkyldata'!$E$23:$E$27="Bef"),SUMIFS('2. Kalkyldata'!$W$34:$W$39,'2. Kalkyldata'!$R$34:$R$39,G$4,'2. Kalkyldata'!$Q$34:$Q$39,'2. Kalkyldata'!$C$23:$C$27)))</f>
        <v>0</v>
      </c>
      <c r="H69" s="230">
        <f>IF(H$4="",0,-SUMPRODUCT(--('2. Kalkyldata'!$E$23:$E$27="Bef"),SUMIFS('2. Kalkyldata'!$W$34:$W$39,'2. Kalkyldata'!$R$34:$R$39,H$4,'2. Kalkyldata'!$Q$34:$Q$39,'2. Kalkyldata'!$C$23:$C$27)))</f>
        <v>0</v>
      </c>
      <c r="I69" s="230">
        <f>IF(I$4="",0,-SUMPRODUCT(--('2. Kalkyldata'!$E$23:$E$27="Bef"),SUMIFS('2. Kalkyldata'!$W$34:$W$39,'2. Kalkyldata'!$R$34:$R$39,I$4,'2. Kalkyldata'!$Q$34:$Q$39,'2. Kalkyldata'!$C$23:$C$27)))</f>
        <v>0</v>
      </c>
      <c r="J69" s="230">
        <f>IF(J$4="",0,-SUMPRODUCT(--('2. Kalkyldata'!$E$23:$E$27="Bef"),SUMIFS('2. Kalkyldata'!$W$34:$W$39,'2. Kalkyldata'!$R$34:$R$39,J$4,'2. Kalkyldata'!$Q$34:$Q$39,'2. Kalkyldata'!$C$23:$C$27)))</f>
        <v>0</v>
      </c>
      <c r="K69" s="230">
        <f>IF(K$4="",0,-SUMPRODUCT(--('2. Kalkyldata'!$E$23:$E$27="Bef"),SUMIFS('2. Kalkyldata'!$W$34:$W$39,'2. Kalkyldata'!$R$34:$R$39,K$4,'2. Kalkyldata'!$Q$34:$Q$39,'2. Kalkyldata'!$C$23:$C$27)))</f>
        <v>0</v>
      </c>
      <c r="L69" s="230">
        <f>IF(L$4="",0,-SUMPRODUCT(--('2. Kalkyldata'!$E$23:$E$27="Bef"),SUMIFS('2. Kalkyldata'!$W$34:$W$39,'2. Kalkyldata'!$R$34:$R$39,L$4,'2. Kalkyldata'!$Q$34:$Q$39,'2. Kalkyldata'!$C$23:$C$27)))</f>
        <v>0</v>
      </c>
      <c r="M69" s="230">
        <f>IF(M$4="",0,-SUMPRODUCT(--('2. Kalkyldata'!$E$23:$E$27="Bef"),SUMIFS('2. Kalkyldata'!$W$34:$W$39,'2. Kalkyldata'!$R$34:$R$39,M$4,'2. Kalkyldata'!$Q$34:$Q$39,'2. Kalkyldata'!$C$23:$C$27)))</f>
        <v>0</v>
      </c>
      <c r="N69" s="230">
        <f>IF(N$4="",0,-SUMPRODUCT(--('2. Kalkyldata'!$E$23:$E$27="Bef"),SUMIFS('2. Kalkyldata'!$W$34:$W$39,'2. Kalkyldata'!$R$34:$R$39,N$4,'2. Kalkyldata'!$Q$34:$Q$39,'2. Kalkyldata'!$C$23:$C$27)))</f>
        <v>0</v>
      </c>
      <c r="O69" s="230">
        <f>IF(O$4="",0,-SUMPRODUCT(--('2. Kalkyldata'!$E$23:$E$27="Bef"),SUMIFS('2. Kalkyldata'!$W$34:$W$39,'2. Kalkyldata'!$R$34:$R$39,O$4,'2. Kalkyldata'!$Q$34:$Q$39,'2. Kalkyldata'!$C$23:$C$27)))</f>
        <v>0</v>
      </c>
      <c r="P69" s="230">
        <f>IF(P$4="",0,-SUMPRODUCT(--('2. Kalkyldata'!$E$23:$E$27="Bef"),SUMIFS('2. Kalkyldata'!$W$34:$W$39,'2. Kalkyldata'!$R$34:$R$39,P$4,'2. Kalkyldata'!$Q$34:$Q$39,'2. Kalkyldata'!$C$23:$C$27)))</f>
        <v>0</v>
      </c>
      <c r="Q69" s="230">
        <f>IF(Q$4="",0,-SUMPRODUCT(--('2. Kalkyldata'!$E$23:$E$27="Bef"),SUMIFS('2. Kalkyldata'!$W$34:$W$39,'2. Kalkyldata'!$R$34:$R$39,Q$4,'2. Kalkyldata'!$Q$34:$Q$39,'2. Kalkyldata'!$C$23:$C$27)))</f>
        <v>0</v>
      </c>
      <c r="R69" s="230">
        <f>IF(R$4="",0,-SUMPRODUCT(--('2. Kalkyldata'!$E$23:$E$27="Bef"),SUMIFS('2. Kalkyldata'!$W$34:$W$39,'2. Kalkyldata'!$R$34:$R$39,R$4,'2. Kalkyldata'!$Q$34:$Q$39,'2. Kalkyldata'!$C$23:$C$27)))</f>
        <v>0</v>
      </c>
      <c r="S69" s="230">
        <f>IF(S$4="",0,-SUMPRODUCT(--('2. Kalkyldata'!$E$23:$E$27="Bef"),SUMIFS('2. Kalkyldata'!$W$34:$W$39,'2. Kalkyldata'!$R$34:$R$39,S$4,'2. Kalkyldata'!$Q$34:$Q$39,'2. Kalkyldata'!$C$23:$C$27)))</f>
        <v>0</v>
      </c>
      <c r="T69" s="230">
        <f>IF(T$4="",0,-SUMPRODUCT(--('2. Kalkyldata'!$E$23:$E$27="Bef"),SUMIFS('2. Kalkyldata'!$W$34:$W$39,'2. Kalkyldata'!$R$34:$R$39,T$4,'2. Kalkyldata'!$Q$34:$Q$39,'2. Kalkyldata'!$C$23:$C$27)))</f>
        <v>0</v>
      </c>
      <c r="U69" s="230">
        <f>IF(U$4="",0,-SUMPRODUCT(--('2. Kalkyldata'!$E$23:$E$27="Bef"),SUMIFS('2. Kalkyldata'!$W$34:$W$39,'2. Kalkyldata'!$R$34:$R$39,U$4,'2. Kalkyldata'!$Q$34:$Q$39,'2. Kalkyldata'!$C$23:$C$27)))</f>
        <v>0</v>
      </c>
      <c r="V69" s="230">
        <f>IF(V$4="",0,-SUMPRODUCT(--('2. Kalkyldata'!$E$23:$E$27="Bef"),SUMIFS('2. Kalkyldata'!$W$34:$W$39,'2. Kalkyldata'!$R$34:$R$39,V$4,'2. Kalkyldata'!$Q$34:$Q$39,'2. Kalkyldata'!$C$23:$C$27)))</f>
        <v>0</v>
      </c>
      <c r="W69" s="230">
        <f>IF(W$4="",0,-SUMPRODUCT(--('2. Kalkyldata'!$E$23:$E$27="Bef"),SUMIFS('2. Kalkyldata'!$W$34:$W$39,'2. Kalkyldata'!$R$34:$R$39,W$4,'2. Kalkyldata'!$Q$34:$Q$39,'2. Kalkyldata'!$C$23:$C$27)))</f>
        <v>0</v>
      </c>
      <c r="X69" s="230">
        <f>IF(X$4="",0,-SUMPRODUCT(--('2. Kalkyldata'!$E$23:$E$27="Bef"),SUMIFS('2. Kalkyldata'!$W$34:$W$39,'2. Kalkyldata'!$R$34:$R$39,X$4,'2. Kalkyldata'!$Q$34:$Q$39,'2. Kalkyldata'!$C$23:$C$27)))</f>
        <v>0</v>
      </c>
      <c r="Y69" s="230">
        <f>IF(Y$4="",0,-SUMPRODUCT(--('2. Kalkyldata'!$E$23:$E$27="Bef"),SUMIFS('2. Kalkyldata'!$W$34:$W$39,'2. Kalkyldata'!$R$34:$R$39,Y$4,'2. Kalkyldata'!$Q$34:$Q$39,'2. Kalkyldata'!$C$23:$C$27)))</f>
        <v>0</v>
      </c>
      <c r="Z69" s="230">
        <f>IF(Z$4="",0,-SUMPRODUCT(--('2. Kalkyldata'!$E$23:$E$27="Bef"),SUMIFS('2. Kalkyldata'!$W$34:$W$39,'2. Kalkyldata'!$R$34:$R$39,Z$4,'2. Kalkyldata'!$Q$34:$Q$39,'2. Kalkyldata'!$C$23:$C$27)))</f>
        <v>0</v>
      </c>
      <c r="AA69" s="230">
        <f>IF(AA$4="",0,-SUMPRODUCT(--('2. Kalkyldata'!$E$23:$E$27="Bef"),SUMIFS('2. Kalkyldata'!$W$34:$W$39,'2. Kalkyldata'!$R$34:$R$39,AA$4,'2. Kalkyldata'!$Q$34:$Q$39,'2. Kalkyldata'!$C$23:$C$27)))</f>
        <v>0</v>
      </c>
      <c r="AB69" s="230">
        <f>IF(AB$4="",0,-SUMPRODUCT(--('2. Kalkyldata'!$E$23:$E$27="Bef"),SUMIFS('2. Kalkyldata'!$W$34:$W$39,'2. Kalkyldata'!$R$34:$R$39,AB$4,'2. Kalkyldata'!$Q$34:$Q$39,'2. Kalkyldata'!$C$23:$C$27)))</f>
        <v>0</v>
      </c>
      <c r="AC69" s="230">
        <f>IF(AC$4="",0,-SUMPRODUCT(--('2. Kalkyldata'!$E$23:$E$27="Bef"),SUMIFS('2. Kalkyldata'!$W$34:$W$39,'2. Kalkyldata'!$R$34:$R$39,AC$4,'2. Kalkyldata'!$Q$34:$Q$39,'2. Kalkyldata'!$C$23:$C$27)))</f>
        <v>0</v>
      </c>
      <c r="AD69" s="230">
        <f>IF(AD$4="",0,-SUMPRODUCT(--('2. Kalkyldata'!$E$23:$E$27="Bef"),SUMIFS('2. Kalkyldata'!$W$34:$W$39,'2. Kalkyldata'!$R$34:$R$39,AD$4,'2. Kalkyldata'!$Q$34:$Q$39,'2. Kalkyldata'!$C$23:$C$27)))</f>
        <v>0</v>
      </c>
      <c r="AE69" s="230">
        <f>IF(AE$4="",0,-SUMPRODUCT(--('2. Kalkyldata'!$E$23:$E$27="Bef"),SUMIFS('2. Kalkyldata'!$W$34:$W$39,'2. Kalkyldata'!$R$34:$R$39,AE$4,'2. Kalkyldata'!$Q$34:$Q$39,'2. Kalkyldata'!$C$23:$C$27)))</f>
        <v>0</v>
      </c>
      <c r="AF69" s="230">
        <f>IF(AF$4="",0,-SUMPRODUCT(--('2. Kalkyldata'!$E$23:$E$27="Bef"),SUMIFS('2. Kalkyldata'!$W$34:$W$39,'2. Kalkyldata'!$R$34:$R$39,AF$4,'2. Kalkyldata'!$Q$34:$Q$39,'2. Kalkyldata'!$C$23:$C$27)))</f>
        <v>0</v>
      </c>
      <c r="AG69" s="230">
        <f>IF(AG$4="",0,-SUMPRODUCT(--('2. Kalkyldata'!$E$23:$E$27="Bef"),SUMIFS('2. Kalkyldata'!$W$34:$W$39,'2. Kalkyldata'!$R$34:$R$39,AG$4,'2. Kalkyldata'!$Q$34:$Q$39,'2. Kalkyldata'!$C$23:$C$27)))</f>
        <v>0</v>
      </c>
      <c r="AH69" s="230">
        <f>IF(AH$4="",0,-SUMPRODUCT(--('2. Kalkyldata'!$E$23:$E$27="Bef"),SUMIFS('2. Kalkyldata'!$W$34:$W$39,'2. Kalkyldata'!$R$34:$R$39,AH$4,'2. Kalkyldata'!$Q$34:$Q$39,'2. Kalkyldata'!$C$23:$C$27)))</f>
        <v>0</v>
      </c>
      <c r="AI69" s="230">
        <f>IF(AI$4="",0,-SUMPRODUCT(--('2. Kalkyldata'!$E$23:$E$27="Bef"),SUMIFS('2. Kalkyldata'!$W$34:$W$39,'2. Kalkyldata'!$R$34:$R$39,AI$4,'2. Kalkyldata'!$Q$34:$Q$39,'2. Kalkyldata'!$C$23:$C$27)))</f>
        <v>0</v>
      </c>
      <c r="AJ69" s="230">
        <f>IF(AJ$4="",0,-SUMPRODUCT(--('2. Kalkyldata'!$E$23:$E$27="Bef"),SUMIFS('2. Kalkyldata'!$W$34:$W$39,'2. Kalkyldata'!$R$34:$R$39,AJ$4,'2. Kalkyldata'!$Q$34:$Q$39,'2. Kalkyldata'!$C$23:$C$27)))</f>
        <v>0</v>
      </c>
      <c r="AK69" s="230">
        <f>IF(AK$4="",0,-SUMPRODUCT(--('2. Kalkyldata'!$E$23:$E$27="Bef"),SUMIFS('2. Kalkyldata'!$W$34:$W$39,'2. Kalkyldata'!$R$34:$R$39,AK$4,'2. Kalkyldata'!$Q$34:$Q$39,'2. Kalkyldata'!$C$23:$C$27)))</f>
        <v>0</v>
      </c>
      <c r="AL69" s="230">
        <f>IF(AL$4="",0,-SUMPRODUCT(--('2. Kalkyldata'!$E$23:$E$27="Bef"),SUMIFS('2. Kalkyldata'!$W$34:$W$39,'2. Kalkyldata'!$R$34:$R$39,AL$4,'2. Kalkyldata'!$Q$34:$Q$39,'2. Kalkyldata'!$C$23:$C$27)))</f>
        <v>0</v>
      </c>
      <c r="AM69" s="230">
        <f>IF(AM$4="",0,-SUMPRODUCT(--('2. Kalkyldata'!$E$23:$E$27="Bef"),SUMIFS('2. Kalkyldata'!$W$34:$W$39,'2. Kalkyldata'!$R$34:$R$39,AM$4,'2. Kalkyldata'!$Q$34:$Q$39,'2. Kalkyldata'!$C$23:$C$27)))</f>
        <v>0</v>
      </c>
      <c r="AN69" s="230">
        <f>IF(AN$4="",0,-SUMPRODUCT(--('2. Kalkyldata'!$E$23:$E$27="Bef"),SUMIFS('2. Kalkyldata'!$W$34:$W$39,'2. Kalkyldata'!$R$34:$R$39,AN$4,'2. Kalkyldata'!$Q$34:$Q$39,'2. Kalkyldata'!$C$23:$C$27)))</f>
        <v>0</v>
      </c>
      <c r="AO69" s="230">
        <f>IF(AO$4="",0,-SUMPRODUCT(--('2. Kalkyldata'!$E$23:$E$27="Bef"),SUMIFS('2. Kalkyldata'!$W$34:$W$39,'2. Kalkyldata'!$R$34:$R$39,AO$4,'2. Kalkyldata'!$Q$34:$Q$39,'2. Kalkyldata'!$C$23:$C$27)))</f>
        <v>0</v>
      </c>
      <c r="AP69" s="230">
        <f>IF(AP$4="",0,-SUMPRODUCT(--('2. Kalkyldata'!$E$23:$E$27="Bef"),SUMIFS('2. Kalkyldata'!$W$34:$W$39,'2. Kalkyldata'!$R$34:$R$39,AP$4,'2. Kalkyldata'!$Q$34:$Q$39,'2. Kalkyldata'!$C$23:$C$27)))</f>
        <v>0</v>
      </c>
      <c r="AQ69" s="230">
        <f>IF(AQ$4="",0,-SUMPRODUCT(--('2. Kalkyldata'!$E$23:$E$27="Bef"),SUMIFS('2. Kalkyldata'!$W$34:$W$39,'2. Kalkyldata'!$R$34:$R$39,AQ$4,'2. Kalkyldata'!$Q$34:$Q$39,'2. Kalkyldata'!$C$23:$C$27)))</f>
        <v>0</v>
      </c>
      <c r="AR69" s="230">
        <f>IF(AR$4="",0,-SUMPRODUCT(--('2. Kalkyldata'!$E$23:$E$27="Bef"),SUMIFS('2. Kalkyldata'!$W$34:$W$39,'2. Kalkyldata'!$R$34:$R$39,AR$4,'2. Kalkyldata'!$Q$34:$Q$39,'2. Kalkyldata'!$C$23:$C$27)))</f>
        <v>0</v>
      </c>
      <c r="AS69" s="230">
        <f>IF(AS$4="",0,-SUMPRODUCT(--('2. Kalkyldata'!$E$23:$E$27="Bef"),SUMIFS('2. Kalkyldata'!$W$34:$W$39,'2. Kalkyldata'!$R$34:$R$39,AS$4,'2. Kalkyldata'!$Q$34:$Q$39,'2. Kalkyldata'!$C$23:$C$27)))</f>
        <v>0</v>
      </c>
      <c r="AT69" s="230">
        <f>IF(AT$4="",0,-SUMPRODUCT(--('2. Kalkyldata'!$E$23:$E$27="Bef"),SUMIFS('2. Kalkyldata'!$W$34:$W$39,'2. Kalkyldata'!$R$34:$R$39,AT$4,'2. Kalkyldata'!$Q$34:$Q$39,'2. Kalkyldata'!$C$23:$C$27)))</f>
        <v>0</v>
      </c>
      <c r="AU69" s="230">
        <f>IF(AU$4="",0,-SUMPRODUCT(--('2. Kalkyldata'!$E$23:$E$27="Bef"),SUMIFS('2. Kalkyldata'!$W$34:$W$39,'2. Kalkyldata'!$R$34:$R$39,AU$4,'2. Kalkyldata'!$Q$34:$Q$39,'2. Kalkyldata'!$C$23:$C$27)))</f>
        <v>0</v>
      </c>
      <c r="AV69" s="230">
        <f>IF(AV$4="",0,-SUMPRODUCT(--('2. Kalkyldata'!$E$23:$E$27="Bef"),SUMIFS('2. Kalkyldata'!$W$34:$W$39,'2. Kalkyldata'!$R$34:$R$39,AV$4,'2. Kalkyldata'!$Q$34:$Q$39,'2. Kalkyldata'!$C$23:$C$27)))</f>
        <v>0</v>
      </c>
      <c r="AW69" s="230">
        <f>IF(AW$4="",0,-SUMPRODUCT(--('2. Kalkyldata'!$E$23:$E$27="Bef"),SUMIFS('2. Kalkyldata'!$W$34:$W$39,'2. Kalkyldata'!$R$34:$R$39,AW$4,'2. Kalkyldata'!$Q$34:$Q$39,'2. Kalkyldata'!$C$23:$C$27)))</f>
        <v>0</v>
      </c>
      <c r="AX69" s="230">
        <f>IF(AX$4="",0,-SUMPRODUCT(--('2. Kalkyldata'!$E$23:$E$27="Bef"),SUMIFS('2. Kalkyldata'!$W$34:$W$39,'2. Kalkyldata'!$R$34:$R$39,AX$4,'2. Kalkyldata'!$Q$34:$Q$39,'2. Kalkyldata'!$C$23:$C$27)))</f>
        <v>0</v>
      </c>
      <c r="AY69" s="230">
        <f>IF(AY$4="",0,-SUMPRODUCT(--('2. Kalkyldata'!$E$23:$E$27="Bef"),SUMIFS('2. Kalkyldata'!$W$34:$W$39,'2. Kalkyldata'!$R$34:$R$39,AY$4,'2. Kalkyldata'!$Q$34:$Q$39,'2. Kalkyldata'!$C$23:$C$27)))</f>
        <v>0</v>
      </c>
      <c r="AZ69" s="230">
        <f>IF(AZ$4="",0,-SUMPRODUCT(--('2. Kalkyldata'!$E$23:$E$27="Bef"),SUMIFS('2. Kalkyldata'!$W$34:$W$39,'2. Kalkyldata'!$R$34:$R$39,AZ$4,'2. Kalkyldata'!$Q$34:$Q$39,'2. Kalkyldata'!$C$23:$C$27)))</f>
        <v>0</v>
      </c>
      <c r="BA69" s="230">
        <f>IF(BA$4="",0,-SUMPRODUCT(--('2. Kalkyldata'!$E$23:$E$27="Bef"),SUMIFS('2. Kalkyldata'!$W$34:$W$39,'2. Kalkyldata'!$R$34:$R$39,BA$4,'2. Kalkyldata'!$Q$34:$Q$39,'2. Kalkyldata'!$C$23:$C$27)))</f>
        <v>0</v>
      </c>
    </row>
    <row r="70" spans="2:53" ht="15">
      <c r="B70" s="229" t="s">
        <v>385</v>
      </c>
      <c r="C70" s="97"/>
      <c r="D70" s="230">
        <f>D66+D67+D68+D69</f>
        <v>0</v>
      </c>
      <c r="E70" s="230">
        <f>E66+E67+E68+E69</f>
        <v>0</v>
      </c>
      <c r="F70" s="230">
        <f>F66+F67+F68+F69</f>
        <v>0</v>
      </c>
      <c r="G70" s="230">
        <f>G66+G67+G68+G69</f>
        <v>0</v>
      </c>
      <c r="H70" s="230">
        <f>H66+H67+H68+H69</f>
        <v>0</v>
      </c>
      <c r="I70" s="230">
        <f>I66+I67+I68+I69</f>
        <v>0</v>
      </c>
      <c r="J70" s="230">
        <f>J66+J67+J68+J69</f>
        <v>0</v>
      </c>
      <c r="K70" s="230">
        <f>K66+K67+K68+K69</f>
        <v>0</v>
      </c>
      <c r="L70" s="230">
        <f>L66+L67+L68+L69</f>
        <v>0</v>
      </c>
      <c r="M70" s="230">
        <f>M66+M67+M68+M69</f>
        <v>0</v>
      </c>
      <c r="N70" s="230">
        <f>N66+N67+N68+N69</f>
        <v>0</v>
      </c>
      <c r="O70" s="230">
        <f>O66+O67+O68+O69</f>
        <v>0</v>
      </c>
      <c r="P70" s="230">
        <f>P66+P67+P68+P69</f>
        <v>0</v>
      </c>
      <c r="Q70" s="230">
        <f>Q66+Q67+Q68+Q69</f>
        <v>0</v>
      </c>
      <c r="R70" s="230">
        <f>R66+R67+R68+R69</f>
        <v>0</v>
      </c>
      <c r="S70" s="230">
        <f>S66+S67+S68+S69</f>
        <v>0</v>
      </c>
      <c r="T70" s="230">
        <f>T66+T67+T68+T69</f>
        <v>0</v>
      </c>
      <c r="U70" s="230">
        <f>U66+U67+U68+U69</f>
        <v>0</v>
      </c>
      <c r="V70" s="230">
        <f>V66+V67+V68+V69</f>
        <v>0</v>
      </c>
      <c r="W70" s="230">
        <f>W66+W67+W68+W69</f>
        <v>0</v>
      </c>
      <c r="X70" s="230">
        <f>X66+X67+X68+X69</f>
        <v>0</v>
      </c>
      <c r="Y70" s="230">
        <f>Y66+Y67+Y68+Y69</f>
        <v>0</v>
      </c>
      <c r="Z70" s="230">
        <f>Z66+Z67+Z68+Z69</f>
        <v>0</v>
      </c>
      <c r="AA70" s="230">
        <f>AA66+AA67+AA68+AA69</f>
        <v>0</v>
      </c>
      <c r="AB70" s="230">
        <f>AB66+AB67+AB68+AB69</f>
        <v>0</v>
      </c>
      <c r="AC70" s="230">
        <f>AC66+AC67+AC68+AC69</f>
        <v>0</v>
      </c>
      <c r="AD70" s="230">
        <f>AD66+AD67+AD68+AD69</f>
        <v>0</v>
      </c>
      <c r="AE70" s="230">
        <f>AE66+AE67+AE68+AE69</f>
        <v>0</v>
      </c>
      <c r="AF70" s="230">
        <f>AF66+AF67+AF68+AF69</f>
        <v>0</v>
      </c>
      <c r="AG70" s="230">
        <f>AG66+AG67+AG68+AG69</f>
        <v>0</v>
      </c>
      <c r="AH70" s="230">
        <f>AH66+AH67+AH68+AH69</f>
        <v>0</v>
      </c>
      <c r="AI70" s="230">
        <f>AI66+AI67+AI68+AI69</f>
        <v>0</v>
      </c>
      <c r="AJ70" s="230">
        <f>AJ66+AJ67+AJ68+AJ69</f>
        <v>0</v>
      </c>
      <c r="AK70" s="230">
        <f>AK66+AK67+AK68+AK69</f>
        <v>0</v>
      </c>
      <c r="AL70" s="230">
        <f>AL66+AL67+AL68+AL69</f>
        <v>0</v>
      </c>
      <c r="AM70" s="230">
        <f>AM66+AM67+AM68+AM69</f>
        <v>0</v>
      </c>
      <c r="AN70" s="230">
        <f>AN66+AN67+AN68+AN69</f>
        <v>0</v>
      </c>
      <c r="AO70" s="230">
        <f>AO66+AO67+AO68+AO69</f>
        <v>0</v>
      </c>
      <c r="AP70" s="230">
        <f>AP66+AP67+AP68+AP69</f>
        <v>0</v>
      </c>
      <c r="AQ70" s="230">
        <f>AQ66+AQ67+AQ68+AQ69</f>
        <v>0</v>
      </c>
      <c r="AR70" s="230">
        <f>AR66+AR67+AR68+AR69</f>
        <v>0</v>
      </c>
      <c r="AS70" s="230">
        <f>AS66+AS67+AS68+AS69</f>
        <v>0</v>
      </c>
      <c r="AT70" s="230">
        <f>AT66+AT67+AT68+AT69</f>
        <v>0</v>
      </c>
      <c r="AU70" s="230">
        <f>AU66+AU67+AU68+AU69</f>
        <v>0</v>
      </c>
      <c r="AV70" s="230">
        <f>AV66+AV67+AV68+AV69</f>
        <v>0</v>
      </c>
      <c r="AW70" s="230">
        <f>AW66+AW67+AW68+AW69</f>
        <v>0</v>
      </c>
      <c r="AX70" s="230">
        <f>AX66+AX67+AX68+AX69</f>
        <v>0</v>
      </c>
      <c r="AY70" s="230">
        <f>AY66+AY67+AY68+AY69</f>
        <v>0</v>
      </c>
      <c r="AZ70" s="230">
        <f>AZ66+AZ67+AZ68+AZ69</f>
        <v>0</v>
      </c>
      <c r="BA70" s="230">
        <f>BA66+BA67+BA68+BA69</f>
        <v>0</v>
      </c>
    </row>
    <row r="71" spans="2:53" ht="15">
      <c r="B71" s="421" t="s">
        <v>386</v>
      </c>
      <c r="C71" s="97"/>
      <c r="D71" s="423">
        <f ca="1">D29-D70</f>
        <v>13694500</v>
      </c>
      <c r="E71" s="423">
        <f ca="1">E29-E70</f>
        <v>13871400</v>
      </c>
      <c r="F71" s="423">
        <f ca="1">F29-F70</f>
        <v>14050480.140000001</v>
      </c>
      <c r="G71" s="423">
        <f ca="1">G29-G70</f>
        <v>14231765.012760002</v>
      </c>
      <c r="H71" s="423">
        <f ca="1">H29-H70</f>
        <v>14415279.436754644</v>
      </c>
      <c r="I71" s="423">
        <f ca="1">I29-I70</f>
        <v>14601048.456961529</v>
      </c>
      <c r="J71" s="423">
        <f ca="1">J29-J70</f>
        <v>14789097.345613157</v>
      </c>
      <c r="K71" s="423">
        <f ca="1">K29-K70</f>
        <v>14979451.602910995</v>
      </c>
      <c r="L71" s="423">
        <f ca="1">L29-L70</f>
        <v>15172136.957700187</v>
      </c>
      <c r="M71" s="423">
        <f ca="1">M29-M70</f>
        <v>15367179.368103392</v>
      </c>
      <c r="N71" s="423">
        <f ca="1">N29-N70</f>
        <v>15564605.022112153</v>
      </c>
      <c r="O71" s="423">
        <f ca="1">O29-O70</f>
        <v>15764440.33813414</v>
      </c>
      <c r="P71" s="423">
        <f ca="1">P29-P70</f>
        <v>15966711.965494689</v>
      </c>
      <c r="Q71" s="423">
        <f ca="1">Q29-Q70</f>
        <v>16171446.784890812</v>
      </c>
      <c r="R71" s="423">
        <f ca="1">R29-R70</f>
        <v>16378671.908796068</v>
      </c>
      <c r="S71" s="423">
        <f ca="1">S29-S70</f>
        <v>16588414.681814335</v>
      </c>
      <c r="T71" s="423">
        <f ca="1">T29-T70</f>
        <v>16800702.680980761</v>
      </c>
      <c r="U71" s="423">
        <f ca="1">U29-U70</f>
        <v>17015563.716007937</v>
      </c>
      <c r="V71" s="423">
        <f ca="1">V29-V70</f>
        <v>17233025.829475358</v>
      </c>
      <c r="W71" s="423">
        <f ca="1">W29-W70</f>
        <v>17453117.29696019</v>
      </c>
      <c r="X71" s="423">
        <f ca="1">X29-X70</f>
        <v>17675866.627107255</v>
      </c>
      <c r="Y71" s="423">
        <f>Y29-Y70</f>
        <v>0</v>
      </c>
      <c r="Z71" s="423">
        <f>Z29-Z70</f>
        <v>0</v>
      </c>
      <c r="AA71" s="423">
        <f>AA29-AA70</f>
        <v>0</v>
      </c>
      <c r="AB71" s="423">
        <f>AB29-AB70</f>
        <v>0</v>
      </c>
      <c r="AC71" s="423">
        <f>AC29-AC70</f>
        <v>0</v>
      </c>
      <c r="AD71" s="423">
        <f>AD29-AD70</f>
        <v>0</v>
      </c>
      <c r="AE71" s="423">
        <f>AE29-AE70</f>
        <v>0</v>
      </c>
      <c r="AF71" s="423">
        <f>AF29-AF70</f>
        <v>0</v>
      </c>
      <c r="AG71" s="423">
        <f>AG29-AG70</f>
        <v>0</v>
      </c>
      <c r="AH71" s="423">
        <f>AH29-AH70</f>
        <v>0</v>
      </c>
      <c r="AI71" s="423">
        <f>AI29-AI70</f>
        <v>0</v>
      </c>
      <c r="AJ71" s="423">
        <f>AJ29-AJ70</f>
        <v>0</v>
      </c>
      <c r="AK71" s="423">
        <f>AK29-AK70</f>
        <v>0</v>
      </c>
      <c r="AL71" s="423">
        <f>AL29-AL70</f>
        <v>0</v>
      </c>
      <c r="AM71" s="423">
        <f>AM29-AM70</f>
        <v>0</v>
      </c>
      <c r="AN71" s="423">
        <f>AN29-AN70</f>
        <v>0</v>
      </c>
      <c r="AO71" s="423">
        <f>AO29-AO70</f>
        <v>0</v>
      </c>
      <c r="AP71" s="423">
        <f>AP29-AP70</f>
        <v>0</v>
      </c>
      <c r="AQ71" s="423">
        <f>AQ29-AQ70</f>
        <v>0</v>
      </c>
      <c r="AR71" s="423">
        <f>AR29-AR70</f>
        <v>0</v>
      </c>
      <c r="AS71" s="423">
        <f>AS29-AS70</f>
        <v>0</v>
      </c>
      <c r="AT71" s="423">
        <f>AT29-AT70</f>
        <v>0</v>
      </c>
      <c r="AU71" s="423">
        <f>AU29-AU70</f>
        <v>0</v>
      </c>
      <c r="AV71" s="423">
        <f>AV29-AV70</f>
        <v>0</v>
      </c>
      <c r="AW71" s="423">
        <f>AW29-AW70</f>
        <v>0</v>
      </c>
      <c r="AX71" s="423">
        <f>AX29-AX70</f>
        <v>0</v>
      </c>
      <c r="AY71" s="423">
        <f>AY29-AY70</f>
        <v>0</v>
      </c>
      <c r="AZ71" s="423">
        <f>AZ29-AZ70</f>
        <v>0</v>
      </c>
      <c r="BA71" s="423">
        <f>BA29-BA70</f>
        <v>0</v>
      </c>
    </row>
    <row r="72" spans="2:53">
      <c r="B72" s="229" t="s">
        <v>387</v>
      </c>
      <c r="C72" s="210"/>
      <c r="D72" s="230">
        <f>D25-D69</f>
        <v>0</v>
      </c>
      <c r="E72" s="230">
        <f>E25-E69</f>
        <v>0</v>
      </c>
      <c r="F72" s="230">
        <f>F25-F69</f>
        <v>0</v>
      </c>
      <c r="G72" s="230">
        <f>G25-G69</f>
        <v>0</v>
      </c>
      <c r="H72" s="230">
        <f>H25-H69</f>
        <v>0</v>
      </c>
      <c r="I72" s="230">
        <f>I25-I69</f>
        <v>0</v>
      </c>
      <c r="J72" s="230">
        <f>J25-J69</f>
        <v>0</v>
      </c>
      <c r="K72" s="230">
        <f>K25-K69</f>
        <v>0</v>
      </c>
      <c r="L72" s="230">
        <f>L25-L69</f>
        <v>0</v>
      </c>
      <c r="M72" s="230">
        <f>M25-M69</f>
        <v>0</v>
      </c>
      <c r="N72" s="230">
        <f>N25-N69</f>
        <v>0</v>
      </c>
      <c r="O72" s="230">
        <f>O25-O69</f>
        <v>0</v>
      </c>
      <c r="P72" s="230">
        <f>P25-P69</f>
        <v>0</v>
      </c>
      <c r="Q72" s="230">
        <f>Q25-Q69</f>
        <v>0</v>
      </c>
      <c r="R72" s="230">
        <f>R25-R69</f>
        <v>0</v>
      </c>
      <c r="S72" s="230">
        <f>S25-S69</f>
        <v>0</v>
      </c>
      <c r="T72" s="230">
        <f>T25-T69</f>
        <v>0</v>
      </c>
      <c r="U72" s="230">
        <f>U25-U69</f>
        <v>0</v>
      </c>
      <c r="V72" s="230">
        <f>V25-V69</f>
        <v>0</v>
      </c>
      <c r="W72" s="230">
        <f>W25-W69</f>
        <v>0</v>
      </c>
      <c r="X72" s="230">
        <f>X25-X69</f>
        <v>0</v>
      </c>
      <c r="Y72" s="230">
        <f>Y25-Y69</f>
        <v>0</v>
      </c>
      <c r="Z72" s="230">
        <f>Z25-Z69</f>
        <v>0</v>
      </c>
      <c r="AA72" s="230">
        <f>AA25-AA69</f>
        <v>0</v>
      </c>
      <c r="AB72" s="230">
        <f>AB25-AB69</f>
        <v>0</v>
      </c>
      <c r="AC72" s="230">
        <f>AC25-AC69</f>
        <v>0</v>
      </c>
      <c r="AD72" s="230">
        <f>AD25-AD69</f>
        <v>0</v>
      </c>
      <c r="AE72" s="230">
        <f>AE25-AE69</f>
        <v>0</v>
      </c>
      <c r="AF72" s="230">
        <f>AF25-AF69</f>
        <v>0</v>
      </c>
      <c r="AG72" s="230">
        <f>AG25-AG69</f>
        <v>0</v>
      </c>
      <c r="AH72" s="230">
        <f>AH25-AH69</f>
        <v>0</v>
      </c>
      <c r="AI72" s="230">
        <f>AI25-AI69</f>
        <v>0</v>
      </c>
      <c r="AJ72" s="230">
        <f>AJ25-AJ69</f>
        <v>0</v>
      </c>
      <c r="AK72" s="230">
        <f>AK25-AK69</f>
        <v>0</v>
      </c>
      <c r="AL72" s="230">
        <f>AL25-AL69</f>
        <v>0</v>
      </c>
      <c r="AM72" s="230">
        <f>AM25-AM69</f>
        <v>0</v>
      </c>
      <c r="AN72" s="230">
        <f>AN25-AN69</f>
        <v>0</v>
      </c>
      <c r="AO72" s="230">
        <f>AO25-AO69</f>
        <v>0</v>
      </c>
      <c r="AP72" s="230">
        <f>AP25-AP69</f>
        <v>0</v>
      </c>
      <c r="AQ72" s="230">
        <f>AQ25-AQ69</f>
        <v>0</v>
      </c>
      <c r="AR72" s="230">
        <f>AR25-AR69</f>
        <v>0</v>
      </c>
      <c r="AS72" s="230">
        <f>AS25-AS69</f>
        <v>0</v>
      </c>
      <c r="AT72" s="230">
        <f>AT25-AT69</f>
        <v>0</v>
      </c>
      <c r="AU72" s="230">
        <f>AU25-AU69</f>
        <v>0</v>
      </c>
      <c r="AV72" s="230">
        <f>AV25-AV69</f>
        <v>0</v>
      </c>
      <c r="AW72" s="230">
        <f>AW25-AW69</f>
        <v>0</v>
      </c>
      <c r="AX72" s="230">
        <f>AX25-AX69</f>
        <v>0</v>
      </c>
      <c r="AY72" s="230">
        <f>AY25-AY69</f>
        <v>0</v>
      </c>
      <c r="AZ72" s="230">
        <f>AZ25-AZ69</f>
        <v>0</v>
      </c>
      <c r="BA72" s="230">
        <f>BA25-BA69</f>
        <v>0</v>
      </c>
    </row>
    <row r="73" spans="2:53" ht="15">
      <c r="B73" s="229" t="s">
        <v>388</v>
      </c>
      <c r="C73" s="96"/>
      <c r="D73" s="230">
        <f ca="1">(D71-D72)/((1+'2. Kalkyldata'!$M$7)^D$5)</f>
        <v>13098517.455762792</v>
      </c>
      <c r="E73" s="230">
        <f ca="1">(E71-E72)/((1+'2. Kalkyldata'!$M$7)^E$5)</f>
        <v>12690309.703333337</v>
      </c>
      <c r="F73" s="230">
        <f ca="1">(F71-F72)/((1+'2. Kalkyldata'!$M$7)^F$5)</f>
        <v>12294731.646523232</v>
      </c>
      <c r="G73" s="230">
        <f ca="1">(G71-G72)/((1+'2. Kalkyldata'!$M$7)^G$5)</f>
        <v>11911394.696503207</v>
      </c>
      <c r="H73" s="230">
        <f ca="1">(H71-H72)/((1+'2. Kalkyldata'!$M$7)^H$5)</f>
        <v>11539922.16904518</v>
      </c>
      <c r="I73" s="230">
        <f ca="1">(I71-I72)/((1+'2. Kalkyldata'!$M$7)^I$5)</f>
        <v>11179948.921048013</v>
      </c>
      <c r="J73" s="230">
        <f ca="1">(J71-J72)/((1+'2. Kalkyldata'!$M$7)^J$5)</f>
        <v>10831120.998131493</v>
      </c>
      <c r="K73" s="230">
        <f ca="1">(K71-K72)/((1+'2. Kalkyldata'!$M$7)^K$5)</f>
        <v>10493095.292962182</v>
      </c>
      <c r="L73" s="230">
        <f ca="1">(L71-L72)/((1+'2. Kalkyldata'!$M$7)^L$5)</f>
        <v>10165539.21398502</v>
      </c>
      <c r="M73" s="230">
        <f ca="1">(M71-M72)/((1+'2. Kalkyldata'!$M$7)^M$5)</f>
        <v>9848130.3642444499</v>
      </c>
      <c r="N73" s="230">
        <f ca="1">(N71-N72)/((1+'2. Kalkyldata'!$M$7)^N$5)</f>
        <v>9540556.229988439</v>
      </c>
      <c r="O73" s="230">
        <f ca="1">(O71-O72)/((1+'2. Kalkyldata'!$M$7)^O$5)</f>
        <v>9242513.8787579946</v>
      </c>
      <c r="P73" s="230">
        <f ca="1">(P71-P72)/((1+'2. Kalkyldata'!$M$7)^P$5)</f>
        <v>8953709.6666739769</v>
      </c>
      <c r="Q73" s="230">
        <f ca="1">(Q71-Q72)/((1+'2. Kalkyldata'!$M$7)^Q$5)</f>
        <v>8673858.9546414968</v>
      </c>
      <c r="R73" s="230">
        <f ca="1">(R71-R72)/((1+'2. Kalkyldata'!$M$7)^R$5)</f>
        <v>8402685.83320098</v>
      </c>
      <c r="S73" s="230">
        <f ca="1">(S71-S72)/((1+'2. Kalkyldata'!$M$7)^S$5)</f>
        <v>8139922.8557628747</v>
      </c>
      <c r="T73" s="230">
        <f ca="1">(T71-T72)/((1+'2. Kalkyldata'!$M$7)^T$5)</f>
        <v>7885310.7799712447</v>
      </c>
      <c r="U73" s="230">
        <f ca="1">(U71-U72)/((1+'2. Kalkyldata'!$M$7)^U$5)</f>
        <v>7638598.3169490555</v>
      </c>
      <c r="V73" s="230">
        <f ca="1">(V71-V72)/((1+'2. Kalkyldata'!$M$7)^V$5)</f>
        <v>7399541.8881855067</v>
      </c>
      <c r="W73" s="230">
        <f ca="1">(W71-W72)/((1+'2. Kalkyldata'!$M$7)^W$5)</f>
        <v>7167905.3898330461</v>
      </c>
      <c r="X73" s="230">
        <f ca="1">(X71-X72)/((1+'2. Kalkyldata'!$M$7)^X$5)</f>
        <v>6943459.9641887518</v>
      </c>
      <c r="Y73" s="230">
        <f>(Y71-Y72)/((1+'2. Kalkyldata'!$M$7)^Y$5)</f>
        <v>0</v>
      </c>
      <c r="Z73" s="230">
        <f>(Z71-Z72)/((1+'2. Kalkyldata'!$M$7)^Z$5)</f>
        <v>0</v>
      </c>
      <c r="AA73" s="230">
        <f>(AA71-AA72)/((1+'2. Kalkyldata'!$M$7)^AA$5)</f>
        <v>0</v>
      </c>
      <c r="AB73" s="230">
        <f>(AB71-AB72)/((1+'2. Kalkyldata'!$M$7)^AB$5)</f>
        <v>0</v>
      </c>
      <c r="AC73" s="230">
        <f>(AC71-AC72)/((1+'2. Kalkyldata'!$M$7)^AC$5)</f>
        <v>0</v>
      </c>
      <c r="AD73" s="230">
        <f>(AD71-AD72)/((1+'2. Kalkyldata'!$M$7)^AD$5)</f>
        <v>0</v>
      </c>
      <c r="AE73" s="230">
        <f>(AE71-AE72)/((1+'2. Kalkyldata'!$M$7)^AE$5)</f>
        <v>0</v>
      </c>
      <c r="AF73" s="230">
        <f>(AF71-AF72)/((1+'2. Kalkyldata'!$M$7)^AF$5)</f>
        <v>0</v>
      </c>
      <c r="AG73" s="230">
        <f>(AG71-AG72)/((1+'2. Kalkyldata'!$M$7)^AG$5)</f>
        <v>0</v>
      </c>
      <c r="AH73" s="230">
        <f>(AH71-AH72)/((1+'2. Kalkyldata'!$M$7)^AH$5)</f>
        <v>0</v>
      </c>
      <c r="AI73" s="230">
        <f>(AI71-AI72)/((1+'2. Kalkyldata'!$M$7)^AI$5)</f>
        <v>0</v>
      </c>
      <c r="AJ73" s="230">
        <f>(AJ71-AJ72)/((1+'2. Kalkyldata'!$M$7)^AJ$5)</f>
        <v>0</v>
      </c>
      <c r="AK73" s="230">
        <f>(AK71-AK72)/((1+'2. Kalkyldata'!$M$7)^AK$5)</f>
        <v>0</v>
      </c>
      <c r="AL73" s="230">
        <f>(AL71-AL72)/((1+'2. Kalkyldata'!$M$7)^AL$5)</f>
        <v>0</v>
      </c>
      <c r="AM73" s="230">
        <f>(AM71-AM72)/((1+'2. Kalkyldata'!$M$7)^AM$5)</f>
        <v>0</v>
      </c>
      <c r="AN73" s="230">
        <f>(AN71-AN72)/((1+'2. Kalkyldata'!$M$7)^AN$5)</f>
        <v>0</v>
      </c>
      <c r="AO73" s="230">
        <f>(AO71-AO72)/((1+'2. Kalkyldata'!$M$7)^AO$5)</f>
        <v>0</v>
      </c>
      <c r="AP73" s="230">
        <f>(AP71-AP72)/((1+'2. Kalkyldata'!$M$7)^AP$5)</f>
        <v>0</v>
      </c>
      <c r="AQ73" s="230">
        <f>(AQ71-AQ72)/((1+'2. Kalkyldata'!$M$7)^AQ$5)</f>
        <v>0</v>
      </c>
      <c r="AR73" s="230">
        <f>(AR71-AR72)/((1+'2. Kalkyldata'!$M$7)^AR$5)</f>
        <v>0</v>
      </c>
      <c r="AS73" s="230">
        <f>(AS71-AS72)/((1+'2. Kalkyldata'!$M$7)^AS$5)</f>
        <v>0</v>
      </c>
      <c r="AT73" s="230">
        <f>(AT71-AT72)/((1+'2. Kalkyldata'!$M$7)^AT$5)</f>
        <v>0</v>
      </c>
      <c r="AU73" s="230">
        <f>(AU71-AU72)/((1+'2. Kalkyldata'!$M$7)^AU$5)</f>
        <v>0</v>
      </c>
      <c r="AV73" s="230">
        <f>(AV71-AV72)/((1+'2. Kalkyldata'!$M$7)^AV$5)</f>
        <v>0</v>
      </c>
      <c r="AW73" s="230">
        <f>(AW71-AW72)/((1+'2. Kalkyldata'!$M$7)^AW$5)</f>
        <v>0</v>
      </c>
      <c r="AX73" s="230">
        <f>(AX71-AX72)/((1+'2. Kalkyldata'!$M$7)^AX$5)</f>
        <v>0</v>
      </c>
      <c r="AY73" s="230">
        <f>(AY71-AY72)/((1+'2. Kalkyldata'!$M$7)^AY$5)</f>
        <v>0</v>
      </c>
      <c r="AZ73" s="230">
        <f>(AZ71-AZ72)/((1+'2. Kalkyldata'!$M$7)^AZ$5)</f>
        <v>0</v>
      </c>
      <c r="BA73" s="230">
        <f>(BA71-BA72)/((1+'2. Kalkyldata'!$M$7)^BA$5)</f>
        <v>0</v>
      </c>
    </row>
    <row r="74" spans="2:53">
      <c r="B74" s="229" t="s">
        <v>389</v>
      </c>
      <c r="C74" s="207"/>
      <c r="D74" s="230">
        <f>-(D72/((1+'2. Kalkyldata'!$M$7)^D$5))</f>
        <v>0</v>
      </c>
      <c r="E74" s="230">
        <f>-(E72/((1+'2. Kalkyldata'!$M$7)^E$5))</f>
        <v>0</v>
      </c>
      <c r="F74" s="230">
        <f>-(F72/((1+'2. Kalkyldata'!$M$7)^F$5))</f>
        <v>0</v>
      </c>
      <c r="G74" s="230">
        <f>-(G72/((1+'2. Kalkyldata'!$M$7)^G$5))</f>
        <v>0</v>
      </c>
      <c r="H74" s="230">
        <f>-(H72/((1+'2. Kalkyldata'!$M$7)^H$5))</f>
        <v>0</v>
      </c>
      <c r="I74" s="230">
        <f>-(I72/((1+'2. Kalkyldata'!$M$7)^I$5))</f>
        <v>0</v>
      </c>
      <c r="J74" s="230">
        <f>-(J72/((1+'2. Kalkyldata'!$M$7)^J$5))</f>
        <v>0</v>
      </c>
      <c r="K74" s="230">
        <f>-(K72/((1+'2. Kalkyldata'!$M$7)^K$5))</f>
        <v>0</v>
      </c>
      <c r="L74" s="230">
        <f>-(L72/((1+'2. Kalkyldata'!$M$7)^L$5))</f>
        <v>0</v>
      </c>
      <c r="M74" s="230">
        <f>-(M72/((1+'2. Kalkyldata'!$M$7)^M$5))</f>
        <v>0</v>
      </c>
      <c r="N74" s="230">
        <f>-(N72/((1+'2. Kalkyldata'!$M$7)^N$5))</f>
        <v>0</v>
      </c>
      <c r="O74" s="230">
        <f>-(O72/((1+'2. Kalkyldata'!$M$7)^O$5))</f>
        <v>0</v>
      </c>
      <c r="P74" s="230">
        <f>-(P72/((1+'2. Kalkyldata'!$M$7)^P$5))</f>
        <v>0</v>
      </c>
      <c r="Q74" s="230">
        <f>-(Q72/((1+'2. Kalkyldata'!$M$7)^Q$5))</f>
        <v>0</v>
      </c>
      <c r="R74" s="230">
        <f>-(R72/((1+'2. Kalkyldata'!$M$7)^R$5))</f>
        <v>0</v>
      </c>
      <c r="S74" s="230">
        <f>-(S72/((1+'2. Kalkyldata'!$M$7)^S$5))</f>
        <v>0</v>
      </c>
      <c r="T74" s="230">
        <f>-(T72/((1+'2. Kalkyldata'!$M$7)^T$5))</f>
        <v>0</v>
      </c>
      <c r="U74" s="230">
        <f>-(U72/((1+'2. Kalkyldata'!$M$7)^U$5))</f>
        <v>0</v>
      </c>
      <c r="V74" s="230">
        <f>-(V72/((1+'2. Kalkyldata'!$M$7)^V$5))</f>
        <v>0</v>
      </c>
      <c r="W74" s="230">
        <f>-(W72/((1+'2. Kalkyldata'!$M$7)^W$5))</f>
        <v>0</v>
      </c>
      <c r="X74" s="230">
        <f>-(X72/((1+'2. Kalkyldata'!$M$7)^X$5))</f>
        <v>0</v>
      </c>
      <c r="Y74" s="230">
        <f>-(Y72/((1+'2. Kalkyldata'!$M$7)^Y$5))</f>
        <v>0</v>
      </c>
      <c r="Z74" s="230">
        <f>-(Z72/((1+'2. Kalkyldata'!$M$7)^Z$5))</f>
        <v>0</v>
      </c>
      <c r="AA74" s="230">
        <f>-(AA72/((1+'2. Kalkyldata'!$M$7)^AA$5))</f>
        <v>0</v>
      </c>
      <c r="AB74" s="230">
        <f>-(AB72/((1+'2. Kalkyldata'!$M$7)^AB$5))</f>
        <v>0</v>
      </c>
      <c r="AC74" s="230">
        <f>-(AC72/((1+'2. Kalkyldata'!$M$7)^AC$5))</f>
        <v>0</v>
      </c>
      <c r="AD74" s="230">
        <f>-(AD72/((1+'2. Kalkyldata'!$M$7)^AD$5))</f>
        <v>0</v>
      </c>
      <c r="AE74" s="230">
        <f>-(AE72/((1+'2. Kalkyldata'!$M$7)^AE$5))</f>
        <v>0</v>
      </c>
      <c r="AF74" s="230">
        <f>-(AF72/((1+'2. Kalkyldata'!$M$7)^AF$5))</f>
        <v>0</v>
      </c>
      <c r="AG74" s="230">
        <f>-(AG72/((1+'2. Kalkyldata'!$M$7)^AG$5))</f>
        <v>0</v>
      </c>
      <c r="AH74" s="230">
        <f>-(AH72/((1+'2. Kalkyldata'!$M$7)^AH$5))</f>
        <v>0</v>
      </c>
      <c r="AI74" s="230">
        <f>-(AI72/((1+'2. Kalkyldata'!$M$7)^AI$5))</f>
        <v>0</v>
      </c>
      <c r="AJ74" s="230">
        <f>-(AJ72/((1+'2. Kalkyldata'!$M$7)^AJ$5))</f>
        <v>0</v>
      </c>
      <c r="AK74" s="230">
        <f>-(AK72/((1+'2. Kalkyldata'!$M$7)^AK$5))</f>
        <v>0</v>
      </c>
      <c r="AL74" s="230">
        <f>-(AL72/((1+'2. Kalkyldata'!$M$7)^AL$5))</f>
        <v>0</v>
      </c>
      <c r="AM74" s="230">
        <f>-(AM72/((1+'2. Kalkyldata'!$M$7)^AM$5))</f>
        <v>0</v>
      </c>
      <c r="AN74" s="230">
        <f>-(AN72/((1+'2. Kalkyldata'!$M$7)^AN$5))</f>
        <v>0</v>
      </c>
      <c r="AO74" s="230">
        <f>-(AO72/((1+'2. Kalkyldata'!$M$7)^AO$5))</f>
        <v>0</v>
      </c>
      <c r="AP74" s="230">
        <f>-(AP72/((1+'2. Kalkyldata'!$M$7)^AP$5))</f>
        <v>0</v>
      </c>
      <c r="AQ74" s="230">
        <f>-(AQ72/((1+'2. Kalkyldata'!$M$7)^AQ$5))</f>
        <v>0</v>
      </c>
      <c r="AR74" s="230">
        <f>-(AR72/((1+'2. Kalkyldata'!$M$7)^AR$5))</f>
        <v>0</v>
      </c>
      <c r="AS74" s="230">
        <f>-(AS72/((1+'2. Kalkyldata'!$M$7)^AS$5))</f>
        <v>0</v>
      </c>
      <c r="AT74" s="230">
        <f>-(AT72/((1+'2. Kalkyldata'!$M$7)^AT$5))</f>
        <v>0</v>
      </c>
      <c r="AU74" s="230">
        <f>-(AU72/((1+'2. Kalkyldata'!$M$7)^AU$5))</f>
        <v>0</v>
      </c>
      <c r="AV74" s="230">
        <f>-(AV72/((1+'2. Kalkyldata'!$M$7)^AV$5))</f>
        <v>0</v>
      </c>
      <c r="AW74" s="230">
        <f>-(AW72/((1+'2. Kalkyldata'!$M$7)^AW$5))</f>
        <v>0</v>
      </c>
      <c r="AX74" s="230">
        <f>-(AX72/((1+'2. Kalkyldata'!$M$7)^AX$5))</f>
        <v>0</v>
      </c>
      <c r="AY74" s="230">
        <f>-(AY72/((1+'2. Kalkyldata'!$M$7)^AY$5))</f>
        <v>0</v>
      </c>
      <c r="AZ74" s="230">
        <f>-(AZ72/((1+'2. Kalkyldata'!$M$7)^AZ$5))</f>
        <v>0</v>
      </c>
      <c r="BA74" s="230">
        <f>-(BA72/((1+'2. Kalkyldata'!$M$7)^BA$5))</f>
        <v>0</v>
      </c>
    </row>
    <row r="75" spans="2:53">
      <c r="B75" s="746" t="s">
        <v>390</v>
      </c>
      <c r="C75" s="207"/>
      <c r="D75" s="207"/>
      <c r="E75" s="207"/>
      <c r="F75" s="207"/>
    </row>
    <row r="76" spans="2:53" ht="15.75">
      <c r="B76" s="428" t="s">
        <v>391</v>
      </c>
      <c r="C76" s="429">
        <f>C47</f>
        <v>10</v>
      </c>
      <c r="D76" s="429"/>
      <c r="E76" s="429">
        <f>E47</f>
        <v>20</v>
      </c>
      <c r="F76" s="207"/>
    </row>
    <row r="77" spans="2:53">
      <c r="B77" s="229" t="s">
        <v>392</v>
      </c>
      <c r="C77" s="333">
        <f ca="1">ROUND((SUMIFS($D$73:$BA$73,$D$4:$BA$4,$C$44))/10000,0)*10000</f>
        <v>114050000</v>
      </c>
      <c r="D77" s="333"/>
      <c r="E77" s="333">
        <f ca="1">ROUND((SUMIFS($D$73:$BA$73,$D$4:$BA$4,$D$44))/10000,0)*10000</f>
        <v>197100000</v>
      </c>
      <c r="F77" s="506"/>
    </row>
    <row r="78" spans="2:53">
      <c r="B78" s="229" t="s">
        <v>247</v>
      </c>
      <c r="C78" s="333">
        <f>-ROUND((SUM($D$74:$BA$74))/10000,0)*10000</f>
        <v>0</v>
      </c>
      <c r="D78" s="333"/>
      <c r="E78" s="333">
        <f>-ROUND((SUM($D$74:$BA$74))/10000,0)*10000</f>
        <v>0</v>
      </c>
      <c r="F78" s="506"/>
    </row>
    <row r="79" spans="2:53">
      <c r="B79" s="229" t="s">
        <v>393</v>
      </c>
      <c r="C79" s="333">
        <f ca="1">ROUND((HLOOKUP(C$43+1,$D$4:$BA$74,68,FALSE)/'2. Kalkyldata'!$M$11)/10000,0)*10000</f>
        <v>239460000</v>
      </c>
      <c r="D79" s="333"/>
      <c r="E79" s="333">
        <f ca="1">ROUND(((HLOOKUP(D$43+1,$D$4:$BA$74,68,FALSE)-HLOOKUP(D$43+1,$D$4:$BA$74,69,FALSE))/'2. Kalkyldata'!$M$11)/10000,0)*10000</f>
        <v>271940000</v>
      </c>
      <c r="F79" s="506"/>
    </row>
    <row r="80" spans="2:53">
      <c r="B80" s="229" t="s">
        <v>254</v>
      </c>
      <c r="C80" s="333">
        <f ca="1">ROUND((C79/((1+'2. Kalkyldata'!$M$8)^(C47)))/10000,0)*10000</f>
        <v>105910000</v>
      </c>
      <c r="D80" s="333"/>
      <c r="E80" s="333">
        <f ca="1">ROUND((E79/((1+'2. Kalkyldata'!$M$8)^(E47)))/10000,0)*10000</f>
        <v>53200000</v>
      </c>
      <c r="F80" s="506"/>
    </row>
    <row r="81" spans="2:5">
      <c r="B81" s="229" t="s">
        <v>394</v>
      </c>
      <c r="C81" s="333">
        <f ca="1">IFERROR(C77+C78+C80,0)</f>
        <v>219960000</v>
      </c>
      <c r="D81" s="333"/>
      <c r="E81" s="333">
        <f ca="1">IFERROR(E77+E78+E80,0)</f>
        <v>250300000</v>
      </c>
    </row>
    <row r="82" spans="2:5" ht="15.75">
      <c r="B82" s="428" t="s">
        <v>395</v>
      </c>
      <c r="C82" s="439">
        <f ca="1">C81+$C$56</f>
        <v>-20039999.99999997</v>
      </c>
      <c r="D82" s="439"/>
      <c r="E82" s="439">
        <f ca="1">E81+$E$56</f>
        <v>10300000.00000003</v>
      </c>
    </row>
    <row r="83" spans="2:5">
      <c r="C83" s="506"/>
      <c r="D83" s="506"/>
      <c r="E83" s="506"/>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1" manualBreakCount="1">
    <brk id="29" min="1" max="24" man="1"/>
  </rowBreaks>
  <colBreaks count="1" manualBreakCount="1">
    <brk id="12" max="81" man="1"/>
  </col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sheetPr>
  <dimension ref="A1:BA61"/>
  <sheetViews>
    <sheetView zoomScaleNormal="100" zoomScaleSheetLayoutView="85" workbookViewId="0">
      <selection activeCell="H55" sqref="H55:H57"/>
    </sheetView>
  </sheetViews>
  <sheetFormatPr defaultColWidth="9.125" defaultRowHeight="14.25" outlineLevelRow="1"/>
  <cols>
    <col min="1" max="1" width="4.625" style="11" customWidth="1"/>
    <col min="2" max="2" width="33.625" style="11" customWidth="1"/>
    <col min="3" max="3" width="15.375" style="11" customWidth="1"/>
    <col min="4" max="4" width="11.5" style="11" bestFit="1" customWidth="1"/>
    <col min="5" max="23" width="10.625" style="11" customWidth="1"/>
    <col min="24" max="27" width="10.25" style="11" customWidth="1"/>
    <col min="28" max="53" width="12.875" style="11" customWidth="1"/>
    <col min="54" max="16384" width="9.125" style="11"/>
  </cols>
  <sheetData>
    <row r="1" spans="1:53" ht="23.25">
      <c r="A1" s="177"/>
      <c r="B1" s="177" t="s">
        <v>258</v>
      </c>
      <c r="C1" s="506"/>
      <c r="D1" s="619"/>
      <c r="E1" s="619"/>
      <c r="F1" s="619"/>
      <c r="G1" s="619"/>
      <c r="H1" s="619"/>
      <c r="I1" s="619"/>
      <c r="J1" s="619"/>
      <c r="K1" s="619"/>
      <c r="L1" s="619"/>
      <c r="M1" s="619"/>
      <c r="N1" s="619"/>
      <c r="O1" s="619"/>
      <c r="P1" s="619"/>
      <c r="Q1" s="619"/>
      <c r="R1" s="619"/>
      <c r="S1" s="619"/>
      <c r="T1" s="619"/>
      <c r="U1" s="619"/>
      <c r="V1" s="619"/>
      <c r="W1" s="619"/>
      <c r="X1" s="619"/>
      <c r="Y1" s="619"/>
      <c r="Z1" s="619"/>
      <c r="AA1" s="619"/>
      <c r="AB1" s="619"/>
      <c r="AC1" s="619"/>
      <c r="AD1" s="619"/>
      <c r="AE1" s="619"/>
      <c r="AF1" s="619"/>
      <c r="AG1" s="619"/>
      <c r="AH1" s="619"/>
      <c r="AI1" s="619"/>
      <c r="AJ1" s="619"/>
      <c r="AK1" s="619"/>
      <c r="AL1" s="619"/>
      <c r="AM1" s="619"/>
      <c r="AN1" s="619"/>
      <c r="AO1" s="619"/>
      <c r="AP1" s="619"/>
      <c r="AQ1" s="619"/>
      <c r="AR1" s="619"/>
      <c r="AS1" s="619"/>
      <c r="AT1" s="619"/>
      <c r="AU1" s="619"/>
      <c r="AV1" s="619"/>
      <c r="AW1" s="619"/>
      <c r="AX1" s="619"/>
      <c r="AY1" s="619"/>
      <c r="AZ1" s="619"/>
      <c r="BA1" s="619"/>
    </row>
    <row r="2" spans="1:53" ht="42.75" hidden="1" customHeight="1" outlineLevel="1">
      <c r="A2" s="177"/>
      <c r="B2" s="743" t="s">
        <v>259</v>
      </c>
      <c r="C2" s="743"/>
      <c r="D2" s="743"/>
      <c r="E2" s="743"/>
      <c r="F2" s="743"/>
      <c r="G2" s="743"/>
      <c r="H2" s="743"/>
      <c r="I2" s="743"/>
      <c r="J2" s="743"/>
      <c r="K2" s="743"/>
      <c r="L2" s="619"/>
      <c r="M2" s="619"/>
      <c r="N2" s="619"/>
      <c r="O2" s="619"/>
      <c r="P2" s="619"/>
      <c r="Q2" s="619"/>
      <c r="R2" s="619"/>
      <c r="S2" s="619"/>
      <c r="T2" s="619"/>
      <c r="U2" s="619"/>
      <c r="V2" s="619"/>
      <c r="W2" s="619"/>
      <c r="X2" s="619"/>
      <c r="Y2" s="619"/>
      <c r="Z2" s="619"/>
      <c r="AA2" s="619"/>
      <c r="AB2" s="619"/>
      <c r="AC2" s="619"/>
      <c r="AD2" s="619"/>
      <c r="AE2" s="619"/>
      <c r="AF2" s="619"/>
      <c r="AG2" s="619"/>
      <c r="AH2" s="619"/>
      <c r="AI2" s="619"/>
      <c r="AJ2" s="619"/>
      <c r="AK2" s="619"/>
      <c r="AL2" s="619"/>
      <c r="AM2" s="619"/>
      <c r="AN2" s="619"/>
      <c r="AO2" s="619"/>
      <c r="AP2" s="619"/>
      <c r="AQ2" s="619"/>
      <c r="AR2" s="619"/>
      <c r="AS2" s="619"/>
      <c r="AT2" s="619"/>
      <c r="AU2" s="619"/>
      <c r="AV2" s="619"/>
      <c r="AW2" s="619"/>
      <c r="AX2" s="619"/>
      <c r="AY2" s="619"/>
      <c r="AZ2" s="619"/>
      <c r="BA2" s="619"/>
    </row>
    <row r="3" spans="1:53" ht="23.25" hidden="1" outlineLevel="1">
      <c r="A3" s="177"/>
      <c r="B3" s="743"/>
      <c r="C3" s="743"/>
      <c r="D3" s="743"/>
      <c r="E3" s="743"/>
      <c r="F3" s="743"/>
      <c r="G3" s="743"/>
      <c r="H3" s="743"/>
      <c r="I3" s="743"/>
      <c r="J3" s="743"/>
      <c r="K3" s="743"/>
      <c r="L3" s="619"/>
      <c r="M3" s="619"/>
      <c r="N3" s="619"/>
      <c r="O3" s="619"/>
      <c r="P3" s="619"/>
      <c r="Q3" s="619"/>
      <c r="R3" s="619"/>
      <c r="S3" s="619"/>
      <c r="T3" s="619"/>
      <c r="U3" s="619"/>
      <c r="V3" s="619"/>
      <c r="W3" s="619"/>
      <c r="X3" s="619"/>
      <c r="Y3" s="619"/>
      <c r="Z3" s="619"/>
      <c r="AA3" s="619"/>
      <c r="AB3" s="619"/>
      <c r="AC3" s="619"/>
      <c r="AD3" s="619"/>
      <c r="AE3" s="619"/>
      <c r="AF3" s="619"/>
      <c r="AG3" s="619"/>
      <c r="AH3" s="619"/>
      <c r="AI3" s="619"/>
      <c r="AJ3" s="619"/>
      <c r="AK3" s="619"/>
      <c r="AL3" s="619"/>
      <c r="AM3" s="619"/>
      <c r="AN3" s="619"/>
      <c r="AO3" s="619"/>
      <c r="AP3" s="619"/>
      <c r="AQ3" s="619"/>
      <c r="AR3" s="619"/>
      <c r="AS3" s="619"/>
      <c r="AT3" s="619"/>
      <c r="AU3" s="619"/>
      <c r="AV3" s="619"/>
      <c r="AW3" s="619"/>
      <c r="AX3" s="619"/>
      <c r="AY3" s="619"/>
      <c r="AZ3" s="619"/>
      <c r="BA3" s="619"/>
    </row>
    <row r="4" spans="1:53" ht="27.75" hidden="1" customHeight="1" outlineLevel="1">
      <c r="A4" s="177"/>
      <c r="B4" s="743"/>
      <c r="C4" s="743"/>
      <c r="D4" s="743"/>
      <c r="E4" s="743"/>
      <c r="F4" s="743"/>
      <c r="G4" s="743"/>
      <c r="H4" s="743"/>
      <c r="I4" s="743"/>
      <c r="J4" s="743"/>
      <c r="K4" s="743"/>
      <c r="L4" s="619"/>
      <c r="M4" s="619"/>
      <c r="N4" s="619"/>
      <c r="O4" s="619"/>
      <c r="P4" s="619"/>
      <c r="Q4" s="619"/>
      <c r="R4" s="619"/>
      <c r="S4" s="619"/>
      <c r="T4" s="619"/>
      <c r="U4" s="619"/>
      <c r="V4" s="619"/>
      <c r="W4" s="619"/>
      <c r="X4" s="619"/>
      <c r="Y4" s="619"/>
      <c r="Z4" s="619"/>
      <c r="AA4" s="619"/>
      <c r="AB4" s="619"/>
      <c r="AC4" s="619"/>
      <c r="AD4" s="619"/>
      <c r="AE4" s="619"/>
      <c r="AF4" s="619"/>
      <c r="AG4" s="619"/>
      <c r="AH4" s="619"/>
      <c r="AI4" s="619"/>
      <c r="AJ4" s="619"/>
      <c r="AK4" s="619"/>
      <c r="AL4" s="619"/>
      <c r="AM4" s="619"/>
      <c r="AN4" s="619"/>
      <c r="AO4" s="619"/>
      <c r="AP4" s="619"/>
      <c r="AQ4" s="619"/>
      <c r="AR4" s="619"/>
      <c r="AS4" s="619"/>
      <c r="AT4" s="619"/>
      <c r="AU4" s="619"/>
      <c r="AV4" s="619"/>
      <c r="AW4" s="619"/>
      <c r="AX4" s="619"/>
      <c r="AY4" s="619"/>
      <c r="AZ4" s="619"/>
      <c r="BA4" s="619"/>
    </row>
    <row r="5" spans="1:53" ht="45.75" customHeight="1" collapsed="1">
      <c r="A5" s="178" t="s">
        <v>260</v>
      </c>
      <c r="B5" s="402" t="s">
        <v>261</v>
      </c>
      <c r="C5" s="403">
        <f>'2. Kalkyldata'!$P$17</f>
        <v>20</v>
      </c>
      <c r="D5" s="330">
        <f>D15</f>
        <v>2026</v>
      </c>
      <c r="E5" s="330">
        <f t="shared" ref="E5:BA5" si="0">E15</f>
        <v>2027</v>
      </c>
      <c r="F5" s="330">
        <f t="shared" si="0"/>
        <v>2028</v>
      </c>
      <c r="G5" s="330">
        <f t="shared" si="0"/>
        <v>2029</v>
      </c>
      <c r="H5" s="330">
        <f t="shared" si="0"/>
        <v>2030</v>
      </c>
      <c r="I5" s="330">
        <f t="shared" si="0"/>
        <v>2031</v>
      </c>
      <c r="J5" s="330">
        <f t="shared" si="0"/>
        <v>2032</v>
      </c>
      <c r="K5" s="330">
        <f t="shared" si="0"/>
        <v>2033</v>
      </c>
      <c r="L5" s="330">
        <f t="shared" si="0"/>
        <v>2034</v>
      </c>
      <c r="M5" s="330">
        <f t="shared" si="0"/>
        <v>2035</v>
      </c>
      <c r="N5" s="330">
        <f t="shared" si="0"/>
        <v>2036</v>
      </c>
      <c r="O5" s="330">
        <f t="shared" si="0"/>
        <v>2037</v>
      </c>
      <c r="P5" s="330">
        <f t="shared" si="0"/>
        <v>2038</v>
      </c>
      <c r="Q5" s="330">
        <f t="shared" si="0"/>
        <v>2039</v>
      </c>
      <c r="R5" s="330">
        <f t="shared" si="0"/>
        <v>2040</v>
      </c>
      <c r="S5" s="330">
        <f t="shared" si="0"/>
        <v>2041</v>
      </c>
      <c r="T5" s="330">
        <f t="shared" si="0"/>
        <v>2042</v>
      </c>
      <c r="U5" s="330">
        <f t="shared" si="0"/>
        <v>2043</v>
      </c>
      <c r="V5" s="330">
        <f t="shared" si="0"/>
        <v>2044</v>
      </c>
      <c r="W5" s="330">
        <f t="shared" si="0"/>
        <v>2045</v>
      </c>
      <c r="X5" s="330" t="str">
        <f t="shared" si="0"/>
        <v/>
      </c>
      <c r="Y5" s="330" t="str">
        <f t="shared" si="0"/>
        <v/>
      </c>
      <c r="Z5" s="330" t="str">
        <f t="shared" si="0"/>
        <v/>
      </c>
      <c r="AA5" s="330" t="str">
        <f t="shared" si="0"/>
        <v/>
      </c>
      <c r="AB5" s="330" t="str">
        <f t="shared" si="0"/>
        <v/>
      </c>
      <c r="AC5" s="330" t="str">
        <f t="shared" si="0"/>
        <v/>
      </c>
      <c r="AD5" s="330" t="str">
        <f t="shared" si="0"/>
        <v/>
      </c>
      <c r="AE5" s="330" t="str">
        <f t="shared" si="0"/>
        <v/>
      </c>
      <c r="AF5" s="330" t="str">
        <f t="shared" si="0"/>
        <v/>
      </c>
      <c r="AG5" s="330" t="str">
        <f t="shared" si="0"/>
        <v/>
      </c>
      <c r="AH5" s="330" t="str">
        <f t="shared" si="0"/>
        <v/>
      </c>
      <c r="AI5" s="330" t="str">
        <f t="shared" si="0"/>
        <v/>
      </c>
      <c r="AJ5" s="330" t="str">
        <f t="shared" si="0"/>
        <v/>
      </c>
      <c r="AK5" s="330" t="str">
        <f t="shared" si="0"/>
        <v/>
      </c>
      <c r="AL5" s="330" t="str">
        <f t="shared" si="0"/>
        <v/>
      </c>
      <c r="AM5" s="330" t="str">
        <f t="shared" si="0"/>
        <v/>
      </c>
      <c r="AN5" s="330" t="str">
        <f t="shared" si="0"/>
        <v/>
      </c>
      <c r="AO5" s="330" t="str">
        <f t="shared" si="0"/>
        <v/>
      </c>
      <c r="AP5" s="330" t="str">
        <f t="shared" si="0"/>
        <v/>
      </c>
      <c r="AQ5" s="330" t="str">
        <f t="shared" si="0"/>
        <v/>
      </c>
      <c r="AR5" s="330" t="str">
        <f t="shared" si="0"/>
        <v/>
      </c>
      <c r="AS5" s="330" t="str">
        <f t="shared" si="0"/>
        <v/>
      </c>
      <c r="AT5" s="330" t="str">
        <f t="shared" si="0"/>
        <v/>
      </c>
      <c r="AU5" s="330" t="str">
        <f t="shared" si="0"/>
        <v/>
      </c>
      <c r="AV5" s="330" t="str">
        <f t="shared" si="0"/>
        <v/>
      </c>
      <c r="AW5" s="330" t="str">
        <f t="shared" si="0"/>
        <v/>
      </c>
      <c r="AX5" s="330" t="str">
        <f t="shared" si="0"/>
        <v/>
      </c>
      <c r="AY5" s="330" t="str">
        <f t="shared" si="0"/>
        <v/>
      </c>
      <c r="AZ5" s="330" t="str">
        <f t="shared" si="0"/>
        <v/>
      </c>
      <c r="BA5" s="330" t="str">
        <f t="shared" si="0"/>
        <v/>
      </c>
    </row>
    <row r="6" spans="1:53" s="180" customFormat="1" ht="15" customHeight="1">
      <c r="A6" s="179">
        <v>0</v>
      </c>
      <c r="B6" s="455" t="s">
        <v>262</v>
      </c>
      <c r="C6" s="454">
        <f ca="1">MROUND(LOOKUP('2. Kalkyldata'!$P$17,'5. IRR'!$D$14:$BA$14,'5. IRR'!$D$6:BA6),100000)</f>
        <v>104500000</v>
      </c>
      <c r="D6" s="456">
        <f ca="1">IFERROR(IF('6. Ack.kapitalutlägg'!C$13&gt;'2. Kalkyldata'!$U$17*((1+'2. Kalkyldata'!$M$9)^('5. IRR'!D$15-'5. IRR'!$D$15)),'6. Ack.kapitalutlägg'!C$13,('2. Kalkyldata'!$U$17*((1+'2. Kalkyldata'!$M$9)^('5. IRR'!D$15-'5. IRR'!$D$15)))),"")</f>
        <v>237225499.99999997</v>
      </c>
      <c r="E6" s="456">
        <f ca="1">IFERROR(IF('6. Ack.kapitalutlägg'!D$13&gt;'2. Kalkyldata'!$U$17*((1+'2. Kalkyldata'!$M$9)^('5. IRR'!E$15-'5. IRR'!$D$15)),'6. Ack.kapitalutlägg'!D$13,('2. Kalkyldata'!$U$17*((1+'2. Kalkyldata'!$M$9)^('5. IRR'!E$15-'5. IRR'!$D$15)))),"")</f>
        <v>234147860.24999997</v>
      </c>
      <c r="F6" s="456">
        <f ca="1">IFERROR(IF('6. Ack.kapitalutlägg'!E$13&gt;'2. Kalkyldata'!$U$17*((1+'2. Kalkyldata'!$M$9)^('5. IRR'!F$15-'5. IRR'!$D$15)),'6. Ack.kapitalutlägg'!E$13,('2. Kalkyldata'!$U$17*((1+'2. Kalkyldata'!$M$9)^('5. IRR'!F$15-'5. IRR'!$D$15)))),"")</f>
        <v>230751107.75137496</v>
      </c>
      <c r="G6" s="456">
        <f ca="1">IFERROR(IF('6. Ack.kapitalutlägg'!F$13&gt;'2. Kalkyldata'!$U$17*((1+'2. Kalkyldata'!$M$9)^('5. IRR'!G$15-'5. IRR'!$D$15)),'6. Ack.kapitalutlägg'!F$13,('2. Kalkyldata'!$U$17*((1+'2. Kalkyldata'!$M$9)^('5. IRR'!G$15-'5. IRR'!$D$15)))),"")</f>
        <v>227018518.1413025</v>
      </c>
      <c r="H6" s="456">
        <f ca="1">IFERROR(IF('6. Ack.kapitalutlägg'!G$13&gt;'2. Kalkyldata'!$U$17*((1+'2. Kalkyldata'!$M$9)^('5. IRR'!H$15-'5. IRR'!$D$15)),'6. Ack.kapitalutlägg'!G$13,('2. Kalkyldata'!$U$17*((1+'2. Kalkyldata'!$M$9)^('5. IRR'!H$15-'5. IRR'!$D$15)))),"")</f>
        <v>222932581.27997711</v>
      </c>
      <c r="I6" s="456">
        <f ca="1">IFERROR(IF('6. Ack.kapitalutlägg'!H$13&gt;'2. Kalkyldata'!$U$17*((1+'2. Kalkyldata'!$M$9)^('5. IRR'!I$15-'5. IRR'!$D$15)),'6. Ack.kapitalutlägg'!H$13,('2. Kalkyldata'!$U$17*((1+'2. Kalkyldata'!$M$9)^('5. IRR'!I$15-'5. IRR'!$D$15)))),"")</f>
        <v>218474965.27125454</v>
      </c>
      <c r="J6" s="456">
        <f ca="1">IFERROR(IF('6. Ack.kapitalutlägg'!I$13&gt;'2. Kalkyldata'!$U$17*((1+'2. Kalkyldata'!$M$9)^('5. IRR'!J$15-'5. IRR'!$D$15)),'6. Ack.kapitalutlägg'!I$13,('2. Kalkyldata'!$U$17*((1+'2. Kalkyldata'!$M$9)^('5. IRR'!J$15-'5. IRR'!$D$15)))),"")</f>
        <v>213626478.84548348</v>
      </c>
      <c r="K6" s="456">
        <f ca="1">IFERROR(IF('6. Ack.kapitalutlägg'!J$13&gt;'2. Kalkyldata'!$U$17*((1+'2. Kalkyldata'!$M$9)^('5. IRR'!K$15-'5. IRR'!$D$15)),'6. Ack.kapitalutlägg'!J$13,('2. Kalkyldata'!$U$17*((1+'2. Kalkyldata'!$M$9)^('5. IRR'!K$15-'5. IRR'!$D$15)))),"")</f>
        <v>208367032.03004199</v>
      </c>
      <c r="L6" s="456">
        <f ca="1">IFERROR(IF('6. Ack.kapitalutlägg'!K$13&gt;'2. Kalkyldata'!$U$17*((1+'2. Kalkyldata'!$M$9)^('5. IRR'!L$15-'5. IRR'!$D$15)),'6. Ack.kapitalutlägg'!K$13,('2. Kalkyldata'!$U$17*((1+'2. Kalkyldata'!$M$9)^('5. IRR'!L$15-'5. IRR'!$D$15)))),"")</f>
        <v>202675595.02970871</v>
      </c>
      <c r="M6" s="456">
        <f ca="1">IFERROR(IF('6. Ack.kapitalutlägg'!L$13&gt;'2. Kalkyldata'!$U$17*((1+'2. Kalkyldata'!$M$9)^('5. IRR'!M$15-'5. IRR'!$D$15)),'6. Ack.kapitalutlägg'!L$13,('2. Kalkyldata'!$U$17*((1+'2. Kalkyldata'!$M$9)^('5. IRR'!M$15-'5. IRR'!$D$15)))),"")</f>
        <v>196530155.23545706</v>
      </c>
      <c r="N6" s="456">
        <f ca="1">IFERROR(IF('6. Ack.kapitalutlägg'!M$13&gt;'2. Kalkyldata'!$U$17*((1+'2. Kalkyldata'!$M$9)^('5. IRR'!N$15-'5. IRR'!$D$15)),'6. Ack.kapitalutlägg'!M$13,('2. Kalkyldata'!$U$17*((1+'2. Kalkyldata'!$M$9)^('5. IRR'!N$15-'5. IRR'!$D$15)))),"")</f>
        <v>189907672.27655819</v>
      </c>
      <c r="O6" s="456">
        <f ca="1">IFERROR(IF('6. Ack.kapitalutlägg'!N$13&gt;'2. Kalkyldata'!$U$17*((1+'2. Kalkyldata'!$M$9)^('5. IRR'!O$15-'5. IRR'!$D$15)),'6. Ack.kapitalutlägg'!N$13,('2. Kalkyldata'!$U$17*((1+'2. Kalkyldata'!$M$9)^('5. IRR'!O$15-'5. IRR'!$D$15)))),"")</f>
        <v>182784031.02700746</v>
      </c>
      <c r="P6" s="456">
        <f ca="1">IFERROR(IF('6. Ack.kapitalutlägg'!O$13&gt;'2. Kalkyldata'!$U$17*((1+'2. Kalkyldata'!$M$9)^('5. IRR'!P$15-'5. IRR'!$D$15)),'6. Ack.kapitalutlägg'!O$13,('2. Kalkyldata'!$U$17*((1+'2. Kalkyldata'!$M$9)^('5. IRR'!P$15-'5. IRR'!$D$15)))),"")</f>
        <v>175133992.4732416</v>
      </c>
      <c r="Q6" s="456">
        <f ca="1">IFERROR(IF('6. Ack.kapitalutlägg'!P$13&gt;'2. Kalkyldata'!$U$17*((1+'2. Kalkyldata'!$M$9)^('5. IRR'!Q$15-'5. IRR'!$D$15)),'6. Ack.kapitalutlägg'!P$13,('2. Kalkyldata'!$U$17*((1+'2. Kalkyldata'!$M$9)^('5. IRR'!Q$15-'5. IRR'!$D$15)))),"")</f>
        <v>166931142.34588328</v>
      </c>
      <c r="R6" s="456">
        <f ca="1">IFERROR(IF('6. Ack.kapitalutlägg'!Q$13&gt;'2. Kalkyldata'!$U$17*((1+'2. Kalkyldata'!$M$9)^('5. IRR'!R$15-'5. IRR'!$D$15)),'6. Ack.kapitalutlägg'!Q$13,('2. Kalkyldata'!$U$17*((1+'2. Kalkyldata'!$M$9)^('5. IRR'!R$15-'5. IRR'!$D$15)))),"")</f>
        <v>158147837.41382489</v>
      </c>
      <c r="S6" s="456">
        <f ca="1">IFERROR(IF('6. Ack.kapitalutlägg'!R$13&gt;'2. Kalkyldata'!$U$17*((1+'2. Kalkyldata'!$M$9)^('5. IRR'!S$15-'5. IRR'!$D$15)),'6. Ack.kapitalutlägg'!R$13,('2. Kalkyldata'!$U$17*((1+'2. Kalkyldata'!$M$9)^('5. IRR'!S$15-'5. IRR'!$D$15)))),"")</f>
        <v>148755149.33433959</v>
      </c>
      <c r="T6" s="456">
        <f ca="1">IFERROR(IF('6. Ack.kapitalutlägg'!S$13&gt;'2. Kalkyldata'!$U$17*((1+'2. Kalkyldata'!$M$9)^('5. IRR'!T$15-'5. IRR'!$D$15)),'6. Ack.kapitalutlägg'!S$13,('2. Kalkyldata'!$U$17*((1+'2. Kalkyldata'!$M$9)^('5. IRR'!T$15-'5. IRR'!$D$15)))),"")</f>
        <v>138722805.94807127</v>
      </c>
      <c r="U6" s="456">
        <f ca="1">IFERROR(IF('6. Ack.kapitalutlägg'!T$13&gt;'2. Kalkyldata'!$U$17*((1+'2. Kalkyldata'!$M$9)^('5. IRR'!U$15-'5. IRR'!$D$15)),'6. Ack.kapitalutlägg'!T$13,('2. Kalkyldata'!$U$17*((1+'2. Kalkyldata'!$M$9)^('5. IRR'!U$15-'5. IRR'!$D$15)))),"")</f>
        <v>128019129.90270057</v>
      </c>
      <c r="V6" s="456">
        <f ca="1">IFERROR(IF('6. Ack.kapitalutlägg'!U$13&gt;'2. Kalkyldata'!$U$17*((1+'2. Kalkyldata'!$M$9)^('5. IRR'!V$15-'5. IRR'!$D$15)),'6. Ack.kapitalutlägg'!U$13,('2. Kalkyldata'!$U$17*((1+'2. Kalkyldata'!$M$9)^('5. IRR'!V$15-'5. IRR'!$D$15)))),"")</f>
        <v>116610974.48379809</v>
      </c>
      <c r="W6" s="456">
        <f ca="1">IFERROR(IF('6. Ack.kapitalutlägg'!V$13&gt;'2. Kalkyldata'!$U$17*((1+'2. Kalkyldata'!$M$9)^('5. IRR'!W$15-'5. IRR'!$D$15)),'6. Ack.kapitalutlägg'!V$13,('2. Kalkyldata'!$U$17*((1+'2. Kalkyldata'!$M$9)^('5. IRR'!W$15-'5. IRR'!$D$15)))),"")</f>
        <v>104463656.52585071</v>
      </c>
      <c r="X6" s="456" t="str">
        <f ca="1">IFERROR(IF('6. Ack.kapitalutlägg'!W$13&gt;'2. Kalkyldata'!$U$17*((1+'2. Kalkyldata'!$M$9)^('5. IRR'!X$15-'5. IRR'!$D$15)),'6. Ack.kapitalutlägg'!W$13,('2. Kalkyldata'!$U$17*((1+'2. Kalkyldata'!$M$9)^('5. IRR'!X$15-'5. IRR'!$D$15)))),"")</f>
        <v/>
      </c>
      <c r="Y6" s="456" t="str">
        <f>IFERROR(IF('6. Ack.kapitalutlägg'!X$13&gt;'2. Kalkyldata'!$U$17*((1+'2. Kalkyldata'!$M$9)^('5. IRR'!Y$15-'5. IRR'!$D$15)),'6. Ack.kapitalutlägg'!X$13,('2. Kalkyldata'!$U$17*((1+'2. Kalkyldata'!$M$9)^('5. IRR'!Y$15-'5. IRR'!$D$15)))),"")</f>
        <v/>
      </c>
      <c r="Z6" s="456" t="str">
        <f>IFERROR(IF('6. Ack.kapitalutlägg'!Y$13&gt;'2. Kalkyldata'!$U$17*((1+'2. Kalkyldata'!$M$9)^('5. IRR'!Z$15-'5. IRR'!$D$15)),'6. Ack.kapitalutlägg'!Y$13,('2. Kalkyldata'!$U$17*((1+'2. Kalkyldata'!$M$9)^('5. IRR'!Z$15-'5. IRR'!$D$15)))),"")</f>
        <v/>
      </c>
      <c r="AA6" s="456" t="str">
        <f>IFERROR(IF('6. Ack.kapitalutlägg'!Z$13&gt;'2. Kalkyldata'!$U$17*((1+'2. Kalkyldata'!$M$9)^('5. IRR'!AA$15-'5. IRR'!$D$15)),'6. Ack.kapitalutlägg'!Z$13,('2. Kalkyldata'!$U$17*((1+'2. Kalkyldata'!$M$9)^('5. IRR'!AA$15-'5. IRR'!$D$15)))),"")</f>
        <v/>
      </c>
      <c r="AB6" s="456" t="str">
        <f>IFERROR(IF('6. Ack.kapitalutlägg'!AA$13&gt;'2. Kalkyldata'!$U$17*((1+'2. Kalkyldata'!$M$9)^('5. IRR'!AB$15-'5. IRR'!$D$15)),'6. Ack.kapitalutlägg'!AA$13,('2. Kalkyldata'!$U$17*((1+'2. Kalkyldata'!$M$9)^('5. IRR'!AB$15-'5. IRR'!$D$15)))),"")</f>
        <v/>
      </c>
      <c r="AC6" s="456" t="str">
        <f>IFERROR(IF('6. Ack.kapitalutlägg'!AB$13&gt;'2. Kalkyldata'!$U$17*((1+'2. Kalkyldata'!$M$9)^('5. IRR'!AC$15-'5. IRR'!$D$15)),'6. Ack.kapitalutlägg'!AB$13,('2. Kalkyldata'!$U$17*((1+'2. Kalkyldata'!$M$9)^('5. IRR'!AC$15-'5. IRR'!$D$15)))),"")</f>
        <v/>
      </c>
      <c r="AD6" s="456" t="str">
        <f>IFERROR(IF('6. Ack.kapitalutlägg'!AC$13&gt;'2. Kalkyldata'!$U$17*((1+'2. Kalkyldata'!$M$9)^('5. IRR'!AD$15-'5. IRR'!$D$15)),'6. Ack.kapitalutlägg'!AC$13,('2. Kalkyldata'!$U$17*((1+'2. Kalkyldata'!$M$9)^('5. IRR'!AD$15-'5. IRR'!$D$15)))),"")</f>
        <v/>
      </c>
      <c r="AE6" s="456" t="str">
        <f>IFERROR(IF('6. Ack.kapitalutlägg'!AD$13&gt;'2. Kalkyldata'!$U$17*((1+'2. Kalkyldata'!$M$9)^('5. IRR'!AE$15-'5. IRR'!$D$15)),'6. Ack.kapitalutlägg'!AD$13,('2. Kalkyldata'!$U$17*((1+'2. Kalkyldata'!$M$9)^('5. IRR'!AE$15-'5. IRR'!$D$15)))),"")</f>
        <v/>
      </c>
      <c r="AF6" s="456" t="str">
        <f>IFERROR(IF('6. Ack.kapitalutlägg'!AE$13&gt;'2. Kalkyldata'!$U$17*((1+'2. Kalkyldata'!$M$9)^('5. IRR'!AF$15-'5. IRR'!$D$15)),'6. Ack.kapitalutlägg'!AE$13,('2. Kalkyldata'!$U$17*((1+'2. Kalkyldata'!$M$9)^('5. IRR'!AF$15-'5. IRR'!$D$15)))),"")</f>
        <v/>
      </c>
      <c r="AG6" s="456" t="str">
        <f>IFERROR(IF('6. Ack.kapitalutlägg'!AF$13&gt;'2. Kalkyldata'!$U$17*((1+'2. Kalkyldata'!$M$9)^('5. IRR'!AG$15-'5. IRR'!$D$15)),'6. Ack.kapitalutlägg'!AF$13,('2. Kalkyldata'!$U$17*((1+'2. Kalkyldata'!$M$9)^('5. IRR'!AG$15-'5. IRR'!$D$15)))),"")</f>
        <v/>
      </c>
      <c r="AH6" s="456" t="str">
        <f>IFERROR(IF('6. Ack.kapitalutlägg'!AG$13&gt;'2. Kalkyldata'!$U$17*((1+'2. Kalkyldata'!$M$9)^('5. IRR'!AH$15-'5. IRR'!$D$15)),'6. Ack.kapitalutlägg'!AG$13,('2. Kalkyldata'!$U$17*((1+'2. Kalkyldata'!$M$9)^('5. IRR'!AH$15-'5. IRR'!$D$15)))),"")</f>
        <v/>
      </c>
      <c r="AI6" s="456" t="str">
        <f>IFERROR(IF('6. Ack.kapitalutlägg'!AH$13&gt;'2. Kalkyldata'!$U$17*((1+'2. Kalkyldata'!$M$9)^('5. IRR'!AI$15-'5. IRR'!$D$15)),'6. Ack.kapitalutlägg'!AH$13,('2. Kalkyldata'!$U$17*((1+'2. Kalkyldata'!$M$9)^('5. IRR'!AI$15-'5. IRR'!$D$15)))),"")</f>
        <v/>
      </c>
      <c r="AJ6" s="456" t="str">
        <f>IFERROR(IF('6. Ack.kapitalutlägg'!AI$13&gt;'2. Kalkyldata'!$U$17*((1+'2. Kalkyldata'!$M$9)^('5. IRR'!AJ$15-'5. IRR'!$D$15)),'6. Ack.kapitalutlägg'!AI$13,('2. Kalkyldata'!$U$17*((1+'2. Kalkyldata'!$M$9)^('5. IRR'!AJ$15-'5. IRR'!$D$15)))),"")</f>
        <v/>
      </c>
      <c r="AK6" s="456" t="str">
        <f>IFERROR(IF('6. Ack.kapitalutlägg'!AJ$13&gt;'2. Kalkyldata'!$U$17*((1+'2. Kalkyldata'!$M$9)^('5. IRR'!AK$15-'5. IRR'!$D$15)),'6. Ack.kapitalutlägg'!AJ$13,('2. Kalkyldata'!$U$17*((1+'2. Kalkyldata'!$M$9)^('5. IRR'!AK$15-'5. IRR'!$D$15)))),"")</f>
        <v/>
      </c>
      <c r="AL6" s="456" t="str">
        <f>IFERROR(IF('6. Ack.kapitalutlägg'!AK$13&gt;'2. Kalkyldata'!$U$17*((1+'2. Kalkyldata'!$M$9)^('5. IRR'!AL$15-'5. IRR'!$D$15)),'6. Ack.kapitalutlägg'!AK$13,('2. Kalkyldata'!$U$17*((1+'2. Kalkyldata'!$M$9)^('5. IRR'!AL$15-'5. IRR'!$D$15)))),"")</f>
        <v/>
      </c>
      <c r="AM6" s="456" t="str">
        <f>IFERROR(IF('6. Ack.kapitalutlägg'!AL$13&gt;'2. Kalkyldata'!$U$17*((1+'2. Kalkyldata'!$M$9)^('5. IRR'!AM$15-'5. IRR'!$D$15)),'6. Ack.kapitalutlägg'!AL$13,('2. Kalkyldata'!$U$17*((1+'2. Kalkyldata'!$M$9)^('5. IRR'!AM$15-'5. IRR'!$D$15)))),"")</f>
        <v/>
      </c>
      <c r="AN6" s="456" t="str">
        <f>IFERROR(IF('6. Ack.kapitalutlägg'!AM$13&gt;'2. Kalkyldata'!$U$17*((1+'2. Kalkyldata'!$M$9)^('5. IRR'!AN$15-'5. IRR'!$D$15)),'6. Ack.kapitalutlägg'!AM$13,('2. Kalkyldata'!$U$17*((1+'2. Kalkyldata'!$M$9)^('5. IRR'!AN$15-'5. IRR'!$D$15)))),"")</f>
        <v/>
      </c>
      <c r="AO6" s="456" t="str">
        <f>IFERROR(IF('6. Ack.kapitalutlägg'!AN$13&gt;'2. Kalkyldata'!$U$17*((1+'2. Kalkyldata'!$M$9)^('5. IRR'!AO$15-'5. IRR'!$D$15)),'6. Ack.kapitalutlägg'!AN$13,('2. Kalkyldata'!$U$17*((1+'2. Kalkyldata'!$M$9)^('5. IRR'!AO$15-'5. IRR'!$D$15)))),"")</f>
        <v/>
      </c>
      <c r="AP6" s="456" t="str">
        <f>IFERROR(IF('6. Ack.kapitalutlägg'!AO$13&gt;'2. Kalkyldata'!$U$17*((1+'2. Kalkyldata'!$M$9)^('5. IRR'!AP$15-'5. IRR'!$D$15)),'6. Ack.kapitalutlägg'!AO$13,('2. Kalkyldata'!$U$17*((1+'2. Kalkyldata'!$M$9)^('5. IRR'!AP$15-'5. IRR'!$D$15)))),"")</f>
        <v/>
      </c>
      <c r="AQ6" s="456" t="str">
        <f>IFERROR(IF('6. Ack.kapitalutlägg'!AP$13&gt;'2. Kalkyldata'!$U$17*((1+'2. Kalkyldata'!$M$9)^('5. IRR'!AQ$15-'5. IRR'!$D$15)),'6. Ack.kapitalutlägg'!AP$13,('2. Kalkyldata'!$U$17*((1+'2. Kalkyldata'!$M$9)^('5. IRR'!AQ$15-'5. IRR'!$D$15)))),"")</f>
        <v/>
      </c>
      <c r="AR6" s="456" t="str">
        <f>IFERROR(IF('6. Ack.kapitalutlägg'!AQ$13&gt;'2. Kalkyldata'!$U$17*((1+'2. Kalkyldata'!$M$9)^('5. IRR'!AR$15-'5. IRR'!$D$15)),'6. Ack.kapitalutlägg'!AQ$13,('2. Kalkyldata'!$U$17*((1+'2. Kalkyldata'!$M$9)^('5. IRR'!AR$15-'5. IRR'!$D$15)))),"")</f>
        <v/>
      </c>
      <c r="AS6" s="456" t="str">
        <f>IFERROR(IF('6. Ack.kapitalutlägg'!AR$13&gt;'2. Kalkyldata'!$U$17*((1+'2. Kalkyldata'!$M$9)^('5. IRR'!AS$15-'5. IRR'!$D$15)),'6. Ack.kapitalutlägg'!AR$13,('2. Kalkyldata'!$U$17*((1+'2. Kalkyldata'!$M$9)^('5. IRR'!AS$15-'5. IRR'!$D$15)))),"")</f>
        <v/>
      </c>
      <c r="AT6" s="456" t="str">
        <f>IFERROR(IF('6. Ack.kapitalutlägg'!AS$13&gt;'2. Kalkyldata'!$U$17*((1+'2. Kalkyldata'!$M$9)^('5. IRR'!AT$15-'5. IRR'!$D$15)),'6. Ack.kapitalutlägg'!AS$13,('2. Kalkyldata'!$U$17*((1+'2. Kalkyldata'!$M$9)^('5. IRR'!AT$15-'5. IRR'!$D$15)))),"")</f>
        <v/>
      </c>
      <c r="AU6" s="456" t="str">
        <f>IFERROR(IF('6. Ack.kapitalutlägg'!AT$13&gt;'2. Kalkyldata'!$U$17*((1+'2. Kalkyldata'!$M$9)^('5. IRR'!AU$15-'5. IRR'!$D$15)),'6. Ack.kapitalutlägg'!AT$13,('2. Kalkyldata'!$U$17*((1+'2. Kalkyldata'!$M$9)^('5. IRR'!AU$15-'5. IRR'!$D$15)))),"")</f>
        <v/>
      </c>
      <c r="AV6" s="456" t="str">
        <f>IFERROR(IF('6. Ack.kapitalutlägg'!AU$13&gt;'2. Kalkyldata'!$U$17*((1+'2. Kalkyldata'!$M$9)^('5. IRR'!AV$15-'5. IRR'!$D$15)),'6. Ack.kapitalutlägg'!AU$13,('2. Kalkyldata'!$U$17*((1+'2. Kalkyldata'!$M$9)^('5. IRR'!AV$15-'5. IRR'!$D$15)))),"")</f>
        <v/>
      </c>
      <c r="AW6" s="456" t="str">
        <f>IFERROR(IF('6. Ack.kapitalutlägg'!AV$13&gt;'2. Kalkyldata'!$U$17*((1+'2. Kalkyldata'!$M$9)^('5. IRR'!AW$15-'5. IRR'!$D$15)),'6. Ack.kapitalutlägg'!AV$13,('2. Kalkyldata'!$U$17*((1+'2. Kalkyldata'!$M$9)^('5. IRR'!AW$15-'5. IRR'!$D$15)))),"")</f>
        <v/>
      </c>
      <c r="AX6" s="456" t="str">
        <f>IFERROR(IF('6. Ack.kapitalutlägg'!AW$13&gt;'2. Kalkyldata'!$U$17*((1+'2. Kalkyldata'!$M$9)^('5. IRR'!AX$15-'5. IRR'!$D$15)),'6. Ack.kapitalutlägg'!AW$13,('2. Kalkyldata'!$U$17*((1+'2. Kalkyldata'!$M$9)^('5. IRR'!AX$15-'5. IRR'!$D$15)))),"")</f>
        <v/>
      </c>
      <c r="AY6" s="456" t="str">
        <f>IFERROR(IF('6. Ack.kapitalutlägg'!AX$13&gt;'2. Kalkyldata'!$U$17*((1+'2. Kalkyldata'!$M$9)^('5. IRR'!AY$15-'5. IRR'!$D$15)),'6. Ack.kapitalutlägg'!AX$13,('2. Kalkyldata'!$U$17*((1+'2. Kalkyldata'!$M$9)^('5. IRR'!AY$15-'5. IRR'!$D$15)))),"")</f>
        <v/>
      </c>
      <c r="AZ6" s="456" t="str">
        <f>IFERROR(IF('6. Ack.kapitalutlägg'!AY$13&gt;'2. Kalkyldata'!$U$17*((1+'2. Kalkyldata'!$M$9)^('5. IRR'!AZ$15-'5. IRR'!$D$15)),'6. Ack.kapitalutlägg'!AY$13,('2. Kalkyldata'!$U$17*((1+'2. Kalkyldata'!$M$9)^('5. IRR'!AZ$15-'5. IRR'!$D$15)))),"")</f>
        <v/>
      </c>
      <c r="BA6" s="456" t="str">
        <f>IFERROR(IF('6. Ack.kapitalutlägg'!AZ$13&gt;'2. Kalkyldata'!$U$17*((1+'2. Kalkyldata'!$M$9)^('5. IRR'!BA$15-'5. IRR'!$D$15)),'6. Ack.kapitalutlägg'!AZ$13,('2. Kalkyldata'!$U$17*((1+'2. Kalkyldata'!$M$9)^('5. IRR'!BA$15-'5. IRR'!$D$15)))),"")</f>
        <v/>
      </c>
    </row>
    <row r="7" spans="1:53" ht="15" customHeight="1">
      <c r="A7" s="179">
        <v>1</v>
      </c>
      <c r="B7" s="404" t="str">
        <f>"Nettokap marknadsvärde, yield "&amp;ROUND('2. Kalkyldata'!$M$11*100,2)&amp;" %"</f>
        <v>Nettokap marknadsvärde, yield 6,5 %</v>
      </c>
      <c r="C7" s="457">
        <f ca="1">MROUND(LOOKUP('2. Kalkyldata'!$P$17,'5. IRR'!$D$14:$BA$14,'5. IRR'!$D$7:BA7),100000)</f>
        <v>268500000</v>
      </c>
      <c r="D7" s="405">
        <f ca="1">IF(D$5="","",'7.Grafer'!C$44)</f>
        <v>210684615.38461539</v>
      </c>
      <c r="E7" s="405">
        <f ca="1">IF(E$5="","",'7.Grafer'!D$44)</f>
        <v>213406153.84615383</v>
      </c>
      <c r="F7" s="405">
        <f ca="1">IF(F$5="","",'7.Grafer'!E$44)</f>
        <v>216161232.92307693</v>
      </c>
      <c r="G7" s="405">
        <f ca="1">IF(G$5="","",'7.Grafer'!F$44)</f>
        <v>218950230.9655385</v>
      </c>
      <c r="H7" s="405">
        <f ca="1">IF(H$5="","",'7.Grafer'!G$44)</f>
        <v>221773529.79622528</v>
      </c>
      <c r="I7" s="405">
        <f ca="1">IF(I$5="","",'7.Grafer'!H$44)</f>
        <v>224631514.72248507</v>
      </c>
      <c r="J7" s="405">
        <f ca="1">IF(J$5="","",'7.Grafer'!I$44)</f>
        <v>227524574.54789472</v>
      </c>
      <c r="K7" s="405">
        <f ca="1">IF(K$5="","",'7.Grafer'!J$44)</f>
        <v>230453101.58324608</v>
      </c>
      <c r="L7" s="405">
        <f ca="1">IF(L$5="","",'7.Grafer'!K$44)</f>
        <v>233417491.65692595</v>
      </c>
      <c r="M7" s="405">
        <f ca="1">IF(M$5="","",'7.Grafer'!L$44)</f>
        <v>236418144.12466756</v>
      </c>
      <c r="N7" s="405">
        <f ca="1">IF(N$5="","",'7.Grafer'!M$44)</f>
        <v>239455461.87864852</v>
      </c>
      <c r="O7" s="405">
        <f ca="1">IF(O$5="","",'7.Grafer'!N$44)</f>
        <v>242529851.35590982</v>
      </c>
      <c r="P7" s="405">
        <f ca="1">IF(P$5="","",'7.Grafer'!O$44)</f>
        <v>245641722.54607213</v>
      </c>
      <c r="Q7" s="405">
        <f ca="1">IF(Q$5="","",'7.Grafer'!P$44)</f>
        <v>248791488.99832016</v>
      </c>
      <c r="R7" s="405">
        <f ca="1">IF(R$5="","",'7.Grafer'!Q$44)</f>
        <v>251979567.8276318</v>
      </c>
      <c r="S7" s="405">
        <f ca="1">IF(S$5="","",'7.Grafer'!R$44)</f>
        <v>255206379.72022054</v>
      </c>
      <c r="T7" s="405">
        <f ca="1">IF(T$5="","",'7.Grafer'!S$44)</f>
        <v>258472348.93816555</v>
      </c>
      <c r="U7" s="405">
        <f ca="1">IF(U$5="","",'7.Grafer'!T$44)</f>
        <v>261777903.323199</v>
      </c>
      <c r="V7" s="405">
        <f ca="1">IF(V$5="","",'7.Grafer'!U$44)</f>
        <v>265123474.2996209</v>
      </c>
      <c r="W7" s="405">
        <f ca="1">IF(W$5="","",'7.Grafer'!V$44)</f>
        <v>268509496.87631059</v>
      </c>
      <c r="X7" s="405" t="str">
        <f>IF(X$5="","",'7.Grafer'!W$44)</f>
        <v/>
      </c>
      <c r="Y7" s="405" t="str">
        <f>IF(Y$5="","",'7.Grafer'!X$44)</f>
        <v/>
      </c>
      <c r="Z7" s="405" t="str">
        <f>IF(Z$5="","",'7.Grafer'!Y$44)</f>
        <v/>
      </c>
      <c r="AA7" s="405" t="str">
        <f>IF(AA$5="","",'7.Grafer'!Z$44)</f>
        <v/>
      </c>
      <c r="AB7" s="405" t="str">
        <f>IF(AB$5="","",'7.Grafer'!AA$44)</f>
        <v/>
      </c>
      <c r="AC7" s="405" t="str">
        <f>IF(AC$5="","",'7.Grafer'!AB$44)</f>
        <v/>
      </c>
      <c r="AD7" s="405" t="str">
        <f>IF(AD$5="","",'7.Grafer'!AC$44)</f>
        <v/>
      </c>
      <c r="AE7" s="405" t="str">
        <f>IF(AE$5="","",'7.Grafer'!AD$44)</f>
        <v/>
      </c>
      <c r="AF7" s="405" t="str">
        <f>IF(AF$5="","",'7.Grafer'!AE$44)</f>
        <v/>
      </c>
      <c r="AG7" s="405" t="str">
        <f>IF(AG$5="","",'7.Grafer'!AF$44)</f>
        <v/>
      </c>
      <c r="AH7" s="405" t="str">
        <f>IF(AH$5="","",'7.Grafer'!AG$44)</f>
        <v/>
      </c>
      <c r="AI7" s="405" t="str">
        <f>IF(AI$5="","",'7.Grafer'!AH$44)</f>
        <v/>
      </c>
      <c r="AJ7" s="405" t="str">
        <f>IF(AJ$5="","",'7.Grafer'!AI$44)</f>
        <v/>
      </c>
      <c r="AK7" s="405" t="str">
        <f>IF(AK$5="","",'7.Grafer'!AJ$44)</f>
        <v/>
      </c>
      <c r="AL7" s="405" t="str">
        <f>IF(AL$5="","",'7.Grafer'!AK$44)</f>
        <v/>
      </c>
      <c r="AM7" s="405" t="str">
        <f>IF(AM$5="","",'7.Grafer'!AL$44)</f>
        <v/>
      </c>
      <c r="AN7" s="405" t="str">
        <f>IF(AN$5="","",'7.Grafer'!AM$44)</f>
        <v/>
      </c>
      <c r="AO7" s="405" t="str">
        <f>IF(AO$5="","",'7.Grafer'!AN$44)</f>
        <v/>
      </c>
      <c r="AP7" s="405" t="str">
        <f>IF(AP$5="","",'7.Grafer'!AO$44)</f>
        <v/>
      </c>
      <c r="AQ7" s="405" t="str">
        <f>IF(AQ$5="","",'7.Grafer'!AP$44)</f>
        <v/>
      </c>
      <c r="AR7" s="405" t="str">
        <f>IF(AR$5="","",'7.Grafer'!AQ$44)</f>
        <v/>
      </c>
      <c r="AS7" s="405" t="str">
        <f>IF(AS$5="","",'7.Grafer'!AR$44)</f>
        <v/>
      </c>
      <c r="AT7" s="405" t="str">
        <f>IF(AT$5="","",'7.Grafer'!AS$44)</f>
        <v/>
      </c>
      <c r="AU7" s="405" t="str">
        <f>IF(AU$5="","",'7.Grafer'!AT$44)</f>
        <v/>
      </c>
      <c r="AV7" s="405" t="str">
        <f>IF(AV$5="","",'7.Grafer'!AU$44)</f>
        <v/>
      </c>
      <c r="AW7" s="405" t="str">
        <f>IF(AW$5="","",'7.Grafer'!AV$44)</f>
        <v/>
      </c>
      <c r="AX7" s="405" t="str">
        <f>IF(AX$5="","",'7.Grafer'!AW$44)</f>
        <v/>
      </c>
      <c r="AY7" s="405" t="str">
        <f>IF(AY$5="","",'7.Grafer'!AX$44)</f>
        <v/>
      </c>
      <c r="AZ7" s="405" t="str">
        <f>IF(AZ$5="","",'7.Grafer'!AY$44)</f>
        <v/>
      </c>
      <c r="BA7" s="405" t="str">
        <f>IF(BA$5="","",'7.Grafer'!AZ$44)</f>
        <v/>
      </c>
    </row>
    <row r="8" spans="1:53" ht="15" customHeight="1">
      <c r="A8" s="179">
        <v>0</v>
      </c>
      <c r="B8" s="458" t="s">
        <v>83</v>
      </c>
      <c r="C8" s="460">
        <f>MROUND(LOOKUP('2. Kalkyldata'!$P$17,'5. IRR'!$D$14:$BA$14,'5. IRR'!$D$8:BA8),100000)</f>
        <v>94500000</v>
      </c>
      <c r="D8" s="459">
        <f>IF(D$5="","",'3. Finansiering'!D$57)</f>
        <v>232727272.72727269</v>
      </c>
      <c r="E8" s="459">
        <f>IF(E$5="","",'3. Finansiering'!E$57)</f>
        <v>225454545.45454544</v>
      </c>
      <c r="F8" s="459">
        <f>IF(F$5="","",'3. Finansiering'!F$57)</f>
        <v>218181818.18181816</v>
      </c>
      <c r="G8" s="459">
        <f>IF(G$5="","",'3. Finansiering'!G$57)</f>
        <v>210909090.90909088</v>
      </c>
      <c r="H8" s="459">
        <f>IF(H$5="","",'3. Finansiering'!H$57)</f>
        <v>203636363.63636363</v>
      </c>
      <c r="I8" s="459">
        <f>IF(I$5="","",'3. Finansiering'!I$57)</f>
        <v>196363636.36363634</v>
      </c>
      <c r="J8" s="459">
        <f>IF(J$5="","",'3. Finansiering'!J$57)</f>
        <v>189090909.09090906</v>
      </c>
      <c r="K8" s="459">
        <f>IF(K$5="","",'3. Finansiering'!K$57)</f>
        <v>181818181.81818178</v>
      </c>
      <c r="L8" s="459">
        <f>IF(L$5="","",'3. Finansiering'!L$57)</f>
        <v>174545454.5454545</v>
      </c>
      <c r="M8" s="459">
        <f>IF(M$5="","",'3. Finansiering'!M$57)</f>
        <v>167272727.27272725</v>
      </c>
      <c r="N8" s="459">
        <f>IF(N$5="","",'3. Finansiering'!N$57)</f>
        <v>160000000</v>
      </c>
      <c r="O8" s="459">
        <f>IF(O$5="","",'3. Finansiering'!O$57)</f>
        <v>152727272.72727272</v>
      </c>
      <c r="P8" s="459">
        <f>IF(P$5="","",'3. Finansiering'!P$57)</f>
        <v>145454545.45454544</v>
      </c>
      <c r="Q8" s="459">
        <f>IF(Q$5="","",'3. Finansiering'!Q$57)</f>
        <v>138181818.18181819</v>
      </c>
      <c r="R8" s="459">
        <f>IF(R$5="","",'3. Finansiering'!R$57)</f>
        <v>130909090.90909092</v>
      </c>
      <c r="S8" s="459">
        <f>IF(S$5="","",'3. Finansiering'!S$57)</f>
        <v>123636363.63636366</v>
      </c>
      <c r="T8" s="459">
        <f>IF(T$5="","",'3. Finansiering'!T$57)</f>
        <v>116363636.36363639</v>
      </c>
      <c r="U8" s="459">
        <f>IF(U$5="","",'3. Finansiering'!U$57)</f>
        <v>109090909.09090912</v>
      </c>
      <c r="V8" s="459">
        <f>IF(V$5="","",'3. Finansiering'!V$57)</f>
        <v>101818181.81818184</v>
      </c>
      <c r="W8" s="459">
        <f>IF(W$5="","",'3. Finansiering'!W$57)</f>
        <v>94545454.545454562</v>
      </c>
      <c r="X8" s="459" t="str">
        <f>IF(X$5="","",'3. Finansiering'!X$57)</f>
        <v/>
      </c>
      <c r="Y8" s="459" t="str">
        <f>IF(Y$5="","",'3. Finansiering'!Y$57)</f>
        <v/>
      </c>
      <c r="Z8" s="459" t="str">
        <f>IF(Z$5="","",'3. Finansiering'!Z$57)</f>
        <v/>
      </c>
      <c r="AA8" s="459" t="str">
        <f>IF(AA$5="","",'3. Finansiering'!AA$57)</f>
        <v/>
      </c>
      <c r="AB8" s="459" t="str">
        <f>IF(AB$5="","",'3. Finansiering'!AB$57)</f>
        <v/>
      </c>
      <c r="AC8" s="459" t="str">
        <f>IF(AC$5="","",'3. Finansiering'!AC$57)</f>
        <v/>
      </c>
      <c r="AD8" s="459" t="str">
        <f>IF(AD$5="","",'3. Finansiering'!AD$57)</f>
        <v/>
      </c>
      <c r="AE8" s="459" t="str">
        <f>IF(AE$5="","",'3. Finansiering'!AE$57)</f>
        <v/>
      </c>
      <c r="AF8" s="459" t="str">
        <f>IF(AF$5="","",'3. Finansiering'!AF$57)</f>
        <v/>
      </c>
      <c r="AG8" s="459" t="str">
        <f>IF(AG$5="","",'3. Finansiering'!AG$57)</f>
        <v/>
      </c>
      <c r="AH8" s="459" t="str">
        <f>IF(AH$5="","",'3. Finansiering'!AH$57)</f>
        <v/>
      </c>
      <c r="AI8" s="459" t="str">
        <f>IF(AI$5="","",'3. Finansiering'!AI$57)</f>
        <v/>
      </c>
      <c r="AJ8" s="459" t="str">
        <f>IF(AJ$5="","",'3. Finansiering'!AJ$57)</f>
        <v/>
      </c>
      <c r="AK8" s="459" t="str">
        <f>IF(AK$5="","",'3. Finansiering'!AK$57)</f>
        <v/>
      </c>
      <c r="AL8" s="459" t="str">
        <f>IF(AL$5="","",'3. Finansiering'!AL$57)</f>
        <v/>
      </c>
      <c r="AM8" s="459" t="str">
        <f>IF(AM$5="","",'3. Finansiering'!AM$57)</f>
        <v/>
      </c>
      <c r="AN8" s="459" t="str">
        <f>IF(AN$5="","",'3. Finansiering'!AN$57)</f>
        <v/>
      </c>
      <c r="AO8" s="459" t="str">
        <f>IF(AO$5="","",'3. Finansiering'!AO$57)</f>
        <v/>
      </c>
      <c r="AP8" s="459" t="str">
        <f>IF(AP$5="","",'3. Finansiering'!AP$57)</f>
        <v/>
      </c>
      <c r="AQ8" s="459" t="str">
        <f>IF(AQ$5="","",'3. Finansiering'!AQ$57)</f>
        <v/>
      </c>
      <c r="AR8" s="459" t="str">
        <f>IF(AR$5="","",'3. Finansiering'!AR$57)</f>
        <v/>
      </c>
      <c r="AS8" s="459" t="str">
        <f>IF(AS$5="","",'3. Finansiering'!AS$57)</f>
        <v/>
      </c>
      <c r="AT8" s="459" t="str">
        <f>IF(AT$5="","",'3. Finansiering'!AT$57)</f>
        <v/>
      </c>
      <c r="AU8" s="459" t="str">
        <f>IF(AU$5="","",'3. Finansiering'!AU$57)</f>
        <v/>
      </c>
      <c r="AV8" s="459" t="str">
        <f>IF(AV$5="","",'3. Finansiering'!AV$57)</f>
        <v/>
      </c>
      <c r="AW8" s="459" t="str">
        <f>IF(AW$5="","",'3. Finansiering'!AW$57)</f>
        <v/>
      </c>
      <c r="AX8" s="459" t="str">
        <f>IF(AX$5="","",'3. Finansiering'!AX$57)</f>
        <v/>
      </c>
      <c r="AY8" s="459" t="str">
        <f>IF(AY$5="","",'3. Finansiering'!AY$57)</f>
        <v/>
      </c>
      <c r="AZ8" s="459" t="str">
        <f>IF(AZ$5="","",'3. Finansiering'!AZ$57)</f>
        <v/>
      </c>
      <c r="BA8" s="459" t="str">
        <f>IF(BA$5="","",'3. Finansiering'!BA$57)</f>
        <v/>
      </c>
    </row>
    <row r="9" spans="1:53" ht="15" customHeight="1">
      <c r="A9" s="181"/>
      <c r="B9" s="461" t="s">
        <v>263</v>
      </c>
      <c r="C9" s="462">
        <f>MROUND(LOOKUP('2. Kalkyldata'!$P$17,'5. IRR'!$D$14:$BA$14,'5. IRR'!$D$9:BA9),100000)</f>
        <v>35500000</v>
      </c>
      <c r="D9" s="463">
        <f>IF(D$5="","",'3. Finansiering'!D$22)</f>
        <v>86135999.999999985</v>
      </c>
      <c r="E9" s="463">
        <f>IF(E$5="","",'3. Finansiering'!E$22)</f>
        <v>83471999.999999985</v>
      </c>
      <c r="F9" s="463">
        <f>IF(F$5="","",'3. Finansiering'!F$22)</f>
        <v>80807999.999999985</v>
      </c>
      <c r="G9" s="463">
        <f>IF(G$5="","",'3. Finansiering'!G$22)</f>
        <v>78143999.999999985</v>
      </c>
      <c r="H9" s="463">
        <f>IF(H$5="","",'3. Finansiering'!H$22)</f>
        <v>75479999.999999985</v>
      </c>
      <c r="I9" s="463">
        <f>IF(I$5="","",'3. Finansiering'!I$22)</f>
        <v>72815999.999999985</v>
      </c>
      <c r="J9" s="463">
        <f>IF(J$5="","",'3. Finansiering'!J$22)</f>
        <v>70151999.999999985</v>
      </c>
      <c r="K9" s="463">
        <f>IF(K$5="","",'3. Finansiering'!K$22)</f>
        <v>67487999.999999985</v>
      </c>
      <c r="L9" s="463">
        <f>IF(L$5="","",'3. Finansiering'!L$22)</f>
        <v>64823999.999999985</v>
      </c>
      <c r="M9" s="463">
        <f>IF(M$5="","",'3. Finansiering'!M$22)</f>
        <v>62159999.999999985</v>
      </c>
      <c r="N9" s="463">
        <f>IF(N$5="","",'3. Finansiering'!N$22)</f>
        <v>59495999.999999985</v>
      </c>
      <c r="O9" s="463">
        <f>IF(O$5="","",'3. Finansiering'!O$22)</f>
        <v>56831999.999999985</v>
      </c>
      <c r="P9" s="463">
        <f>IF(P$5="","",'3. Finansiering'!P$22)</f>
        <v>54167999.999999993</v>
      </c>
      <c r="Q9" s="463">
        <f>IF(Q$5="","",'3. Finansiering'!Q$22)</f>
        <v>51503999.999999993</v>
      </c>
      <c r="R9" s="463">
        <f>IF(R$5="","",'3. Finansiering'!R$22)</f>
        <v>48839999.999999993</v>
      </c>
      <c r="S9" s="463">
        <f>IF(S$5="","",'3. Finansiering'!S$22)</f>
        <v>46175999.999999993</v>
      </c>
      <c r="T9" s="463">
        <f>IF(T$5="","",'3. Finansiering'!T$22)</f>
        <v>43511999.999999993</v>
      </c>
      <c r="U9" s="463">
        <f>IF(U$5="","",'3. Finansiering'!U$22)</f>
        <v>40847999.999999993</v>
      </c>
      <c r="V9" s="463">
        <f>IF(V$5="","",'3. Finansiering'!V$22)</f>
        <v>38183999.999999993</v>
      </c>
      <c r="W9" s="463">
        <f>IF(W$5="","",'3. Finansiering'!W$22)</f>
        <v>35519999.999999993</v>
      </c>
      <c r="X9" s="463" t="str">
        <f>IF(X$5="","",'3. Finansiering'!X$22)</f>
        <v/>
      </c>
      <c r="Y9" s="463" t="str">
        <f>IF(Y$5="","",'3. Finansiering'!Y$22)</f>
        <v/>
      </c>
      <c r="Z9" s="463" t="str">
        <f>IF(Z$5="","",'3. Finansiering'!Z$22)</f>
        <v/>
      </c>
      <c r="AA9" s="463" t="str">
        <f>IF(AA$5="","",'3. Finansiering'!AA$22)</f>
        <v/>
      </c>
      <c r="AB9" s="463" t="str">
        <f>IF(AB$5="","",'3. Finansiering'!AB$22)</f>
        <v/>
      </c>
      <c r="AC9" s="463" t="str">
        <f>IF(AC$5="","",'3. Finansiering'!AC$22)</f>
        <v/>
      </c>
      <c r="AD9" s="463" t="str">
        <f>IF(AD$5="","",'3. Finansiering'!AD$22)</f>
        <v/>
      </c>
      <c r="AE9" s="463" t="str">
        <f>IF(AE$5="","",'3. Finansiering'!AE$22)</f>
        <v/>
      </c>
      <c r="AF9" s="463" t="str">
        <f>IF(AF$5="","",'3. Finansiering'!AF$22)</f>
        <v/>
      </c>
      <c r="AG9" s="463" t="str">
        <f>IF(AG$5="","",'3. Finansiering'!AG$22)</f>
        <v/>
      </c>
      <c r="AH9" s="463" t="str">
        <f>IF(AH$5="","",'3. Finansiering'!AH$22)</f>
        <v/>
      </c>
      <c r="AI9" s="463" t="str">
        <f>IF(AI$5="","",'3. Finansiering'!AI$22)</f>
        <v/>
      </c>
      <c r="AJ9" s="463" t="str">
        <f>IF(AJ$5="","",'3. Finansiering'!AJ$22)</f>
        <v/>
      </c>
      <c r="AK9" s="463" t="str">
        <f>IF(AK$5="","",'3. Finansiering'!AK$22)</f>
        <v/>
      </c>
      <c r="AL9" s="463" t="str">
        <f>IF(AL$5="","",'3. Finansiering'!AL$22)</f>
        <v/>
      </c>
      <c r="AM9" s="463" t="str">
        <f>IF(AM$5="","",'3. Finansiering'!AM$22)</f>
        <v/>
      </c>
      <c r="AN9" s="463" t="str">
        <f>IF(AN$5="","",'3. Finansiering'!AN$22)</f>
        <v/>
      </c>
      <c r="AO9" s="463" t="str">
        <f>IF(AO$5="","",'3. Finansiering'!AO$22)</f>
        <v/>
      </c>
      <c r="AP9" s="463" t="str">
        <f>IF(AP$5="","",'3. Finansiering'!AP$22)</f>
        <v/>
      </c>
      <c r="AQ9" s="463" t="str">
        <f>IF(AQ$5="","",'3. Finansiering'!AQ$22)</f>
        <v/>
      </c>
      <c r="AR9" s="463" t="str">
        <f>IF(AR$5="","",'3. Finansiering'!AR$22)</f>
        <v/>
      </c>
      <c r="AS9" s="463" t="str">
        <f>IF(AS$5="","",'3. Finansiering'!AS$22)</f>
        <v/>
      </c>
      <c r="AT9" s="463" t="str">
        <f>IF(AT$5="","",'3. Finansiering'!AT$22)</f>
        <v/>
      </c>
      <c r="AU9" s="463" t="str">
        <f>IF(AU$5="","",'3. Finansiering'!AU$22)</f>
        <v/>
      </c>
      <c r="AV9" s="463" t="str">
        <f>IF(AV$5="","",'3. Finansiering'!AV$22)</f>
        <v/>
      </c>
      <c r="AW9" s="463" t="str">
        <f>IF(AW$5="","",'3. Finansiering'!AW$22)</f>
        <v/>
      </c>
      <c r="AX9" s="463" t="str">
        <f>IF(AX$5="","",'3. Finansiering'!AX$22)</f>
        <v/>
      </c>
      <c r="AY9" s="463" t="str">
        <f>IF(AY$5="","",'3. Finansiering'!AY$22)</f>
        <v/>
      </c>
      <c r="AZ9" s="463" t="str">
        <f>IF(AZ$5="","",'3. Finansiering'!AZ$22)</f>
        <v/>
      </c>
      <c r="BA9" s="463" t="str">
        <f>IF(BA$5="","",'3. Finansiering'!BA$22)</f>
        <v/>
      </c>
    </row>
    <row r="10" spans="1:53" ht="15" customHeight="1">
      <c r="A10" s="182"/>
      <c r="B10" s="464" t="s">
        <v>264</v>
      </c>
      <c r="C10" s="494">
        <f ca="1">IF($C$11=0,($C$6*$A$6+$C$7*$A$7+$C$8*$A$8),C11)</f>
        <v>268500000</v>
      </c>
      <c r="D10" s="491" t="str">
        <f ca="1">IFERROR(D$6+#REF!,"")</f>
        <v/>
      </c>
      <c r="E10" s="491" t="str">
        <f ca="1">IFERROR(E$6+#REF!,"")</f>
        <v/>
      </c>
      <c r="F10" s="491" t="str">
        <f ca="1">IFERROR(F$6+#REF!,"")</f>
        <v/>
      </c>
      <c r="G10" s="491" t="str">
        <f ca="1">IFERROR(G$6+#REF!,"")</f>
        <v/>
      </c>
      <c r="H10" s="491" t="str">
        <f ca="1">IFERROR(H$6+#REF!,"")</f>
        <v/>
      </c>
      <c r="I10" s="491" t="str">
        <f ca="1">IFERROR(I$6+#REF!,"")</f>
        <v/>
      </c>
      <c r="J10" s="491" t="str">
        <f ca="1">IFERROR(J$6+#REF!,"")</f>
        <v/>
      </c>
      <c r="K10" s="491" t="str">
        <f ca="1">IFERROR(K$6+#REF!,"")</f>
        <v/>
      </c>
      <c r="L10" s="491" t="str">
        <f ca="1">IFERROR(L$6+#REF!,"")</f>
        <v/>
      </c>
      <c r="M10" s="491" t="str">
        <f ca="1">IFERROR(M$6+#REF!,"")</f>
        <v/>
      </c>
      <c r="N10" s="491" t="str">
        <f ca="1">IFERROR(N$6+#REF!,"")</f>
        <v/>
      </c>
      <c r="O10" s="491" t="str">
        <f ca="1">IFERROR(O$6+#REF!,"")</f>
        <v/>
      </c>
      <c r="P10" s="491" t="str">
        <f ca="1">IFERROR(P$6+#REF!,"")</f>
        <v/>
      </c>
      <c r="Q10" s="491" t="str">
        <f ca="1">IFERROR(Q$6+#REF!,"")</f>
        <v/>
      </c>
      <c r="R10" s="491" t="str">
        <f ca="1">IFERROR(R$6+#REF!,"")</f>
        <v/>
      </c>
      <c r="S10" s="491" t="str">
        <f ca="1">IFERROR(S$6+#REF!,"")</f>
        <v/>
      </c>
      <c r="T10" s="491" t="str">
        <f ca="1">IFERROR(T$6+#REF!,"")</f>
        <v/>
      </c>
      <c r="U10" s="491" t="str">
        <f ca="1">IFERROR(U$6+#REF!,"")</f>
        <v/>
      </c>
      <c r="V10" s="491" t="str">
        <f ca="1">IFERROR(V$6+#REF!,"")</f>
        <v/>
      </c>
      <c r="W10" s="491" t="str">
        <f ca="1">IFERROR(W$6+#REF!,"")</f>
        <v/>
      </c>
      <c r="X10" s="491" t="str">
        <f ca="1">IFERROR(X$6+#REF!,"")</f>
        <v/>
      </c>
      <c r="Y10" s="491" t="str">
        <f>IFERROR(Y$6+#REF!,"")</f>
        <v/>
      </c>
      <c r="Z10" s="491" t="str">
        <f>IFERROR(Z$6+#REF!,"")</f>
        <v/>
      </c>
      <c r="AA10" s="491" t="str">
        <f>IFERROR(AA$6+#REF!,"")</f>
        <v/>
      </c>
      <c r="AB10" s="491" t="str">
        <f>IFERROR(AB$6+#REF!,"")</f>
        <v/>
      </c>
      <c r="AC10" s="491" t="str">
        <f>IFERROR(AC$6+#REF!,"")</f>
        <v/>
      </c>
      <c r="AD10" s="491" t="str">
        <f>IFERROR(AD$6+#REF!,"")</f>
        <v/>
      </c>
      <c r="AE10" s="491" t="str">
        <f>IFERROR(AE$6+#REF!,"")</f>
        <v/>
      </c>
      <c r="AF10" s="491" t="str">
        <f>IFERROR(AF$6+#REF!,"")</f>
        <v/>
      </c>
      <c r="AG10" s="491" t="str">
        <f>IFERROR(AG$6+#REF!,"")</f>
        <v/>
      </c>
      <c r="AH10" s="491" t="str">
        <f>IFERROR(AH$6+#REF!,"")</f>
        <v/>
      </c>
      <c r="AI10" s="491" t="str">
        <f>IFERROR(AI$6+#REF!,"")</f>
        <v/>
      </c>
      <c r="AJ10" s="491" t="str">
        <f>IFERROR(AJ$6+#REF!,"")</f>
        <v/>
      </c>
      <c r="AK10" s="491" t="str">
        <f>IFERROR(AK$6+#REF!,"")</f>
        <v/>
      </c>
      <c r="AL10" s="491" t="str">
        <f>IFERROR(AL$6+#REF!,"")</f>
        <v/>
      </c>
      <c r="AM10" s="491" t="str">
        <f>IFERROR(AM$6+#REF!,"")</f>
        <v/>
      </c>
      <c r="AN10" s="491" t="str">
        <f>IFERROR(AN$6+#REF!,"")</f>
        <v/>
      </c>
      <c r="AO10" s="491" t="str">
        <f>IFERROR(AO$6+#REF!,"")</f>
        <v/>
      </c>
      <c r="AP10" s="491" t="str">
        <f>IFERROR(AP$6+#REF!,"")</f>
        <v/>
      </c>
      <c r="AQ10" s="491" t="str">
        <f>IFERROR(AQ$6+#REF!,"")</f>
        <v/>
      </c>
      <c r="AR10" s="491" t="str">
        <f>IFERROR(AR$6+#REF!,"")</f>
        <v/>
      </c>
      <c r="AS10" s="491" t="str">
        <f>IFERROR(AS$6+#REF!,"")</f>
        <v/>
      </c>
      <c r="AT10" s="491" t="str">
        <f>IFERROR(AT$6+#REF!,"")</f>
        <v/>
      </c>
      <c r="AU10" s="491" t="str">
        <f>IFERROR(AU$6+#REF!,"")</f>
        <v/>
      </c>
      <c r="AV10" s="491" t="str">
        <f>IFERROR(AV$6+#REF!,"")</f>
        <v/>
      </c>
      <c r="AW10" s="491" t="str">
        <f>IFERROR(AW$6+#REF!,"")</f>
        <v/>
      </c>
      <c r="AX10" s="491" t="str">
        <f>IFERROR(AX$6+#REF!,"")</f>
        <v/>
      </c>
      <c r="AY10" s="491" t="str">
        <f>IFERROR(AY$6+#REF!,"")</f>
        <v/>
      </c>
      <c r="AZ10" s="492"/>
      <c r="BA10" s="492"/>
    </row>
    <row r="11" spans="1:53" ht="15" customHeight="1">
      <c r="A11" s="182"/>
      <c r="B11" s="406" t="s">
        <v>265</v>
      </c>
      <c r="C11" s="370"/>
      <c r="D11" s="493"/>
      <c r="E11" s="493"/>
      <c r="F11" s="493"/>
      <c r="G11" s="493"/>
      <c r="H11" s="493"/>
      <c r="I11" s="493"/>
      <c r="J11" s="493"/>
      <c r="K11" s="493"/>
      <c r="L11" s="493"/>
      <c r="M11" s="493"/>
      <c r="N11" s="493"/>
      <c r="O11" s="493"/>
      <c r="P11" s="493"/>
      <c r="Q11" s="493"/>
      <c r="R11" s="493"/>
      <c r="S11" s="493"/>
      <c r="T11" s="493"/>
      <c r="U11" s="493"/>
      <c r="V11" s="493"/>
      <c r="W11" s="493"/>
      <c r="X11" s="493"/>
      <c r="Y11" s="493"/>
      <c r="Z11" s="493"/>
      <c r="AA11" s="493"/>
      <c r="AB11" s="493"/>
      <c r="AC11" s="493"/>
      <c r="AD11" s="493"/>
      <c r="AE11" s="493"/>
      <c r="AF11" s="493"/>
      <c r="AG11" s="493"/>
      <c r="AH11" s="493"/>
      <c r="AI11" s="493"/>
      <c r="AJ11" s="493"/>
      <c r="AK11" s="493"/>
      <c r="AL11" s="493"/>
      <c r="AM11" s="493"/>
      <c r="AN11" s="493"/>
      <c r="AO11" s="493"/>
      <c r="AP11" s="493"/>
      <c r="AQ11" s="493"/>
      <c r="AR11" s="493"/>
      <c r="AS11" s="493"/>
      <c r="AT11" s="493"/>
      <c r="AU11" s="493"/>
      <c r="AV11" s="493"/>
      <c r="AW11" s="493"/>
      <c r="AX11" s="493"/>
      <c r="AY11" s="493"/>
      <c r="AZ11" s="493"/>
      <c r="BA11" s="493"/>
    </row>
    <row r="12" spans="1:53" ht="15" customHeight="1">
      <c r="A12" s="182"/>
      <c r="B12" s="407" t="s">
        <v>266</v>
      </c>
      <c r="C12" s="495">
        <f ca="1">C10/(1+'2. Kalkyldata'!$M$7)^($C$5)</f>
        <v>110271567.21770142</v>
      </c>
      <c r="D12" s="493"/>
      <c r="E12" s="493"/>
      <c r="F12" s="493"/>
      <c r="G12" s="493"/>
      <c r="H12" s="493"/>
      <c r="I12" s="493"/>
      <c r="J12" s="493"/>
      <c r="K12" s="493"/>
      <c r="L12" s="493"/>
      <c r="M12" s="493"/>
      <c r="N12" s="493"/>
      <c r="O12" s="493"/>
      <c r="P12" s="493"/>
      <c r="Q12" s="493"/>
      <c r="R12" s="493"/>
      <c r="S12" s="493"/>
      <c r="T12" s="493"/>
      <c r="U12" s="493"/>
      <c r="V12" s="493"/>
      <c r="W12" s="493"/>
      <c r="X12" s="493"/>
      <c r="Y12" s="493"/>
      <c r="Z12" s="493"/>
      <c r="AA12" s="493"/>
      <c r="AB12" s="493"/>
      <c r="AC12" s="493"/>
      <c r="AD12" s="493"/>
      <c r="AE12" s="493"/>
      <c r="AF12" s="493"/>
      <c r="AG12" s="493"/>
      <c r="AH12" s="493"/>
      <c r="AI12" s="493"/>
      <c r="AJ12" s="493"/>
      <c r="AK12" s="493"/>
      <c r="AL12" s="493"/>
      <c r="AM12" s="493"/>
      <c r="AN12" s="493"/>
      <c r="AO12" s="493"/>
      <c r="AP12" s="493"/>
      <c r="AQ12" s="493"/>
      <c r="AR12" s="493"/>
      <c r="AS12" s="493"/>
      <c r="AT12" s="493"/>
      <c r="AU12" s="493"/>
      <c r="AV12" s="493"/>
      <c r="AW12" s="493"/>
      <c r="AX12" s="493"/>
      <c r="AY12" s="493"/>
      <c r="AZ12" s="493"/>
      <c r="BA12" s="493"/>
    </row>
    <row r="13" spans="1:53" ht="15" customHeight="1">
      <c r="A13" s="182"/>
      <c r="B13" s="753" t="s">
        <v>373</v>
      </c>
      <c r="C13" s="506"/>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06"/>
      <c r="AL13" s="506"/>
      <c r="AM13" s="506"/>
      <c r="AN13" s="506"/>
      <c r="AO13" s="506"/>
      <c r="AP13" s="506"/>
      <c r="AQ13" s="506"/>
      <c r="AR13" s="506"/>
      <c r="AS13" s="506"/>
      <c r="AT13" s="506"/>
      <c r="AU13" s="506"/>
      <c r="AV13" s="506"/>
      <c r="AW13" s="506"/>
      <c r="AX13" s="506"/>
      <c r="AY13" s="506"/>
      <c r="AZ13" s="506"/>
      <c r="BA13" s="506"/>
    </row>
    <row r="14" spans="1:53" ht="15">
      <c r="A14" s="184"/>
      <c r="B14" s="327" t="s">
        <v>267</v>
      </c>
      <c r="C14" s="327"/>
      <c r="D14" s="330">
        <f>'4. NPV'!D5</f>
        <v>1</v>
      </c>
      <c r="E14" s="330">
        <f>'4. NPV'!E5</f>
        <v>2</v>
      </c>
      <c r="F14" s="330">
        <v>3</v>
      </c>
      <c r="G14" s="330">
        <f>'4. NPV'!G5</f>
        <v>4</v>
      </c>
      <c r="H14" s="330">
        <f>'4. NPV'!H5</f>
        <v>5</v>
      </c>
      <c r="I14" s="330">
        <f>'4. NPV'!I5</f>
        <v>6</v>
      </c>
      <c r="J14" s="330">
        <f>'4. NPV'!J5</f>
        <v>7</v>
      </c>
      <c r="K14" s="330">
        <f>'4. NPV'!K5</f>
        <v>8</v>
      </c>
      <c r="L14" s="330">
        <f>'4. NPV'!L5</f>
        <v>9</v>
      </c>
      <c r="M14" s="330">
        <f>'4. NPV'!M5</f>
        <v>10</v>
      </c>
      <c r="N14" s="330">
        <f>'4. NPV'!N5</f>
        <v>11</v>
      </c>
      <c r="O14" s="330">
        <f>'4. NPV'!O5</f>
        <v>12</v>
      </c>
      <c r="P14" s="330">
        <f>'4. NPV'!P5</f>
        <v>13</v>
      </c>
      <c r="Q14" s="330">
        <f>'4. NPV'!Q5</f>
        <v>14</v>
      </c>
      <c r="R14" s="330">
        <f>'4. NPV'!R5</f>
        <v>15</v>
      </c>
      <c r="S14" s="330">
        <f>'4. NPV'!S5</f>
        <v>16</v>
      </c>
      <c r="T14" s="330">
        <f>'4. NPV'!T5</f>
        <v>17</v>
      </c>
      <c r="U14" s="330">
        <f>'4. NPV'!U5</f>
        <v>18</v>
      </c>
      <c r="V14" s="330">
        <f>'4. NPV'!V5</f>
        <v>19</v>
      </c>
      <c r="W14" s="330">
        <f>'4. NPV'!W5</f>
        <v>20</v>
      </c>
      <c r="X14" s="330">
        <f>'4. NPV'!X5</f>
        <v>21</v>
      </c>
      <c r="Y14" s="330">
        <f>'4. NPV'!Y5</f>
        <v>22</v>
      </c>
      <c r="Z14" s="330">
        <f>'4. NPV'!Z5</f>
        <v>23</v>
      </c>
      <c r="AA14" s="330">
        <f>'4. NPV'!AA5</f>
        <v>24</v>
      </c>
      <c r="AB14" s="330">
        <f>'4. NPV'!AB5</f>
        <v>25</v>
      </c>
      <c r="AC14" s="330">
        <f>'4. NPV'!AC5</f>
        <v>26</v>
      </c>
      <c r="AD14" s="330">
        <f>'4. NPV'!AD5</f>
        <v>27</v>
      </c>
      <c r="AE14" s="330">
        <f>'4. NPV'!AE5</f>
        <v>28</v>
      </c>
      <c r="AF14" s="330">
        <f>'4. NPV'!AF5</f>
        <v>29</v>
      </c>
      <c r="AG14" s="330">
        <f>'4. NPV'!AG5</f>
        <v>30</v>
      </c>
      <c r="AH14" s="330">
        <f>'4. NPV'!AH5</f>
        <v>31</v>
      </c>
      <c r="AI14" s="330">
        <f>'4. NPV'!AI5</f>
        <v>32</v>
      </c>
      <c r="AJ14" s="330">
        <f>'4. NPV'!AJ5</f>
        <v>33</v>
      </c>
      <c r="AK14" s="330">
        <f>'4. NPV'!AK5</f>
        <v>34</v>
      </c>
      <c r="AL14" s="330">
        <f>'4. NPV'!AL5</f>
        <v>35</v>
      </c>
      <c r="AM14" s="330">
        <f>'4. NPV'!AM5</f>
        <v>36</v>
      </c>
      <c r="AN14" s="330">
        <f>'4. NPV'!AN5</f>
        <v>37</v>
      </c>
      <c r="AO14" s="330">
        <f>'4. NPV'!AO5</f>
        <v>38</v>
      </c>
      <c r="AP14" s="330">
        <f>'4. NPV'!AP5</f>
        <v>39</v>
      </c>
      <c r="AQ14" s="330">
        <f>'4. NPV'!AQ5</f>
        <v>40</v>
      </c>
      <c r="AR14" s="330">
        <f>'4. NPV'!AR5</f>
        <v>41</v>
      </c>
      <c r="AS14" s="330">
        <f>'4. NPV'!AS5</f>
        <v>42</v>
      </c>
      <c r="AT14" s="330">
        <f>'4. NPV'!AT5</f>
        <v>43</v>
      </c>
      <c r="AU14" s="330">
        <f>'4. NPV'!AU5</f>
        <v>44</v>
      </c>
      <c r="AV14" s="330">
        <f>'4. NPV'!AV5</f>
        <v>45</v>
      </c>
      <c r="AW14" s="330">
        <f>'4. NPV'!AW5</f>
        <v>46</v>
      </c>
      <c r="AX14" s="330">
        <f>'4. NPV'!AX5</f>
        <v>47</v>
      </c>
      <c r="AY14" s="330">
        <f>'4. NPV'!AY5</f>
        <v>48</v>
      </c>
      <c r="AZ14" s="330">
        <f>'4. NPV'!AZ5</f>
        <v>49</v>
      </c>
      <c r="BA14" s="330">
        <f>'4. NPV'!BA5</f>
        <v>50</v>
      </c>
    </row>
    <row r="15" spans="1:53" ht="15">
      <c r="A15" s="19"/>
      <c r="B15" s="327" t="s">
        <v>192</v>
      </c>
      <c r="C15" s="327"/>
      <c r="D15" s="327">
        <f>IF(D$14&lt;='2. Kalkyldata'!$P$17,'3. Finansiering'!D$13,"")</f>
        <v>2026</v>
      </c>
      <c r="E15" s="327">
        <f>IF(E$14&lt;='2. Kalkyldata'!$P$17,'3. Finansiering'!E$13,"")</f>
        <v>2027</v>
      </c>
      <c r="F15" s="327">
        <f>IF(F$14&lt;='2. Kalkyldata'!$P$17,'3. Finansiering'!F$13,"")</f>
        <v>2028</v>
      </c>
      <c r="G15" s="327">
        <f>IF(G$14&lt;='2. Kalkyldata'!$P$17,'3. Finansiering'!G$13,"")</f>
        <v>2029</v>
      </c>
      <c r="H15" s="327">
        <f>IF(H$14&lt;='2. Kalkyldata'!$P$17,'3. Finansiering'!H$13,"")</f>
        <v>2030</v>
      </c>
      <c r="I15" s="327">
        <f>IF(I$14&lt;='2. Kalkyldata'!$P$17,'3. Finansiering'!I$13,"")</f>
        <v>2031</v>
      </c>
      <c r="J15" s="327">
        <f>IF(J$14&lt;='2. Kalkyldata'!$P$17,'3. Finansiering'!J$13,"")</f>
        <v>2032</v>
      </c>
      <c r="K15" s="327">
        <f>IF(K$14&lt;='2. Kalkyldata'!$P$17,'3. Finansiering'!K$13,"")</f>
        <v>2033</v>
      </c>
      <c r="L15" s="327">
        <f>IF(L$14&lt;='2. Kalkyldata'!$P$17,'3. Finansiering'!L$13,"")</f>
        <v>2034</v>
      </c>
      <c r="M15" s="327">
        <f>IF(M$14&lt;='2. Kalkyldata'!$P$17,'3. Finansiering'!M$13,"")</f>
        <v>2035</v>
      </c>
      <c r="N15" s="327">
        <f>IF(N$14&lt;='2. Kalkyldata'!$P$17,'3. Finansiering'!N$13,"")</f>
        <v>2036</v>
      </c>
      <c r="O15" s="327">
        <f>IF(O$14&lt;='2. Kalkyldata'!$P$17,'3. Finansiering'!O$13,"")</f>
        <v>2037</v>
      </c>
      <c r="P15" s="327">
        <f>IF(P$14&lt;='2. Kalkyldata'!$P$17,'3. Finansiering'!P$13,"")</f>
        <v>2038</v>
      </c>
      <c r="Q15" s="327">
        <f>IF(Q$14&lt;='2. Kalkyldata'!$P$17,'3. Finansiering'!Q$13,"")</f>
        <v>2039</v>
      </c>
      <c r="R15" s="327">
        <f>IF(R$14&lt;='2. Kalkyldata'!$P$17,'3. Finansiering'!R$13,"")</f>
        <v>2040</v>
      </c>
      <c r="S15" s="327">
        <f>IF(S$14&lt;='2. Kalkyldata'!$P$17,'3. Finansiering'!S$13,"")</f>
        <v>2041</v>
      </c>
      <c r="T15" s="327">
        <f>IF(T$14&lt;='2. Kalkyldata'!$P$17,'3. Finansiering'!T$13,"")</f>
        <v>2042</v>
      </c>
      <c r="U15" s="327">
        <f>IF(U$14&lt;='2. Kalkyldata'!$P$17,'3. Finansiering'!U$13,"")</f>
        <v>2043</v>
      </c>
      <c r="V15" s="327">
        <f>IF(V$14&lt;='2. Kalkyldata'!$P$17,'3. Finansiering'!V$13,"")</f>
        <v>2044</v>
      </c>
      <c r="W15" s="327">
        <f>IF(W$14&lt;='2. Kalkyldata'!$P$17,'3. Finansiering'!W$13,"")</f>
        <v>2045</v>
      </c>
      <c r="X15" s="327" t="str">
        <f>IF(X$14&lt;='2. Kalkyldata'!$P$17,'3. Finansiering'!X$13,"")</f>
        <v/>
      </c>
      <c r="Y15" s="327" t="str">
        <f>IF(Y$14&lt;='2. Kalkyldata'!$P$17,'3. Finansiering'!Y$13,"")</f>
        <v/>
      </c>
      <c r="Z15" s="327" t="str">
        <f>IF(Z$14&lt;='2. Kalkyldata'!$P$17,'3. Finansiering'!Z$13,"")</f>
        <v/>
      </c>
      <c r="AA15" s="327" t="str">
        <f>IF(AA$14&lt;='2. Kalkyldata'!$P$17,'3. Finansiering'!AA$13,"")</f>
        <v/>
      </c>
      <c r="AB15" s="327" t="str">
        <f>IF(AB$14&lt;='2. Kalkyldata'!$P$17,'3. Finansiering'!AB$13,"")</f>
        <v/>
      </c>
      <c r="AC15" s="327" t="str">
        <f>IF(AC$14&lt;='2. Kalkyldata'!$P$17,'3. Finansiering'!AC$13,"")</f>
        <v/>
      </c>
      <c r="AD15" s="327" t="str">
        <f>IF(AD$14&lt;='2. Kalkyldata'!$P$17,'3. Finansiering'!AD$13,"")</f>
        <v/>
      </c>
      <c r="AE15" s="327" t="str">
        <f>IF(AE$14&lt;='2. Kalkyldata'!$P$17,'3. Finansiering'!AE$13,"")</f>
        <v/>
      </c>
      <c r="AF15" s="327" t="str">
        <f>IF(AF$14&lt;='2. Kalkyldata'!$P$17,'3. Finansiering'!AF$13,"")</f>
        <v/>
      </c>
      <c r="AG15" s="327" t="str">
        <f>IF(AG$14&lt;='2. Kalkyldata'!$P$17,'3. Finansiering'!AG$13,"")</f>
        <v/>
      </c>
      <c r="AH15" s="327" t="str">
        <f>IF(AH$14&lt;='2. Kalkyldata'!$P$17,'3. Finansiering'!AH$13,"")</f>
        <v/>
      </c>
      <c r="AI15" s="327" t="str">
        <f>IF(AI$14&lt;='2. Kalkyldata'!$P$17,'3. Finansiering'!AI$13,"")</f>
        <v/>
      </c>
      <c r="AJ15" s="327" t="str">
        <f>IF(AJ$14&lt;='2. Kalkyldata'!$P$17,'3. Finansiering'!AJ$13,"")</f>
        <v/>
      </c>
      <c r="AK15" s="327" t="str">
        <f>IF(AK$14&lt;='2. Kalkyldata'!$P$17,'3. Finansiering'!AK$13,"")</f>
        <v/>
      </c>
      <c r="AL15" s="327" t="str">
        <f>IF(AL$14&lt;='2. Kalkyldata'!$P$17,'3. Finansiering'!AL$13,"")</f>
        <v/>
      </c>
      <c r="AM15" s="327" t="str">
        <f>IF(AM$14&lt;='2. Kalkyldata'!$P$17,'3. Finansiering'!AM$13,"")</f>
        <v/>
      </c>
      <c r="AN15" s="327" t="str">
        <f>IF(AN$14&lt;='2. Kalkyldata'!$P$17,'3. Finansiering'!AN$13,"")</f>
        <v/>
      </c>
      <c r="AO15" s="327" t="str">
        <f>IF(AO$14&lt;='2. Kalkyldata'!$P$17,'3. Finansiering'!AO$13,"")</f>
        <v/>
      </c>
      <c r="AP15" s="327" t="str">
        <f>IF(AP$14&lt;='2. Kalkyldata'!$P$17,'3. Finansiering'!AP$13,"")</f>
        <v/>
      </c>
      <c r="AQ15" s="327" t="str">
        <f>IF(AQ$14&lt;='2. Kalkyldata'!$P$17,'3. Finansiering'!AQ$13,"")</f>
        <v/>
      </c>
      <c r="AR15" s="327" t="str">
        <f>IF(AR$14&lt;='2. Kalkyldata'!$P$17,'3. Finansiering'!AR$13,"")</f>
        <v/>
      </c>
      <c r="AS15" s="327" t="str">
        <f>IF(AS$14&lt;='2. Kalkyldata'!$P$17,'3. Finansiering'!AS$13,"")</f>
        <v/>
      </c>
      <c r="AT15" s="327" t="str">
        <f>IF(AT$14&lt;='2. Kalkyldata'!$P$17,'3. Finansiering'!AT$13,"")</f>
        <v/>
      </c>
      <c r="AU15" s="327" t="str">
        <f>IF(AU$14&lt;='2. Kalkyldata'!$P$17,'3. Finansiering'!AU$13,"")</f>
        <v/>
      </c>
      <c r="AV15" s="327" t="str">
        <f>IF(AV$14&lt;='2. Kalkyldata'!$P$17,'3. Finansiering'!AV$13,"")</f>
        <v/>
      </c>
      <c r="AW15" s="327" t="str">
        <f>IF(AW$14&lt;='2. Kalkyldata'!$P$17,'3. Finansiering'!AW$13,"")</f>
        <v/>
      </c>
      <c r="AX15" s="327" t="str">
        <f>IF(AX$14&lt;='2. Kalkyldata'!$P$17,'3. Finansiering'!AX$13,"")</f>
        <v/>
      </c>
      <c r="AY15" s="327" t="str">
        <f>IF(AY$14&lt;='2. Kalkyldata'!$P$17,'3. Finansiering'!AY$13,"")</f>
        <v/>
      </c>
      <c r="AZ15" s="327" t="str">
        <f>IF(AZ$14&lt;='2. Kalkyldata'!$P$17,'3. Finansiering'!AZ$13,"")</f>
        <v/>
      </c>
      <c r="BA15" s="327" t="str">
        <f>IF(BA$14&lt;='2. Kalkyldata'!$P$17,'3. Finansiering'!BA$13,"")</f>
        <v/>
      </c>
    </row>
    <row r="16" spans="1:53">
      <c r="A16" s="506"/>
      <c r="B16" s="349" t="s">
        <v>80</v>
      </c>
      <c r="C16" s="349"/>
      <c r="D16" s="350">
        <f>'4. NPV'!D9</f>
        <v>-239999999.99999997</v>
      </c>
      <c r="E16" s="350">
        <f>'4. NPV'!E9</f>
        <v>0</v>
      </c>
      <c r="F16" s="350">
        <f>'4. NPV'!F9</f>
        <v>0</v>
      </c>
      <c r="G16" s="350">
        <f>'4. NPV'!G9</f>
        <v>0</v>
      </c>
      <c r="H16" s="350">
        <f>'4. NPV'!H9</f>
        <v>0</v>
      </c>
      <c r="I16" s="350">
        <f>'4. NPV'!I9</f>
        <v>0</v>
      </c>
      <c r="J16" s="350">
        <f>'4. NPV'!J9</f>
        <v>0</v>
      </c>
      <c r="K16" s="350">
        <f>'4. NPV'!K9</f>
        <v>0</v>
      </c>
      <c r="L16" s="350">
        <f>'4. NPV'!L9</f>
        <v>0</v>
      </c>
      <c r="M16" s="350">
        <f>'4. NPV'!M9</f>
        <v>0</v>
      </c>
      <c r="N16" s="350">
        <f>'4. NPV'!N9</f>
        <v>0</v>
      </c>
      <c r="O16" s="350">
        <f>'4. NPV'!O9</f>
        <v>0</v>
      </c>
      <c r="P16" s="350">
        <f>'4. NPV'!P9</f>
        <v>0</v>
      </c>
      <c r="Q16" s="350">
        <f>'4. NPV'!Q9</f>
        <v>0</v>
      </c>
      <c r="R16" s="350">
        <f>'4. NPV'!R9</f>
        <v>0</v>
      </c>
      <c r="S16" s="350">
        <f>'4. NPV'!S9</f>
        <v>0</v>
      </c>
      <c r="T16" s="350">
        <f>'4. NPV'!T9</f>
        <v>0</v>
      </c>
      <c r="U16" s="350">
        <f>'4. NPV'!U9</f>
        <v>0</v>
      </c>
      <c r="V16" s="350">
        <f>'4. NPV'!V9</f>
        <v>0</v>
      </c>
      <c r="W16" s="350">
        <f>'4. NPV'!W9</f>
        <v>0</v>
      </c>
      <c r="X16" s="350">
        <f>'4. NPV'!X9</f>
        <v>0</v>
      </c>
      <c r="Y16" s="350">
        <f>'4. NPV'!Y9</f>
        <v>0</v>
      </c>
      <c r="Z16" s="350">
        <f>'4. NPV'!Z9</f>
        <v>0</v>
      </c>
      <c r="AA16" s="350">
        <f>'4. NPV'!AA9</f>
        <v>0</v>
      </c>
      <c r="AB16" s="350">
        <f>'4. NPV'!AB9</f>
        <v>0</v>
      </c>
      <c r="AC16" s="350">
        <f>'4. NPV'!AC9</f>
        <v>0</v>
      </c>
      <c r="AD16" s="350">
        <f>'4. NPV'!AD9</f>
        <v>0</v>
      </c>
      <c r="AE16" s="350">
        <f>'4. NPV'!AE9</f>
        <v>0</v>
      </c>
      <c r="AF16" s="350">
        <f>'4. NPV'!AF9</f>
        <v>0</v>
      </c>
      <c r="AG16" s="350">
        <f>'4. NPV'!AG9</f>
        <v>0</v>
      </c>
      <c r="AH16" s="350">
        <f>'4. NPV'!AH9</f>
        <v>0</v>
      </c>
      <c r="AI16" s="350">
        <f>'4. NPV'!AI9</f>
        <v>0</v>
      </c>
      <c r="AJ16" s="350">
        <f>'4. NPV'!AJ9</f>
        <v>0</v>
      </c>
      <c r="AK16" s="350">
        <f>'4. NPV'!AK9</f>
        <v>0</v>
      </c>
      <c r="AL16" s="350">
        <f>'4. NPV'!AL9</f>
        <v>0</v>
      </c>
      <c r="AM16" s="350">
        <f>'4. NPV'!AM9</f>
        <v>0</v>
      </c>
      <c r="AN16" s="350">
        <f>'4. NPV'!AN9</f>
        <v>0</v>
      </c>
      <c r="AO16" s="350">
        <f>'4. NPV'!AO9</f>
        <v>0</v>
      </c>
      <c r="AP16" s="350">
        <f>'4. NPV'!AP9</f>
        <v>0</v>
      </c>
      <c r="AQ16" s="350">
        <f>'4. NPV'!AQ9</f>
        <v>0</v>
      </c>
      <c r="AR16" s="350">
        <f>'4. NPV'!AR9</f>
        <v>0</v>
      </c>
      <c r="AS16" s="350">
        <f>'4. NPV'!AS9</f>
        <v>0</v>
      </c>
      <c r="AT16" s="350">
        <f>'4. NPV'!AT9</f>
        <v>0</v>
      </c>
      <c r="AU16" s="350">
        <f>'4. NPV'!AU9</f>
        <v>0</v>
      </c>
      <c r="AV16" s="350">
        <f>'4. NPV'!AV9</f>
        <v>0</v>
      </c>
      <c r="AW16" s="350">
        <f>'4. NPV'!AW9</f>
        <v>0</v>
      </c>
      <c r="AX16" s="350">
        <f>'4. NPV'!AX9</f>
        <v>0</v>
      </c>
      <c r="AY16" s="350">
        <f>'4. NPV'!AY9</f>
        <v>0</v>
      </c>
      <c r="AZ16" s="350">
        <f>'4. NPV'!AZ9</f>
        <v>0</v>
      </c>
      <c r="BA16" s="350">
        <f>'4. NPV'!BA9</f>
        <v>0</v>
      </c>
    </row>
    <row r="17" spans="1:53">
      <c r="A17" s="506"/>
      <c r="B17" s="229" t="s">
        <v>268</v>
      </c>
      <c r="C17" s="229"/>
      <c r="D17" s="230">
        <f>IF(D15&lt;&gt;"",IFERROR(SUM($D$16:D$16),0),0)</f>
        <v>-239999999.99999997</v>
      </c>
      <c r="E17" s="230">
        <f>IF(E15&lt;&gt;"",IFERROR(SUM($D$16:E$16),0),0)</f>
        <v>-239999999.99999997</v>
      </c>
      <c r="F17" s="230">
        <f>IF(F15&lt;&gt;"",IFERROR(SUM($D$16:F$16),0),0)</f>
        <v>-239999999.99999997</v>
      </c>
      <c r="G17" s="230">
        <f>IF(G15&lt;&gt;"",IFERROR(SUM($D$16:G$16),0),0)</f>
        <v>-239999999.99999997</v>
      </c>
      <c r="H17" s="230">
        <f>IF(H15&lt;&gt;"",IFERROR(SUM($D$16:H$16),0),0)</f>
        <v>-239999999.99999997</v>
      </c>
      <c r="I17" s="230">
        <f>IF(I15&lt;&gt;"",IFERROR(SUM($D$16:I$16),0),0)</f>
        <v>-239999999.99999997</v>
      </c>
      <c r="J17" s="230">
        <f>IF(J15&lt;&gt;"",IFERROR(SUM($D$16:J$16),0),0)</f>
        <v>-239999999.99999997</v>
      </c>
      <c r="K17" s="230">
        <f>IF(K15&lt;&gt;"",IFERROR(SUM($D$16:K$16),0),0)</f>
        <v>-239999999.99999997</v>
      </c>
      <c r="L17" s="230">
        <f>IF(L15&lt;&gt;"",IFERROR(SUM($D$16:L$16),0),0)</f>
        <v>-239999999.99999997</v>
      </c>
      <c r="M17" s="230">
        <f>IF(M15&lt;&gt;"",IFERROR(SUM($D$16:M$16),0),0)</f>
        <v>-239999999.99999997</v>
      </c>
      <c r="N17" s="230">
        <f>IF(N15&lt;&gt;"",IFERROR(SUM($D$16:N$16),0),0)</f>
        <v>-239999999.99999997</v>
      </c>
      <c r="O17" s="230">
        <f>IF(O15&lt;&gt;"",IFERROR(SUM($D$16:O$16),0),0)</f>
        <v>-239999999.99999997</v>
      </c>
      <c r="P17" s="230">
        <f>IF(P15&lt;&gt;"",IFERROR(SUM($D$16:P$16),0),0)</f>
        <v>-239999999.99999997</v>
      </c>
      <c r="Q17" s="230">
        <f>IF(Q15&lt;&gt;"",IFERROR(SUM($D$16:Q$16),0),0)</f>
        <v>-239999999.99999997</v>
      </c>
      <c r="R17" s="230">
        <f>IF(R15&lt;&gt;"",IFERROR(SUM($D$16:R$16),0),0)</f>
        <v>-239999999.99999997</v>
      </c>
      <c r="S17" s="230">
        <f>IF(S15&lt;&gt;"",IFERROR(SUM($D$16:S$16),0),0)</f>
        <v>-239999999.99999997</v>
      </c>
      <c r="T17" s="230">
        <f>IF(T15&lt;&gt;"",IFERROR(SUM($D$16:T$16),0),0)</f>
        <v>-239999999.99999997</v>
      </c>
      <c r="U17" s="230">
        <f>IF(U15&lt;&gt;"",IFERROR(SUM($D$16:U$16),0),0)</f>
        <v>-239999999.99999997</v>
      </c>
      <c r="V17" s="230">
        <f>IF(V15&lt;&gt;"",IFERROR(SUM($D$16:V$16),0),0)</f>
        <v>-239999999.99999997</v>
      </c>
      <c r="W17" s="230">
        <f>IF(W15&lt;&gt;"",IFERROR(SUM($D$16:W$16),0),0)</f>
        <v>-239999999.99999997</v>
      </c>
      <c r="X17" s="230">
        <f>IF(X15&lt;&gt;"",IFERROR(SUM($D$16:X$16),0),0)</f>
        <v>0</v>
      </c>
      <c r="Y17" s="230">
        <f>IF(Y15&lt;&gt;"",IFERROR(SUM($D$16:Y$16),0),0)</f>
        <v>0</v>
      </c>
      <c r="Z17" s="230">
        <f>IF(Z15&lt;&gt;"",IFERROR(SUM($D$16:Z$16),0),0)</f>
        <v>0</v>
      </c>
      <c r="AA17" s="230">
        <f>IF(AA15&lt;&gt;"",IFERROR(SUM($D$16:AA$16),0),0)</f>
        <v>0</v>
      </c>
      <c r="AB17" s="230">
        <f>IF(AB15&lt;&gt;"",IFERROR(SUM($D$16:AB$16),0),0)</f>
        <v>0</v>
      </c>
      <c r="AC17" s="230">
        <f>IF(AC15&lt;&gt;"",IFERROR(SUM($D$16:AC$16),0),0)</f>
        <v>0</v>
      </c>
      <c r="AD17" s="230">
        <f>IF(AD15&lt;&gt;"",IFERROR(SUM($D$16:AD$16),0),0)</f>
        <v>0</v>
      </c>
      <c r="AE17" s="230">
        <f>IF(AE15&lt;&gt;"",IFERROR(SUM($D$16:AE$16),0),0)</f>
        <v>0</v>
      </c>
      <c r="AF17" s="230">
        <f>IF(AF15&lt;&gt;"",IFERROR(SUM($D$16:AF$16),0),0)</f>
        <v>0</v>
      </c>
      <c r="AG17" s="230">
        <f>IF(AG15&lt;&gt;"",IFERROR(SUM($D$16:AG$16),0),0)</f>
        <v>0</v>
      </c>
      <c r="AH17" s="230">
        <f>IF(AH15&lt;&gt;"",IFERROR(SUM($D$16:AH$16),0),0)</f>
        <v>0</v>
      </c>
      <c r="AI17" s="230">
        <f>IF(AI15&lt;&gt;"",IFERROR(SUM($D$16:AI$16),0),0)</f>
        <v>0</v>
      </c>
      <c r="AJ17" s="230">
        <f>IF(AJ15&lt;&gt;"",IFERROR(SUM($D$16:AJ$16),0),0)</f>
        <v>0</v>
      </c>
      <c r="AK17" s="230">
        <f>IF(AK15&lt;&gt;"",IFERROR(SUM($D$16:AK$16),0),0)</f>
        <v>0</v>
      </c>
      <c r="AL17" s="230">
        <f>IF(AL15&lt;&gt;"",IFERROR(SUM($D$16:AL$16),0),0)</f>
        <v>0</v>
      </c>
      <c r="AM17" s="230">
        <f>IF(AM15&lt;&gt;"",IFERROR(SUM($D$16:AM$16),0),0)</f>
        <v>0</v>
      </c>
      <c r="AN17" s="230">
        <f>IF(AN15&lt;&gt;"",IFERROR(SUM($D$16:AN$16),0),0)</f>
        <v>0</v>
      </c>
      <c r="AO17" s="230">
        <f>IF(AO15&lt;&gt;"",IFERROR(SUM($D$16:AO$16),0),0)</f>
        <v>0</v>
      </c>
      <c r="AP17" s="230">
        <f>IF(AP15&lt;&gt;"",IFERROR(SUM($D$16:AP$16),0),0)</f>
        <v>0</v>
      </c>
      <c r="AQ17" s="230">
        <f>IF(AQ15&lt;&gt;"",IFERROR(SUM($D$16:AQ$16),0),0)</f>
        <v>0</v>
      </c>
      <c r="AR17" s="230">
        <f>IF(AR15&lt;&gt;"",IFERROR(SUM($D$16:AR$16),0),0)</f>
        <v>0</v>
      </c>
      <c r="AS17" s="230">
        <f>IF(AS15&lt;&gt;"",IFERROR(SUM($D$16:AS$16),0),0)</f>
        <v>0</v>
      </c>
      <c r="AT17" s="230">
        <f>IF(AT15&lt;&gt;"",IFERROR(SUM($D$16:AT$16),0),0)</f>
        <v>0</v>
      </c>
      <c r="AU17" s="230">
        <f>IF(AU15&lt;&gt;"",IFERROR(SUM($D$16:AU$16),0),0)</f>
        <v>0</v>
      </c>
      <c r="AV17" s="230">
        <f>IF(AV15&lt;&gt;"",IFERROR(SUM($D$16:AV$16),0),0)</f>
        <v>0</v>
      </c>
      <c r="AW17" s="230">
        <f>IF(AW15&lt;&gt;"",IFERROR(SUM($D$16:AW$16),0),0)</f>
        <v>0</v>
      </c>
      <c r="AX17" s="230">
        <f>IF(AX15&lt;&gt;"",IFERROR(SUM($D$16:AX$16),0),0)</f>
        <v>0</v>
      </c>
      <c r="AY17" s="230">
        <f>IF(AY15&lt;&gt;"",IFERROR(SUM($D$16:AY$16),0),0)</f>
        <v>0</v>
      </c>
      <c r="AZ17" s="230">
        <f>IF(AZ15&lt;&gt;"",IFERROR(SUM($D$16:AZ$16),0),0)</f>
        <v>0</v>
      </c>
      <c r="BA17" s="230">
        <f>IF(BA15&lt;&gt;"",IFERROR(SUM($D$16:BA$16),0),0)</f>
        <v>0</v>
      </c>
    </row>
    <row r="18" spans="1:53">
      <c r="A18" s="506"/>
      <c r="B18" s="424" t="s">
        <v>85</v>
      </c>
      <c r="C18" s="424"/>
      <c r="D18" s="426">
        <f t="shared" ref="D18:AI18" si="1">IF(D$14=$C$5,$C$10,0)</f>
        <v>0</v>
      </c>
      <c r="E18" s="426">
        <f t="shared" si="1"/>
        <v>0</v>
      </c>
      <c r="F18" s="426">
        <f t="shared" si="1"/>
        <v>0</v>
      </c>
      <c r="G18" s="426">
        <f t="shared" si="1"/>
        <v>0</v>
      </c>
      <c r="H18" s="426">
        <f t="shared" si="1"/>
        <v>0</v>
      </c>
      <c r="I18" s="426">
        <f t="shared" si="1"/>
        <v>0</v>
      </c>
      <c r="J18" s="426">
        <f t="shared" si="1"/>
        <v>0</v>
      </c>
      <c r="K18" s="426">
        <f t="shared" si="1"/>
        <v>0</v>
      </c>
      <c r="L18" s="426">
        <f t="shared" si="1"/>
        <v>0</v>
      </c>
      <c r="M18" s="426">
        <f t="shared" si="1"/>
        <v>0</v>
      </c>
      <c r="N18" s="426">
        <f t="shared" si="1"/>
        <v>0</v>
      </c>
      <c r="O18" s="426">
        <f t="shared" si="1"/>
        <v>0</v>
      </c>
      <c r="P18" s="426">
        <f t="shared" si="1"/>
        <v>0</v>
      </c>
      <c r="Q18" s="426">
        <f t="shared" si="1"/>
        <v>0</v>
      </c>
      <c r="R18" s="426">
        <f t="shared" si="1"/>
        <v>0</v>
      </c>
      <c r="S18" s="426">
        <f t="shared" si="1"/>
        <v>0</v>
      </c>
      <c r="T18" s="426">
        <f t="shared" si="1"/>
        <v>0</v>
      </c>
      <c r="U18" s="426">
        <f t="shared" si="1"/>
        <v>0</v>
      </c>
      <c r="V18" s="426">
        <f t="shared" si="1"/>
        <v>0</v>
      </c>
      <c r="W18" s="426">
        <f t="shared" ca="1" si="1"/>
        <v>268500000</v>
      </c>
      <c r="X18" s="426">
        <f t="shared" si="1"/>
        <v>0</v>
      </c>
      <c r="Y18" s="426">
        <f t="shared" si="1"/>
        <v>0</v>
      </c>
      <c r="Z18" s="426">
        <f t="shared" si="1"/>
        <v>0</v>
      </c>
      <c r="AA18" s="426">
        <f t="shared" si="1"/>
        <v>0</v>
      </c>
      <c r="AB18" s="426">
        <f t="shared" si="1"/>
        <v>0</v>
      </c>
      <c r="AC18" s="426">
        <f t="shared" si="1"/>
        <v>0</v>
      </c>
      <c r="AD18" s="426">
        <f t="shared" si="1"/>
        <v>0</v>
      </c>
      <c r="AE18" s="426">
        <f t="shared" si="1"/>
        <v>0</v>
      </c>
      <c r="AF18" s="426">
        <f t="shared" si="1"/>
        <v>0</v>
      </c>
      <c r="AG18" s="426">
        <f t="shared" si="1"/>
        <v>0</v>
      </c>
      <c r="AH18" s="426">
        <f t="shared" si="1"/>
        <v>0</v>
      </c>
      <c r="AI18" s="426">
        <f t="shared" si="1"/>
        <v>0</v>
      </c>
      <c r="AJ18" s="426">
        <f t="shared" ref="AJ18:BA18" si="2">IF(AJ$14=$C$5,$C$10,0)</f>
        <v>0</v>
      </c>
      <c r="AK18" s="426">
        <f t="shared" si="2"/>
        <v>0</v>
      </c>
      <c r="AL18" s="426">
        <f t="shared" si="2"/>
        <v>0</v>
      </c>
      <c r="AM18" s="426">
        <f t="shared" si="2"/>
        <v>0</v>
      </c>
      <c r="AN18" s="426">
        <f t="shared" si="2"/>
        <v>0</v>
      </c>
      <c r="AO18" s="426">
        <f t="shared" si="2"/>
        <v>0</v>
      </c>
      <c r="AP18" s="426">
        <f t="shared" si="2"/>
        <v>0</v>
      </c>
      <c r="AQ18" s="426">
        <f t="shared" si="2"/>
        <v>0</v>
      </c>
      <c r="AR18" s="426">
        <f t="shared" si="2"/>
        <v>0</v>
      </c>
      <c r="AS18" s="426">
        <f t="shared" si="2"/>
        <v>0</v>
      </c>
      <c r="AT18" s="426">
        <f t="shared" si="2"/>
        <v>0</v>
      </c>
      <c r="AU18" s="426">
        <f t="shared" si="2"/>
        <v>0</v>
      </c>
      <c r="AV18" s="426">
        <f t="shared" si="2"/>
        <v>0</v>
      </c>
      <c r="AW18" s="426">
        <f t="shared" si="2"/>
        <v>0</v>
      </c>
      <c r="AX18" s="426">
        <f t="shared" si="2"/>
        <v>0</v>
      </c>
      <c r="AY18" s="426">
        <f t="shared" si="2"/>
        <v>0</v>
      </c>
      <c r="AZ18" s="426">
        <f t="shared" si="2"/>
        <v>0</v>
      </c>
      <c r="BA18" s="426">
        <f t="shared" si="2"/>
        <v>0</v>
      </c>
    </row>
    <row r="19" spans="1:53" ht="8.1" customHeight="1">
      <c r="A19" s="506"/>
      <c r="B19" s="229"/>
      <c r="C19" s="229"/>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c r="AM19" s="230"/>
      <c r="AN19" s="230"/>
      <c r="AO19" s="230"/>
      <c r="AP19" s="230"/>
      <c r="AQ19" s="230"/>
      <c r="AR19" s="230"/>
      <c r="AS19" s="230"/>
      <c r="AT19" s="230"/>
      <c r="AU19" s="230"/>
      <c r="AV19" s="230"/>
      <c r="AW19" s="230"/>
      <c r="AX19" s="230"/>
      <c r="AY19" s="230"/>
      <c r="AZ19" s="230"/>
      <c r="BA19" s="230"/>
    </row>
    <row r="20" spans="1:53">
      <c r="A20" s="506"/>
      <c r="B20" s="229" t="s">
        <v>269</v>
      </c>
      <c r="C20" s="229"/>
      <c r="D20" s="230">
        <f>-'3. Finansiering'!D$16</f>
        <v>-151199999.99999997</v>
      </c>
      <c r="E20" s="230">
        <f>-'3. Finansiering'!E$16</f>
        <v>0</v>
      </c>
      <c r="F20" s="230">
        <f>-'3. Finansiering'!F$16</f>
        <v>0</v>
      </c>
      <c r="G20" s="230">
        <f>-'3. Finansiering'!G$16</f>
        <v>0</v>
      </c>
      <c r="H20" s="230">
        <f>-'3. Finansiering'!H$16</f>
        <v>0</v>
      </c>
      <c r="I20" s="230">
        <f>-'3. Finansiering'!I$16</f>
        <v>0</v>
      </c>
      <c r="J20" s="230">
        <f>-'3. Finansiering'!J$16</f>
        <v>0</v>
      </c>
      <c r="K20" s="230">
        <f>-'3. Finansiering'!K$16</f>
        <v>0</v>
      </c>
      <c r="L20" s="230">
        <f>-'3. Finansiering'!L$16</f>
        <v>0</v>
      </c>
      <c r="M20" s="230">
        <f>-'3. Finansiering'!M$16</f>
        <v>0</v>
      </c>
      <c r="N20" s="230">
        <f>-'3. Finansiering'!N$16</f>
        <v>0</v>
      </c>
      <c r="O20" s="230">
        <f>-'3. Finansiering'!O$16</f>
        <v>0</v>
      </c>
      <c r="P20" s="230">
        <f>-'3. Finansiering'!P$16</f>
        <v>0</v>
      </c>
      <c r="Q20" s="230">
        <f>-'3. Finansiering'!Q$16</f>
        <v>0</v>
      </c>
      <c r="R20" s="230">
        <f>-'3. Finansiering'!R$16</f>
        <v>0</v>
      </c>
      <c r="S20" s="230">
        <f>-'3. Finansiering'!S$16</f>
        <v>0</v>
      </c>
      <c r="T20" s="230">
        <f>-'3. Finansiering'!T$16</f>
        <v>0</v>
      </c>
      <c r="U20" s="230">
        <f>-'3. Finansiering'!U$16</f>
        <v>0</v>
      </c>
      <c r="V20" s="230">
        <f>-'3. Finansiering'!V$16</f>
        <v>0</v>
      </c>
      <c r="W20" s="230">
        <f>-'3. Finansiering'!W$16</f>
        <v>0</v>
      </c>
      <c r="X20" s="230">
        <f>-'3. Finansiering'!X$16</f>
        <v>0</v>
      </c>
      <c r="Y20" s="230">
        <f>-'3. Finansiering'!Y$16</f>
        <v>0</v>
      </c>
      <c r="Z20" s="230">
        <f>-'3. Finansiering'!Z$16</f>
        <v>0</v>
      </c>
      <c r="AA20" s="230">
        <f>-'3. Finansiering'!AA$16</f>
        <v>0</v>
      </c>
      <c r="AB20" s="230">
        <f>-'3. Finansiering'!AB$16</f>
        <v>0</v>
      </c>
      <c r="AC20" s="230">
        <f>-'3. Finansiering'!AC$16</f>
        <v>0</v>
      </c>
      <c r="AD20" s="230">
        <f>-'3. Finansiering'!AD$16</f>
        <v>0</v>
      </c>
      <c r="AE20" s="230">
        <f>-'3. Finansiering'!AE$16</f>
        <v>0</v>
      </c>
      <c r="AF20" s="230">
        <f>-'3. Finansiering'!AF$16</f>
        <v>0</v>
      </c>
      <c r="AG20" s="230">
        <f>-'3. Finansiering'!AG$16</f>
        <v>0</v>
      </c>
      <c r="AH20" s="230">
        <f>-'3. Finansiering'!AH$16</f>
        <v>0</v>
      </c>
      <c r="AI20" s="230">
        <f>-'3. Finansiering'!AI$16</f>
        <v>0</v>
      </c>
      <c r="AJ20" s="230">
        <f>-'3. Finansiering'!AJ$16</f>
        <v>0</v>
      </c>
      <c r="AK20" s="230">
        <f>-'3. Finansiering'!AK$16</f>
        <v>0</v>
      </c>
      <c r="AL20" s="230">
        <f>-'3. Finansiering'!AL$16</f>
        <v>0</v>
      </c>
      <c r="AM20" s="230">
        <f>-'3. Finansiering'!AM$16</f>
        <v>0</v>
      </c>
      <c r="AN20" s="230">
        <f>-'3. Finansiering'!AN$16</f>
        <v>0</v>
      </c>
      <c r="AO20" s="230">
        <f>-'3. Finansiering'!AO$16</f>
        <v>0</v>
      </c>
      <c r="AP20" s="230">
        <f>-'3. Finansiering'!AP$16</f>
        <v>0</v>
      </c>
      <c r="AQ20" s="230">
        <f>-'3. Finansiering'!AQ$16</f>
        <v>0</v>
      </c>
      <c r="AR20" s="230">
        <f>-'3. Finansiering'!AR$16</f>
        <v>0</v>
      </c>
      <c r="AS20" s="230">
        <f>-'3. Finansiering'!AS$16</f>
        <v>0</v>
      </c>
      <c r="AT20" s="230">
        <f>-'3. Finansiering'!AT$16</f>
        <v>0</v>
      </c>
      <c r="AU20" s="230">
        <f>-'3. Finansiering'!AU$16</f>
        <v>0</v>
      </c>
      <c r="AV20" s="230">
        <f>-'3. Finansiering'!AV$16</f>
        <v>0</v>
      </c>
      <c r="AW20" s="230">
        <f>-'3. Finansiering'!AW$16</f>
        <v>0</v>
      </c>
      <c r="AX20" s="230">
        <f>-'3. Finansiering'!AX$16</f>
        <v>0</v>
      </c>
      <c r="AY20" s="230">
        <f>-'3. Finansiering'!AY$16</f>
        <v>0</v>
      </c>
      <c r="AZ20" s="230">
        <f>-'3. Finansiering'!AZ$16</f>
        <v>0</v>
      </c>
      <c r="BA20" s="230">
        <f>-'3. Finansiering'!BA$16</f>
        <v>0</v>
      </c>
    </row>
    <row r="21" spans="1:53">
      <c r="A21" s="506"/>
      <c r="B21" s="229" t="s">
        <v>270</v>
      </c>
      <c r="C21" s="229"/>
      <c r="D21" s="230">
        <f>-'2. Kalkyldata'!$AA$28</f>
        <v>0</v>
      </c>
      <c r="E21" s="230"/>
      <c r="F21" s="230"/>
      <c r="G21" s="230"/>
      <c r="H21" s="230"/>
      <c r="I21" s="230"/>
      <c r="J21" s="230"/>
      <c r="K21" s="230"/>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30"/>
    </row>
    <row r="22" spans="1:53" ht="8.1" customHeight="1">
      <c r="A22" s="506"/>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29"/>
      <c r="AO22" s="229"/>
      <c r="AP22" s="229"/>
      <c r="AQ22" s="229"/>
      <c r="AR22" s="229"/>
      <c r="AS22" s="229"/>
      <c r="AT22" s="229"/>
      <c r="AU22" s="229"/>
      <c r="AV22" s="229"/>
      <c r="AW22" s="229"/>
      <c r="AX22" s="229"/>
      <c r="AY22" s="229"/>
      <c r="AZ22" s="229"/>
      <c r="BA22" s="229"/>
    </row>
    <row r="23" spans="1:53" ht="15">
      <c r="A23" s="19"/>
      <c r="B23" s="421" t="s">
        <v>386</v>
      </c>
      <c r="C23" s="421"/>
      <c r="D23" s="423">
        <f ca="1">IFERROR(IF(D15="","",'4. NPV'!D$71),0)</f>
        <v>13694500</v>
      </c>
      <c r="E23" s="423">
        <f ca="1">IFERROR(IF(E15="","",'4. NPV'!E$71),0)</f>
        <v>13871400</v>
      </c>
      <c r="F23" s="423">
        <f ca="1">IFERROR(IF(F15="","",'4. NPV'!F$71),0)</f>
        <v>14050480.140000001</v>
      </c>
      <c r="G23" s="423">
        <f ca="1">IFERROR(IF(G15="","",'4. NPV'!G$71),0)</f>
        <v>14231765.012760002</v>
      </c>
      <c r="H23" s="423">
        <f ca="1">IFERROR(IF(H15="","",'4. NPV'!H$71),0)</f>
        <v>14415279.436754644</v>
      </c>
      <c r="I23" s="423">
        <f ca="1">IFERROR(IF(I15="","",'4. NPV'!I$71),0)</f>
        <v>14601048.456961529</v>
      </c>
      <c r="J23" s="423">
        <f ca="1">IFERROR(IF(J15="","",'4. NPV'!J$71),0)</f>
        <v>14789097.345613157</v>
      </c>
      <c r="K23" s="423">
        <f ca="1">IFERROR(IF(K15="","",'4. NPV'!K$71),0)</f>
        <v>14979451.602910995</v>
      </c>
      <c r="L23" s="423">
        <f ca="1">IFERROR(IF(L15="","",'4. NPV'!L$71),0)</f>
        <v>15172136.957700187</v>
      </c>
      <c r="M23" s="423">
        <f ca="1">IFERROR(IF(M15="","",'4. NPV'!M$71),0)</f>
        <v>15367179.368103392</v>
      </c>
      <c r="N23" s="423">
        <f ca="1">IFERROR(IF(N15="","",'4. NPV'!N$71),0)</f>
        <v>15564605.022112153</v>
      </c>
      <c r="O23" s="423">
        <f ca="1">IFERROR(IF(O15="","",'4. NPV'!O$71),0)</f>
        <v>15764440.33813414</v>
      </c>
      <c r="P23" s="423">
        <f ca="1">IFERROR(IF(P15="","",'4. NPV'!P$71),0)</f>
        <v>15966711.965494689</v>
      </c>
      <c r="Q23" s="423">
        <f ca="1">IFERROR(IF(Q15="","",'4. NPV'!Q$71),0)</f>
        <v>16171446.784890812</v>
      </c>
      <c r="R23" s="423">
        <f ca="1">IFERROR(IF(R15="","",'4. NPV'!R$71),0)</f>
        <v>16378671.908796068</v>
      </c>
      <c r="S23" s="423">
        <f ca="1">IFERROR(IF(S15="","",'4. NPV'!S$71),0)</f>
        <v>16588414.681814335</v>
      </c>
      <c r="T23" s="423">
        <f ca="1">IFERROR(IF(T15="","",'4. NPV'!T$71),0)</f>
        <v>16800702.680980761</v>
      </c>
      <c r="U23" s="423">
        <f ca="1">IFERROR(IF(U15="","",'4. NPV'!U$71),0)</f>
        <v>17015563.716007937</v>
      </c>
      <c r="V23" s="423">
        <f ca="1">IFERROR(IF(V15="","",'4. NPV'!V$71),0)</f>
        <v>17233025.829475358</v>
      </c>
      <c r="W23" s="423">
        <f ca="1">IFERROR(IF(W15="","",'4. NPV'!W$71),0)</f>
        <v>17453117.29696019</v>
      </c>
      <c r="X23" s="423" t="str">
        <f>IFERROR(IF(X15="","",'4. NPV'!X$71),0)</f>
        <v/>
      </c>
      <c r="Y23" s="423" t="str">
        <f>IFERROR(IF(Y15="","",'4. NPV'!Y$71),0)</f>
        <v/>
      </c>
      <c r="Z23" s="423" t="str">
        <f>IFERROR(IF(Z15="","",'4. NPV'!Z$71),0)</f>
        <v/>
      </c>
      <c r="AA23" s="423" t="str">
        <f>IFERROR(IF(AA15="","",'4. NPV'!AA$71),0)</f>
        <v/>
      </c>
      <c r="AB23" s="423" t="str">
        <f>IFERROR(IF(AB15="","",'4. NPV'!AB$71),0)</f>
        <v/>
      </c>
      <c r="AC23" s="423" t="str">
        <f>IFERROR(IF(AC15="","",'4. NPV'!AC$71),0)</f>
        <v/>
      </c>
      <c r="AD23" s="423" t="str">
        <f>IFERROR(IF(AD15="","",'4. NPV'!AD$71),0)</f>
        <v/>
      </c>
      <c r="AE23" s="423" t="str">
        <f>IFERROR(IF(AE15="","",'4. NPV'!AE$71),0)</f>
        <v/>
      </c>
      <c r="AF23" s="423" t="str">
        <f>IFERROR(IF(AF15="","",'4. NPV'!AF$71),0)</f>
        <v/>
      </c>
      <c r="AG23" s="423" t="str">
        <f>IFERROR(IF(AG15="","",'4. NPV'!AG$71),0)</f>
        <v/>
      </c>
      <c r="AH23" s="423" t="str">
        <f>IFERROR(IF(AH15="","",'4. NPV'!AH$71),0)</f>
        <v/>
      </c>
      <c r="AI23" s="423" t="str">
        <f>IFERROR(IF(AI15="","",'4. NPV'!AI$71),0)</f>
        <v/>
      </c>
      <c r="AJ23" s="423" t="str">
        <f>IFERROR(IF(AJ15="","",'4. NPV'!AJ$71),0)</f>
        <v/>
      </c>
      <c r="AK23" s="423" t="str">
        <f>IFERROR(IF(AK15="","",'4. NPV'!AK$71),0)</f>
        <v/>
      </c>
      <c r="AL23" s="423" t="str">
        <f>IFERROR(IF(AL15="","",'4. NPV'!AL$71),0)</f>
        <v/>
      </c>
      <c r="AM23" s="423" t="str">
        <f>IFERROR(IF(AM15="","",'4. NPV'!AM$71),0)</f>
        <v/>
      </c>
      <c r="AN23" s="423" t="str">
        <f>IFERROR(IF(AN15="","",'4. NPV'!AN$71),0)</f>
        <v/>
      </c>
      <c r="AO23" s="423" t="str">
        <f>IFERROR(IF(AO15="","",'4. NPV'!AO$71),0)</f>
        <v/>
      </c>
      <c r="AP23" s="423" t="str">
        <f>IFERROR(IF(AP15="","",'4. NPV'!AP$71),0)</f>
        <v/>
      </c>
      <c r="AQ23" s="423" t="str">
        <f>IFERROR(IF(AQ15="","",'4. NPV'!AQ$71),0)</f>
        <v/>
      </c>
      <c r="AR23" s="423" t="str">
        <f>IFERROR(IF(AR15="","",'4. NPV'!AR$71),0)</f>
        <v/>
      </c>
      <c r="AS23" s="423" t="str">
        <f>IFERROR(IF(AS15="","",'4. NPV'!AS$71),0)</f>
        <v/>
      </c>
      <c r="AT23" s="423" t="str">
        <f>IFERROR(IF(AT15="","",'4. NPV'!AT$71),0)</f>
        <v/>
      </c>
      <c r="AU23" s="423" t="str">
        <f>IFERROR(IF(AU15="","",'4. NPV'!AU$71),0)</f>
        <v/>
      </c>
      <c r="AV23" s="423" t="str">
        <f>IFERROR(IF(AV15="","",'4. NPV'!AV$71),0)</f>
        <v/>
      </c>
      <c r="AW23" s="423" t="str">
        <f>IFERROR(IF(AW15="","",'4. NPV'!AW$71),0)</f>
        <v/>
      </c>
      <c r="AX23" s="423" t="str">
        <f>IFERROR(IF(AX15="","",'4. NPV'!AX$71),0)</f>
        <v/>
      </c>
      <c r="AY23" s="423" t="str">
        <f>IFERROR(IF(AY15="","",'4. NPV'!AY$71),0)</f>
        <v/>
      </c>
      <c r="AZ23" s="423" t="str">
        <f>IFERROR(IF(AZ15="","",'4. NPV'!AZ$71),0)</f>
        <v/>
      </c>
      <c r="BA23" s="423" t="str">
        <f>IFERROR(IF(BA15="","",'4. NPV'!BA$71),0)</f>
        <v/>
      </c>
    </row>
    <row r="24" spans="1:53" ht="15">
      <c r="A24" s="19"/>
      <c r="B24" s="229" t="s">
        <v>133</v>
      </c>
      <c r="C24" s="228"/>
      <c r="D24" s="230">
        <f>-IF(AND('2. Kalkyldata'!$Q$11&lt;='5. IRR'!D15,'2. Kalkyldata'!$R$11&gt;'5. IRR'!D15),'2. Kalkyldata'!$P$11,0)</f>
        <v>0</v>
      </c>
      <c r="E24" s="230">
        <f>-IF(AND('2. Kalkyldata'!$Q$11&lt;='5. IRR'!E15,'2. Kalkyldata'!$R$11&gt;'5. IRR'!E15),'2. Kalkyldata'!$P$11,0)</f>
        <v>0</v>
      </c>
      <c r="F24" s="230">
        <f>-IF(AND('2. Kalkyldata'!$Q$11&lt;='5. IRR'!F15,'2. Kalkyldata'!$R$11&gt;'5. IRR'!F15),'2. Kalkyldata'!$P$11,0)</f>
        <v>0</v>
      </c>
      <c r="G24" s="230">
        <f>-IF(AND('2. Kalkyldata'!$Q$11&lt;='5. IRR'!G15,'2. Kalkyldata'!$R$11&gt;'5. IRR'!G15),'2. Kalkyldata'!$P$11,0)</f>
        <v>0</v>
      </c>
      <c r="H24" s="230">
        <f>-IF(AND('2. Kalkyldata'!$Q$11&lt;='5. IRR'!H15,'2. Kalkyldata'!$R$11&gt;'5. IRR'!H15),'2. Kalkyldata'!$P$11,0)</f>
        <v>0</v>
      </c>
      <c r="I24" s="230">
        <f>-IF(AND('2. Kalkyldata'!$Q$11&lt;='5. IRR'!I15,'2. Kalkyldata'!$R$11&gt;'5. IRR'!I15),'2. Kalkyldata'!$P$11,0)</f>
        <v>0</v>
      </c>
      <c r="J24" s="230">
        <f>-IF(AND('2. Kalkyldata'!$Q$11&lt;='5. IRR'!J15,'2. Kalkyldata'!$R$11&gt;'5. IRR'!J15),'2. Kalkyldata'!$P$11,0)</f>
        <v>0</v>
      </c>
      <c r="K24" s="230">
        <f>-IF(AND('2. Kalkyldata'!$Q$11&lt;='5. IRR'!K15,'2. Kalkyldata'!$R$11&gt;'5. IRR'!K15),'2. Kalkyldata'!$P$11,0)</f>
        <v>0</v>
      </c>
      <c r="L24" s="230">
        <f>-IF(AND('2. Kalkyldata'!$Q$11&lt;='5. IRR'!L15,'2. Kalkyldata'!$R$11&gt;'5. IRR'!L15),'2. Kalkyldata'!$P$11,0)</f>
        <v>0</v>
      </c>
      <c r="M24" s="230">
        <f>-IF(AND('2. Kalkyldata'!$Q$11&lt;='5. IRR'!M15,'2. Kalkyldata'!$R$11&gt;'5. IRR'!M15),'2. Kalkyldata'!$P$11,0)</f>
        <v>0</v>
      </c>
      <c r="N24" s="230">
        <f>-IF(AND('2. Kalkyldata'!$Q$11&lt;='5. IRR'!N15,'2. Kalkyldata'!$R$11&gt;'5. IRR'!N15),'2. Kalkyldata'!$P$11,0)</f>
        <v>0</v>
      </c>
      <c r="O24" s="230">
        <f>-IF(AND('2. Kalkyldata'!$Q$11&lt;='5. IRR'!O15,'2. Kalkyldata'!$R$11&gt;'5. IRR'!O15),'2. Kalkyldata'!$P$11,0)</f>
        <v>0</v>
      </c>
      <c r="P24" s="230">
        <f>-IF(AND('2. Kalkyldata'!$Q$11&lt;='5. IRR'!P15,'2. Kalkyldata'!$R$11&gt;'5. IRR'!P15),'2. Kalkyldata'!$P$11,0)</f>
        <v>0</v>
      </c>
      <c r="Q24" s="230">
        <f>-IF(AND('2. Kalkyldata'!$Q$11&lt;='5. IRR'!Q15,'2. Kalkyldata'!$R$11&gt;'5. IRR'!Q15),'2. Kalkyldata'!$P$11,0)</f>
        <v>0</v>
      </c>
      <c r="R24" s="230">
        <f>-IF(AND('2. Kalkyldata'!$Q$11&lt;='5. IRR'!R15,'2. Kalkyldata'!$R$11&gt;'5. IRR'!R15),'2. Kalkyldata'!$P$11,0)</f>
        <v>0</v>
      </c>
      <c r="S24" s="230">
        <f>-IF(AND('2. Kalkyldata'!$Q$11&lt;='5. IRR'!S15,'2. Kalkyldata'!$R$11&gt;'5. IRR'!S15),'2. Kalkyldata'!$P$11,0)</f>
        <v>0</v>
      </c>
      <c r="T24" s="230">
        <f>-IF(AND('2. Kalkyldata'!$Q$11&lt;='5. IRR'!T15,'2. Kalkyldata'!$R$11&gt;'5. IRR'!T15),'2. Kalkyldata'!$P$11,0)</f>
        <v>0</v>
      </c>
      <c r="U24" s="230">
        <f>-IF(AND('2. Kalkyldata'!$Q$11&lt;='5. IRR'!U15,'2. Kalkyldata'!$R$11&gt;'5. IRR'!U15),'2. Kalkyldata'!$P$11,0)</f>
        <v>0</v>
      </c>
      <c r="V24" s="230">
        <f>-IF(AND('2. Kalkyldata'!$Q$11&lt;='5. IRR'!V15,'2. Kalkyldata'!$R$11&gt;'5. IRR'!V15),'2. Kalkyldata'!$P$11,0)</f>
        <v>0</v>
      </c>
      <c r="W24" s="230">
        <f>-IF(AND('2. Kalkyldata'!$Q$11&lt;='5. IRR'!W15,'2. Kalkyldata'!$R$11&gt;'5. IRR'!W15),'2. Kalkyldata'!$P$11,0)</f>
        <v>0</v>
      </c>
      <c r="X24" s="230">
        <f>-IF(AND('2. Kalkyldata'!$Q$11&lt;='5. IRR'!X15,'2. Kalkyldata'!$R$11&gt;'5. IRR'!X15),'2. Kalkyldata'!$P$11,0)</f>
        <v>0</v>
      </c>
      <c r="Y24" s="230">
        <f>-IF(AND('2. Kalkyldata'!$Q$11&lt;='5. IRR'!Y15,'2. Kalkyldata'!$R$11&gt;'5. IRR'!Y15),'2. Kalkyldata'!$P$11,0)</f>
        <v>0</v>
      </c>
      <c r="Z24" s="230">
        <f>-IF(AND('2. Kalkyldata'!$Q$11&lt;='5. IRR'!Z15,'2. Kalkyldata'!$R$11&gt;'5. IRR'!Z15),'2. Kalkyldata'!$P$11,0)</f>
        <v>0</v>
      </c>
      <c r="AA24" s="230">
        <f>-IF(AND('2. Kalkyldata'!$Q$11&lt;='5. IRR'!AA15,'2. Kalkyldata'!$R$11&gt;'5. IRR'!AA15),'2. Kalkyldata'!$P$11,0)</f>
        <v>0</v>
      </c>
      <c r="AB24" s="230">
        <f>-IF(AND('2. Kalkyldata'!$Q$11&lt;='5. IRR'!AB15,'2. Kalkyldata'!$R$11&gt;'5. IRR'!AB15),'2. Kalkyldata'!$P$11,0)</f>
        <v>0</v>
      </c>
      <c r="AC24" s="230">
        <f>-IF(AND('2. Kalkyldata'!$Q$11&lt;='5. IRR'!AC15,'2. Kalkyldata'!$R$11&gt;'5. IRR'!AC15),'2. Kalkyldata'!$P$11,0)</f>
        <v>0</v>
      </c>
      <c r="AD24" s="230">
        <f>-IF(AND('2. Kalkyldata'!$Q$11&lt;='5. IRR'!AD15,'2. Kalkyldata'!$R$11&gt;'5. IRR'!AD15),'2. Kalkyldata'!$P$11,0)</f>
        <v>0</v>
      </c>
      <c r="AE24" s="230">
        <f>-IF(AND('2. Kalkyldata'!$Q$11&lt;='5. IRR'!AE15,'2. Kalkyldata'!$R$11&gt;'5. IRR'!AE15),'2. Kalkyldata'!$P$11,0)</f>
        <v>0</v>
      </c>
      <c r="AF24" s="230">
        <f>-IF(AND('2. Kalkyldata'!$Q$11&lt;='5. IRR'!AF15,'2. Kalkyldata'!$R$11&gt;'5. IRR'!AF15),'2. Kalkyldata'!$P$11,0)</f>
        <v>0</v>
      </c>
      <c r="AG24" s="230">
        <f>-IF(AND('2. Kalkyldata'!$Q$11&lt;='5. IRR'!AG15,'2. Kalkyldata'!$R$11&gt;'5. IRR'!AG15),'2. Kalkyldata'!$P$11,0)</f>
        <v>0</v>
      </c>
      <c r="AH24" s="230">
        <f>-IF(AND('2. Kalkyldata'!$Q$11&lt;='5. IRR'!AH15,'2. Kalkyldata'!$R$11&gt;'5. IRR'!AH15),'2. Kalkyldata'!$P$11,0)</f>
        <v>0</v>
      </c>
      <c r="AI24" s="230">
        <f>-IF(AND('2. Kalkyldata'!$Q$11&lt;='5. IRR'!AI15,'2. Kalkyldata'!$R$11&gt;'5. IRR'!AI15),'2. Kalkyldata'!$P$11,0)</f>
        <v>0</v>
      </c>
      <c r="AJ24" s="230">
        <f>-IF(AND('2. Kalkyldata'!$Q$11&lt;='5. IRR'!AJ15,'2. Kalkyldata'!$R$11&gt;'5. IRR'!AJ15),'2. Kalkyldata'!$P$11,0)</f>
        <v>0</v>
      </c>
      <c r="AK24" s="230">
        <f>-IF(AND('2. Kalkyldata'!$Q$11&lt;='5. IRR'!AK15,'2. Kalkyldata'!$R$11&gt;'5. IRR'!AK15),'2. Kalkyldata'!$P$11,0)</f>
        <v>0</v>
      </c>
      <c r="AL24" s="230">
        <f>-IF(AND('2. Kalkyldata'!$Q$11&lt;='5. IRR'!AL15,'2. Kalkyldata'!$R$11&gt;'5. IRR'!AL15),'2. Kalkyldata'!$P$11,0)</f>
        <v>0</v>
      </c>
      <c r="AM24" s="230">
        <f>-IF(AND('2. Kalkyldata'!$Q$11&lt;='5. IRR'!AM15,'2. Kalkyldata'!$R$11&gt;'5. IRR'!AM15),'2. Kalkyldata'!$P$11,0)</f>
        <v>0</v>
      </c>
      <c r="AN24" s="230">
        <f>-IF(AND('2. Kalkyldata'!$Q$11&lt;='5. IRR'!AN15,'2. Kalkyldata'!$R$11&gt;'5. IRR'!AN15),'2. Kalkyldata'!$P$11,0)</f>
        <v>0</v>
      </c>
      <c r="AO24" s="230">
        <f>-IF(AND('2. Kalkyldata'!$Q$11&lt;='5. IRR'!AO15,'2. Kalkyldata'!$R$11&gt;'5. IRR'!AO15),'2. Kalkyldata'!$P$11,0)</f>
        <v>0</v>
      </c>
      <c r="AP24" s="230">
        <f>-IF(AND('2. Kalkyldata'!$Q$11&lt;='5. IRR'!AP15,'2. Kalkyldata'!$R$11&gt;'5. IRR'!AP15),'2. Kalkyldata'!$P$11,0)</f>
        <v>0</v>
      </c>
      <c r="AQ24" s="230">
        <f>-IF(AND('2. Kalkyldata'!$Q$11&lt;='5. IRR'!AQ15,'2. Kalkyldata'!$R$11&gt;'5. IRR'!AQ15),'2. Kalkyldata'!$P$11,0)</f>
        <v>0</v>
      </c>
      <c r="AR24" s="230">
        <f>-IF(AND('2. Kalkyldata'!$Q$11&lt;='5. IRR'!AR15,'2. Kalkyldata'!$R$11&gt;'5. IRR'!AR15),'2. Kalkyldata'!$P$11,0)</f>
        <v>0</v>
      </c>
      <c r="AS24" s="230">
        <f>-IF(AND('2. Kalkyldata'!$Q$11&lt;='5. IRR'!AS15,'2. Kalkyldata'!$R$11&gt;'5. IRR'!AS15),'2. Kalkyldata'!$P$11,0)</f>
        <v>0</v>
      </c>
      <c r="AT24" s="230">
        <f>-IF(AND('2. Kalkyldata'!$Q$11&lt;='5. IRR'!AT15,'2. Kalkyldata'!$R$11&gt;'5. IRR'!AT15),'2. Kalkyldata'!$P$11,0)</f>
        <v>0</v>
      </c>
      <c r="AU24" s="230">
        <f>-IF(AND('2. Kalkyldata'!$Q$11&lt;='5. IRR'!AU15,'2. Kalkyldata'!$R$11&gt;'5. IRR'!AU15),'2. Kalkyldata'!$P$11,0)</f>
        <v>0</v>
      </c>
      <c r="AV24" s="230">
        <f>-IF(AND('2. Kalkyldata'!$Q$11&lt;='5. IRR'!AV15,'2. Kalkyldata'!$R$11&gt;'5. IRR'!AV15),'2. Kalkyldata'!$P$11,0)</f>
        <v>0</v>
      </c>
      <c r="AW24" s="230">
        <f>-IF(AND('2. Kalkyldata'!$Q$11&lt;='5. IRR'!AW15,'2. Kalkyldata'!$R$11&gt;'5. IRR'!AW15),'2. Kalkyldata'!$P$11,0)</f>
        <v>0</v>
      </c>
      <c r="AX24" s="230">
        <f>-IF(AND('2. Kalkyldata'!$Q$11&lt;='5. IRR'!AX15,'2. Kalkyldata'!$R$11&gt;'5. IRR'!AX15),'2. Kalkyldata'!$P$11,0)</f>
        <v>0</v>
      </c>
      <c r="AY24" s="230">
        <f>-IF(AND('2. Kalkyldata'!$Q$11&lt;='5. IRR'!AY15,'2. Kalkyldata'!$R$11&gt;'5. IRR'!AY15),'2. Kalkyldata'!$P$11,0)</f>
        <v>0</v>
      </c>
      <c r="AZ24" s="230">
        <f>-IF(AND('2. Kalkyldata'!$Q$11&lt;='5. IRR'!AZ15,'2. Kalkyldata'!$R$11&gt;'5. IRR'!AZ15),'2. Kalkyldata'!$P$11,0)</f>
        <v>0</v>
      </c>
      <c r="BA24" s="230">
        <f>-IF(AND('2. Kalkyldata'!$Q$11&lt;='5. IRR'!BA15,'2. Kalkyldata'!$R$11&gt;'5. IRR'!BA15),'2. Kalkyldata'!$P$11,0)</f>
        <v>0</v>
      </c>
    </row>
    <row r="25" spans="1:53" ht="15">
      <c r="A25" s="19"/>
      <c r="B25" s="229" t="s">
        <v>137</v>
      </c>
      <c r="C25" s="228"/>
      <c r="D25" s="230">
        <f>IF(AND('2. Kalkyldata'!$Q$12&lt;='5. IRR'!D15,'2. Kalkyldata'!$R$12&gt;'5. IRR'!D15),'2. Kalkyldata'!$P$12,0)</f>
        <v>0</v>
      </c>
      <c r="E25" s="230">
        <f>IF(AND('2. Kalkyldata'!$Q$12&lt;='5. IRR'!E15,'2. Kalkyldata'!$R$12&gt;'5. IRR'!E15),'2. Kalkyldata'!$P$12,0)</f>
        <v>0</v>
      </c>
      <c r="F25" s="230">
        <f>IF(AND('2. Kalkyldata'!$Q$12&lt;='5. IRR'!F15,'2. Kalkyldata'!$R$12&gt;'5. IRR'!F15),'2. Kalkyldata'!$P$12,0)</f>
        <v>0</v>
      </c>
      <c r="G25" s="230">
        <f>IF(AND('2. Kalkyldata'!$Q$12&lt;='5. IRR'!G15,'2. Kalkyldata'!$R$12&gt;'5. IRR'!G15),'2. Kalkyldata'!$P$12,0)</f>
        <v>0</v>
      </c>
      <c r="H25" s="230">
        <f>IF(AND('2. Kalkyldata'!$Q$12&lt;='5. IRR'!H15,'2. Kalkyldata'!$R$12&gt;'5. IRR'!H15),'2. Kalkyldata'!$P$12,0)</f>
        <v>0</v>
      </c>
      <c r="I25" s="230">
        <f>IF(AND('2. Kalkyldata'!$Q$12&lt;='5. IRR'!I15,'2. Kalkyldata'!$R$12&gt;'5. IRR'!I15),'2. Kalkyldata'!$P$12,0)</f>
        <v>0</v>
      </c>
      <c r="J25" s="230">
        <f>IF(AND('2. Kalkyldata'!$Q$12&lt;='5. IRR'!J15,'2. Kalkyldata'!$R$12&gt;'5. IRR'!J15),'2. Kalkyldata'!$P$12,0)</f>
        <v>0</v>
      </c>
      <c r="K25" s="230">
        <f>IF(AND('2. Kalkyldata'!$Q$12&lt;='5. IRR'!K15,'2. Kalkyldata'!$R$12&gt;'5. IRR'!K15),'2. Kalkyldata'!$P$12,0)</f>
        <v>0</v>
      </c>
      <c r="L25" s="230">
        <f>IF(AND('2. Kalkyldata'!$Q$12&lt;='5. IRR'!L15,'2. Kalkyldata'!$R$12&gt;'5. IRR'!L15),'2. Kalkyldata'!$P$12,0)</f>
        <v>0</v>
      </c>
      <c r="M25" s="230">
        <f>IF(AND('2. Kalkyldata'!$Q$12&lt;='5. IRR'!M15,'2. Kalkyldata'!$R$12&gt;'5. IRR'!M15),'2. Kalkyldata'!$P$12,0)</f>
        <v>0</v>
      </c>
      <c r="N25" s="230">
        <f>IF(AND('2. Kalkyldata'!$Q$12&lt;='5. IRR'!N15,'2. Kalkyldata'!$R$12&gt;'5. IRR'!N15),'2. Kalkyldata'!$P$12,0)</f>
        <v>0</v>
      </c>
      <c r="O25" s="230">
        <f>IF(AND('2. Kalkyldata'!$Q$12&lt;='5. IRR'!O15,'2. Kalkyldata'!$R$12&gt;'5. IRR'!O15),'2. Kalkyldata'!$P$12,0)</f>
        <v>0</v>
      </c>
      <c r="P25" s="230">
        <f>IF(AND('2. Kalkyldata'!$Q$12&lt;='5. IRR'!P15,'2. Kalkyldata'!$R$12&gt;'5. IRR'!P15),'2. Kalkyldata'!$P$12,0)</f>
        <v>0</v>
      </c>
      <c r="Q25" s="230">
        <f>IF(AND('2. Kalkyldata'!$Q$12&lt;='5. IRR'!Q15,'2. Kalkyldata'!$R$12&gt;'5. IRR'!Q15),'2. Kalkyldata'!$P$12,0)</f>
        <v>0</v>
      </c>
      <c r="R25" s="230">
        <f>IF(AND('2. Kalkyldata'!$Q$12&lt;='5. IRR'!R15,'2. Kalkyldata'!$R$12&gt;'5. IRR'!R15),'2. Kalkyldata'!$P$12,0)</f>
        <v>0</v>
      </c>
      <c r="S25" s="230">
        <f>IF(AND('2. Kalkyldata'!$Q$12&lt;='5. IRR'!S15,'2. Kalkyldata'!$R$12&gt;'5. IRR'!S15),'2. Kalkyldata'!$P$12,0)</f>
        <v>0</v>
      </c>
      <c r="T25" s="230">
        <f>IF(AND('2. Kalkyldata'!$Q$12&lt;='5. IRR'!T15,'2. Kalkyldata'!$R$12&gt;'5. IRR'!T15),'2. Kalkyldata'!$P$12,0)</f>
        <v>0</v>
      </c>
      <c r="U25" s="230">
        <f>IF(AND('2. Kalkyldata'!$Q$12&lt;='5. IRR'!U15,'2. Kalkyldata'!$R$12&gt;'5. IRR'!U15),'2. Kalkyldata'!$P$12,0)</f>
        <v>0</v>
      </c>
      <c r="V25" s="230">
        <f>IF(AND('2. Kalkyldata'!$Q$12&lt;='5. IRR'!V15,'2. Kalkyldata'!$R$12&gt;'5. IRR'!V15),'2. Kalkyldata'!$P$12,0)</f>
        <v>0</v>
      </c>
      <c r="W25" s="230">
        <f>IF(AND('2. Kalkyldata'!$Q$12&lt;='5. IRR'!W15,'2. Kalkyldata'!$R$12&gt;'5. IRR'!W15),'2. Kalkyldata'!$P$12,0)</f>
        <v>0</v>
      </c>
      <c r="X25" s="230">
        <f>IF(AND('2. Kalkyldata'!$Q$12&lt;='5. IRR'!X15,'2. Kalkyldata'!$R$12&gt;'5. IRR'!X15),'2. Kalkyldata'!$P$12,0)</f>
        <v>0</v>
      </c>
      <c r="Y25" s="230">
        <f>IF(AND('2. Kalkyldata'!$Q$12&lt;='5. IRR'!Y15,'2. Kalkyldata'!$R$12&gt;'5. IRR'!Y15),'2. Kalkyldata'!$P$12,0)</f>
        <v>0</v>
      </c>
      <c r="Z25" s="230">
        <f>IF(AND('2. Kalkyldata'!$Q$12&lt;='5. IRR'!Z15,'2. Kalkyldata'!$R$12&gt;'5. IRR'!Z15),'2. Kalkyldata'!$P$12,0)</f>
        <v>0</v>
      </c>
      <c r="AA25" s="230">
        <f>IF(AND('2. Kalkyldata'!$Q$12&lt;='5. IRR'!AA15,'2. Kalkyldata'!$R$12&gt;'5. IRR'!AA15),'2. Kalkyldata'!$P$12,0)</f>
        <v>0</v>
      </c>
      <c r="AB25" s="230">
        <f>IF(AND('2. Kalkyldata'!$Q$12&lt;='5. IRR'!AB15,'2. Kalkyldata'!$R$12&gt;'5. IRR'!AB15),'2. Kalkyldata'!$P$12,0)</f>
        <v>0</v>
      </c>
      <c r="AC25" s="230">
        <f>IF(AND('2. Kalkyldata'!$Q$12&lt;='5. IRR'!AC15,'2. Kalkyldata'!$R$12&gt;'5. IRR'!AC15),'2. Kalkyldata'!$P$12,0)</f>
        <v>0</v>
      </c>
      <c r="AD25" s="230">
        <f>IF(AND('2. Kalkyldata'!$Q$12&lt;='5. IRR'!AD15,'2. Kalkyldata'!$R$12&gt;'5. IRR'!AD15),'2. Kalkyldata'!$P$12,0)</f>
        <v>0</v>
      </c>
      <c r="AE25" s="230">
        <f>IF(AND('2. Kalkyldata'!$Q$12&lt;='5. IRR'!AE15,'2. Kalkyldata'!$R$12&gt;'5. IRR'!AE15),'2. Kalkyldata'!$P$12,0)</f>
        <v>0</v>
      </c>
      <c r="AF25" s="230">
        <f>IF(AND('2. Kalkyldata'!$Q$12&lt;='5. IRR'!AF15,'2. Kalkyldata'!$R$12&gt;'5. IRR'!AF15),'2. Kalkyldata'!$P$12,0)</f>
        <v>0</v>
      </c>
      <c r="AG25" s="230">
        <f>IF(AND('2. Kalkyldata'!$Q$12&lt;='5. IRR'!AG15,'2. Kalkyldata'!$R$12&gt;'5. IRR'!AG15),'2. Kalkyldata'!$P$12,0)</f>
        <v>0</v>
      </c>
      <c r="AH25" s="230">
        <f>IF(AND('2. Kalkyldata'!$Q$12&lt;='5. IRR'!AH15,'2. Kalkyldata'!$R$12&gt;'5. IRR'!AH15),'2. Kalkyldata'!$P$12,0)</f>
        <v>0</v>
      </c>
      <c r="AI25" s="230">
        <f>IF(AND('2. Kalkyldata'!$Q$12&lt;='5. IRR'!AI15,'2. Kalkyldata'!$R$12&gt;'5. IRR'!AI15),'2. Kalkyldata'!$P$12,0)</f>
        <v>0</v>
      </c>
      <c r="AJ25" s="230">
        <f>IF(AND('2. Kalkyldata'!$Q$12&lt;='5. IRR'!AJ15,'2. Kalkyldata'!$R$12&gt;'5. IRR'!AJ15),'2. Kalkyldata'!$P$12,0)</f>
        <v>0</v>
      </c>
      <c r="AK25" s="230">
        <f>IF(AND('2. Kalkyldata'!$Q$12&lt;='5. IRR'!AK15,'2. Kalkyldata'!$R$12&gt;'5. IRR'!AK15),'2. Kalkyldata'!$P$12,0)</f>
        <v>0</v>
      </c>
      <c r="AL25" s="230">
        <f>IF(AND('2. Kalkyldata'!$Q$12&lt;='5. IRR'!AL15,'2. Kalkyldata'!$R$12&gt;'5. IRR'!AL15),'2. Kalkyldata'!$P$12,0)</f>
        <v>0</v>
      </c>
      <c r="AM25" s="230">
        <f>IF(AND('2. Kalkyldata'!$Q$12&lt;='5. IRR'!AM15,'2. Kalkyldata'!$R$12&gt;'5. IRR'!AM15),'2. Kalkyldata'!$P$12,0)</f>
        <v>0</v>
      </c>
      <c r="AN25" s="230">
        <f>IF(AND('2. Kalkyldata'!$Q$12&lt;='5. IRR'!AN15,'2. Kalkyldata'!$R$12&gt;'5. IRR'!AN15),'2. Kalkyldata'!$P$12,0)</f>
        <v>0</v>
      </c>
      <c r="AO25" s="230">
        <f>IF(AND('2. Kalkyldata'!$Q$12&lt;='5. IRR'!AO15,'2. Kalkyldata'!$R$12&gt;'5. IRR'!AO15),'2. Kalkyldata'!$P$12,0)</f>
        <v>0</v>
      </c>
      <c r="AP25" s="230">
        <f>IF(AND('2. Kalkyldata'!$Q$12&lt;='5. IRR'!AP15,'2. Kalkyldata'!$R$12&gt;'5. IRR'!AP15),'2. Kalkyldata'!$P$12,0)</f>
        <v>0</v>
      </c>
      <c r="AQ25" s="230">
        <f>IF(AND('2. Kalkyldata'!$Q$12&lt;='5. IRR'!AQ15,'2. Kalkyldata'!$R$12&gt;'5. IRR'!AQ15),'2. Kalkyldata'!$P$12,0)</f>
        <v>0</v>
      </c>
      <c r="AR25" s="230">
        <f>IF(AND('2. Kalkyldata'!$Q$12&lt;='5. IRR'!AR15,'2. Kalkyldata'!$R$12&gt;'5. IRR'!AR15),'2. Kalkyldata'!$P$12,0)</f>
        <v>0</v>
      </c>
      <c r="AS25" s="230">
        <f>IF(AND('2. Kalkyldata'!$Q$12&lt;='5. IRR'!AS15,'2. Kalkyldata'!$R$12&gt;'5. IRR'!AS15),'2. Kalkyldata'!$P$12,0)</f>
        <v>0</v>
      </c>
      <c r="AT25" s="230">
        <f>IF(AND('2. Kalkyldata'!$Q$12&lt;='5. IRR'!AT15,'2. Kalkyldata'!$R$12&gt;'5. IRR'!AT15),'2. Kalkyldata'!$P$12,0)</f>
        <v>0</v>
      </c>
      <c r="AU25" s="230">
        <f>IF(AND('2. Kalkyldata'!$Q$12&lt;='5. IRR'!AU15,'2. Kalkyldata'!$R$12&gt;'5. IRR'!AU15),'2. Kalkyldata'!$P$12,0)</f>
        <v>0</v>
      </c>
      <c r="AV25" s="230">
        <f>IF(AND('2. Kalkyldata'!$Q$12&lt;='5. IRR'!AV15,'2. Kalkyldata'!$R$12&gt;'5. IRR'!AV15),'2. Kalkyldata'!$P$12,0)</f>
        <v>0</v>
      </c>
      <c r="AW25" s="230">
        <f>IF(AND('2. Kalkyldata'!$Q$12&lt;='5. IRR'!AW15,'2. Kalkyldata'!$R$12&gt;'5. IRR'!AW15),'2. Kalkyldata'!$P$12,0)</f>
        <v>0</v>
      </c>
      <c r="AX25" s="230">
        <f>IF(AND('2. Kalkyldata'!$Q$12&lt;='5. IRR'!AX15,'2. Kalkyldata'!$R$12&gt;'5. IRR'!AX15),'2. Kalkyldata'!$P$12,0)</f>
        <v>0</v>
      </c>
      <c r="AY25" s="230">
        <f>IF(AND('2. Kalkyldata'!$Q$12&lt;='5. IRR'!AY15,'2. Kalkyldata'!$R$12&gt;'5. IRR'!AY15),'2. Kalkyldata'!$P$12,0)</f>
        <v>0</v>
      </c>
      <c r="AZ25" s="230">
        <f>IF(AND('2. Kalkyldata'!$Q$12&lt;='5. IRR'!AZ15,'2. Kalkyldata'!$R$12&gt;'5. IRR'!AZ15),'2. Kalkyldata'!$P$12,0)</f>
        <v>0</v>
      </c>
      <c r="BA25" s="230">
        <f>IF(AND('2. Kalkyldata'!$Q$12&lt;='5. IRR'!BA15,'2. Kalkyldata'!$R$12&gt;'5. IRR'!BA15),'2. Kalkyldata'!$P$12,0)</f>
        <v>0</v>
      </c>
    </row>
    <row r="26" spans="1:53">
      <c r="A26" s="506"/>
      <c r="B26" s="229" t="s">
        <v>143</v>
      </c>
      <c r="C26" s="229"/>
      <c r="D26" s="230">
        <f>IF(D15="",0,-'2. Kalkyldata'!$P$14*('4. NPV'!D$8-'4. NPV'!D$65))</f>
        <v>-488000</v>
      </c>
      <c r="E26" s="230">
        <f>IF(E15="",0,-'2. Kalkyldata'!$P$14*('4. NPV'!E$8-'4. NPV'!E$65))*(1+'2. Kalkyldata'!$M$9)^'5. IRR'!E14</f>
        <v>-507715.2</v>
      </c>
      <c r="F26" s="230">
        <f>IF(F15="",0,-'2. Kalkyldata'!$P$14*('4. NPV'!F$8-'4. NPV'!F$65))*(1+'2. Kalkyldata'!$M$9)^'5. IRR'!F14</f>
        <v>-517869.50399999996</v>
      </c>
      <c r="G26" s="230">
        <f>IF(G15="",0,-'2. Kalkyldata'!$P$14*('4. NPV'!G$8-'4. NPV'!G$65))*(1+'2. Kalkyldata'!$M$9)^'5. IRR'!G14</f>
        <v>-528226.89408</v>
      </c>
      <c r="H26" s="230">
        <f>IF(H15="",0,-'2. Kalkyldata'!$P$14*('4. NPV'!H$8-'4. NPV'!H$65))*(1+'2. Kalkyldata'!$M$9)^'5. IRR'!H14</f>
        <v>-538791.43196159997</v>
      </c>
      <c r="I26" s="230">
        <f>IF(I15="",0,-'2. Kalkyldata'!$P$14*('4. NPV'!I$8-'4. NPV'!I$65))*(1+'2. Kalkyldata'!$M$9)^'5. IRR'!I14</f>
        <v>-549567.26060083206</v>
      </c>
      <c r="J26" s="230">
        <f>IF(J15="",0,-'2. Kalkyldata'!$P$14*('4. NPV'!J$8-'4. NPV'!J$65))*(1+'2. Kalkyldata'!$M$9)^'5. IRR'!J14</f>
        <v>-560558.60581284855</v>
      </c>
      <c r="K26" s="230">
        <f>IF(K15="",0,-'2. Kalkyldata'!$P$14*('4. NPV'!K$8-'4. NPV'!K$65))*(1+'2. Kalkyldata'!$M$9)^'5. IRR'!K14</f>
        <v>-571769.77792910556</v>
      </c>
      <c r="L26" s="230">
        <f>IF(L15="",0,-'2. Kalkyldata'!$P$14*('4. NPV'!L$8-'4. NPV'!L$65))*(1+'2. Kalkyldata'!$M$9)^'5. IRR'!L14</f>
        <v>-583205.17348768772</v>
      </c>
      <c r="M26" s="230">
        <f>IF(M15="",0,-'2. Kalkyldata'!$P$14*('4. NPV'!M$8-'4. NPV'!M$65))*(1+'2. Kalkyldata'!$M$9)^'5. IRR'!M14</f>
        <v>-594869.27695744147</v>
      </c>
      <c r="N26" s="230">
        <f>IF(N15="",0,-'2. Kalkyldata'!$P$14*('4. NPV'!N$8-'4. NPV'!N$65))*(1+'2. Kalkyldata'!$M$9)^'5. IRR'!N14</f>
        <v>-606766.66249659017</v>
      </c>
      <c r="O26" s="230">
        <f>IF(O15="",0,-'2. Kalkyldata'!$P$14*('4. NPV'!O$8-'4. NPV'!O$65))*(1+'2. Kalkyldata'!$M$9)^'5. IRR'!O14</f>
        <v>-618901.99574652209</v>
      </c>
      <c r="P26" s="230">
        <f>IF(P15="",0,-'2. Kalkyldata'!$P$14*('4. NPV'!P$8-'4. NPV'!P$65))*(1+'2. Kalkyldata'!$M$9)^'5. IRR'!P14</f>
        <v>-631280.03566145245</v>
      </c>
      <c r="Q26" s="230">
        <f>IF(Q15="",0,-'2. Kalkyldata'!$P$14*('4. NPV'!Q$8-'4. NPV'!Q$65))*(1+'2. Kalkyldata'!$M$9)^'5. IRR'!Q14</f>
        <v>-643905.63637468161</v>
      </c>
      <c r="R26" s="230">
        <f>IF(R15="",0,-'2. Kalkyldata'!$P$14*('4. NPV'!R$8-'4. NPV'!R$65))*(1+'2. Kalkyldata'!$M$9)^'5. IRR'!R14</f>
        <v>-656783.749102175</v>
      </c>
      <c r="S26" s="230">
        <f>IF(S15="",0,-'2. Kalkyldata'!$P$14*('4. NPV'!S$8-'4. NPV'!S$65))*(1+'2. Kalkyldata'!$M$9)^'5. IRR'!S14</f>
        <v>-669919.42408421868</v>
      </c>
      <c r="T26" s="230">
        <f>IF(T15="",0,-'2. Kalkyldata'!$P$14*('4. NPV'!T$8-'4. NPV'!T$65))*(1+'2. Kalkyldata'!$M$9)^'5. IRR'!T14</f>
        <v>-683317.81256590306</v>
      </c>
      <c r="U26" s="230">
        <f>IF(U15="",0,-'2. Kalkyldata'!$P$14*('4. NPV'!U$8-'4. NPV'!U$65))*(1+'2. Kalkyldata'!$M$9)^'5. IRR'!U14</f>
        <v>-696984.16881722107</v>
      </c>
      <c r="V26" s="230">
        <f>IF(V15="",0,-'2. Kalkyldata'!$P$14*('4. NPV'!V$8-'4. NPV'!V$65))*(1+'2. Kalkyldata'!$M$9)^'5. IRR'!V14</f>
        <v>-710923.85219356546</v>
      </c>
      <c r="W26" s="230">
        <f>IF(W15="",0,-'2. Kalkyldata'!$P$14*('4. NPV'!W$8-'4. NPV'!W$65))*(1+'2. Kalkyldata'!$M$9)^'5. IRR'!W14</f>
        <v>-725142.32923743688</v>
      </c>
      <c r="X26" s="230">
        <f>IF(X15="",0,-'2. Kalkyldata'!$P$14*('4. NPV'!X$8-'4. NPV'!X$65))*(1+'2. Kalkyldata'!$M$9)^'5. IRR'!X14</f>
        <v>0</v>
      </c>
      <c r="Y26" s="230">
        <f>IF(Y15="",0,-'2. Kalkyldata'!$P$14*('4. NPV'!Y$8-'4. NPV'!Y$65))*(1+'2. Kalkyldata'!$M$9)^'5. IRR'!Y14</f>
        <v>0</v>
      </c>
      <c r="Z26" s="230">
        <f>IF(Z15="",0,-'2. Kalkyldata'!$P$14*('4. NPV'!Z$8-'4. NPV'!Z$65))*(1+'2. Kalkyldata'!$M$9)^'5. IRR'!Z14</f>
        <v>0</v>
      </c>
      <c r="AA26" s="230">
        <f>IF(AA15="",0,-'2. Kalkyldata'!$P$14*('4. NPV'!AA$8-'4. NPV'!AA$65))*(1+'2. Kalkyldata'!$M$9)^'5. IRR'!AA14</f>
        <v>0</v>
      </c>
      <c r="AB26" s="230">
        <f>IF(AB15="",0,-'2. Kalkyldata'!$P$14*('4. NPV'!AB$8-'4. NPV'!AB$65))*(1+'2. Kalkyldata'!$M$9)^'5. IRR'!AB14</f>
        <v>0</v>
      </c>
      <c r="AC26" s="230">
        <f>IF(AC15="",0,-'2. Kalkyldata'!$P$14*('4. NPV'!AC$8-'4. NPV'!AC$65))*(1+'2. Kalkyldata'!$M$9)^'5. IRR'!AC14</f>
        <v>0</v>
      </c>
      <c r="AD26" s="230">
        <f>IF(AD15="",0,-'2. Kalkyldata'!$P$14*('4. NPV'!AD$8-'4. NPV'!AD$65))*(1+'2. Kalkyldata'!$M$9)^'5. IRR'!AD14</f>
        <v>0</v>
      </c>
      <c r="AE26" s="230">
        <f>IF(AE15="",0,-'2. Kalkyldata'!$P$14*('4. NPV'!AE$8-'4. NPV'!AE$65))*(1+'2. Kalkyldata'!$M$9)^'5. IRR'!AE14</f>
        <v>0</v>
      </c>
      <c r="AF26" s="230">
        <f>IF(AF15="",0,-'2. Kalkyldata'!$P$14*('4. NPV'!AF$8-'4. NPV'!AF$65))*(1+'2. Kalkyldata'!$M$9)^'5. IRR'!AF14</f>
        <v>0</v>
      </c>
      <c r="AG26" s="230">
        <f>IF(AG15="",0,-'2. Kalkyldata'!$P$14*('4. NPV'!AG$8-'4. NPV'!AG$65))*(1+'2. Kalkyldata'!$M$9)^'5. IRR'!AG14</f>
        <v>0</v>
      </c>
      <c r="AH26" s="230">
        <f>IF(AH15="",0,-'2. Kalkyldata'!$P$14*('4. NPV'!AH$8-'4. NPV'!AH$65))*(1+'2. Kalkyldata'!$M$9)^'5. IRR'!AH14</f>
        <v>0</v>
      </c>
      <c r="AI26" s="230">
        <f>IF(AI15="",0,-'2. Kalkyldata'!$P$14*('4. NPV'!AI$8-'4. NPV'!AI$65))*(1+'2. Kalkyldata'!$M$9)^'5. IRR'!AI14</f>
        <v>0</v>
      </c>
      <c r="AJ26" s="230">
        <f>IF(AJ15="",0,-'2. Kalkyldata'!$P$14*('4. NPV'!AJ$8-'4. NPV'!AJ$65))*(1+'2. Kalkyldata'!$M$9)^'5. IRR'!AJ14</f>
        <v>0</v>
      </c>
      <c r="AK26" s="230">
        <f>IF(AK15="",0,-'2. Kalkyldata'!$P$14*('4. NPV'!AK$8-'4. NPV'!AK$65))*(1+'2. Kalkyldata'!$M$9)^'5. IRR'!AK14</f>
        <v>0</v>
      </c>
      <c r="AL26" s="230">
        <f>IF(AL15="",0,-'2. Kalkyldata'!$P$14*('4. NPV'!AL$8-'4. NPV'!AL$65))*(1+'2. Kalkyldata'!$M$9)^'5. IRR'!AL14</f>
        <v>0</v>
      </c>
      <c r="AM26" s="230">
        <f>IF(AM15="",0,-'2. Kalkyldata'!$P$14*('4. NPV'!AM$8-'4. NPV'!AM$65))*(1+'2. Kalkyldata'!$M$9)^'5. IRR'!AM14</f>
        <v>0</v>
      </c>
      <c r="AN26" s="230">
        <f>IF(AN15="",0,-'2. Kalkyldata'!$P$14*('4. NPV'!AN$8-'4. NPV'!AN$65))*(1+'2. Kalkyldata'!$M$9)^'5. IRR'!AN14</f>
        <v>0</v>
      </c>
      <c r="AO26" s="230">
        <f>IF(AO15="",0,-'2. Kalkyldata'!$P$14*('4. NPV'!AO$8-'4. NPV'!AO$65))*(1+'2. Kalkyldata'!$M$9)^'5. IRR'!AO14</f>
        <v>0</v>
      </c>
      <c r="AP26" s="230">
        <f>IF(AP15="",0,-'2. Kalkyldata'!$P$14*('4. NPV'!AP$8-'4. NPV'!AP$65))*(1+'2. Kalkyldata'!$M$9)^'5. IRR'!AP14</f>
        <v>0</v>
      </c>
      <c r="AQ26" s="230">
        <f>IF(AQ15="",0,-'2. Kalkyldata'!$P$14*('4. NPV'!AQ$8-'4. NPV'!AQ$65))*(1+'2. Kalkyldata'!$M$9)^'5. IRR'!AQ14</f>
        <v>0</v>
      </c>
      <c r="AR26" s="230">
        <f>IF(AR15="",0,-'2. Kalkyldata'!$P$14*('4. NPV'!AR$8-'4. NPV'!AR$65))*(1+'2. Kalkyldata'!$M$9)^'5. IRR'!AR14</f>
        <v>0</v>
      </c>
      <c r="AS26" s="230">
        <f>IF(AS15="",0,-'2. Kalkyldata'!$P$14*('4. NPV'!AS$8-'4. NPV'!AS$65))*(1+'2. Kalkyldata'!$M$9)^'5. IRR'!AS14</f>
        <v>0</v>
      </c>
      <c r="AT26" s="230">
        <f>IF(AT15="",0,-'2. Kalkyldata'!$P$14*('4. NPV'!AT$8-'4. NPV'!AT$65))*(1+'2. Kalkyldata'!$M$9)^'5. IRR'!AT14</f>
        <v>0</v>
      </c>
      <c r="AU26" s="230">
        <f>IF(AU15="",0,-'2. Kalkyldata'!$P$14*('4. NPV'!AU$8-'4. NPV'!AU$65))*(1+'2. Kalkyldata'!$M$9)^'5. IRR'!AU14</f>
        <v>0</v>
      </c>
      <c r="AV26" s="230">
        <f>IF(AV15="",0,-'2. Kalkyldata'!$P$14*('4. NPV'!AV$8-'4. NPV'!AV$65))*(1+'2. Kalkyldata'!$M$9)^'5. IRR'!AV14</f>
        <v>0</v>
      </c>
      <c r="AW26" s="230">
        <f>IF(AW15="",0,-'2. Kalkyldata'!$P$14*('4. NPV'!AW$8-'4. NPV'!AW$65))*(1+'2. Kalkyldata'!$M$9)^'5. IRR'!AW14</f>
        <v>0</v>
      </c>
      <c r="AX26" s="230">
        <f>IF(AX15="",0,-'2. Kalkyldata'!$P$14*('4. NPV'!AX$8-'4. NPV'!AX$65))*(1+'2. Kalkyldata'!$M$9)^'5. IRR'!AX14</f>
        <v>0</v>
      </c>
      <c r="AY26" s="230">
        <f>IF(AY15="",0,-'2. Kalkyldata'!$P$14*('4. NPV'!AY$8-'4. NPV'!AY$65))*(1+'2. Kalkyldata'!$M$9)^'5. IRR'!AY14</f>
        <v>0</v>
      </c>
      <c r="AZ26" s="230">
        <f>IF(AZ15="",0,-'2. Kalkyldata'!$P$14*('4. NPV'!AZ$8-'4. NPV'!AZ$65))*(1+'2. Kalkyldata'!$M$9)^'5. IRR'!AZ14</f>
        <v>0</v>
      </c>
      <c r="BA26" s="230">
        <f>IF(BA15="",0,-'2. Kalkyldata'!$P$14*('4. NPV'!BA$8-'4. NPV'!BA$65))*(1+'2. Kalkyldata'!$M$9)^'5. IRR'!BA14</f>
        <v>0</v>
      </c>
    </row>
    <row r="27" spans="1:53">
      <c r="A27" s="506"/>
      <c r="B27" s="229" t="s">
        <v>271</v>
      </c>
      <c r="C27" s="229"/>
      <c r="D27" s="230">
        <f t="shared" ref="D27:AI27" si="3">IF(IF(D$18&lt;=0,0,D$18-D$8)&lt;=0,0,IF(D$18&lt;=0,0,D$18-D$8))</f>
        <v>0</v>
      </c>
      <c r="E27" s="230">
        <f t="shared" si="3"/>
        <v>0</v>
      </c>
      <c r="F27" s="230">
        <f t="shared" si="3"/>
        <v>0</v>
      </c>
      <c r="G27" s="230">
        <f t="shared" si="3"/>
        <v>0</v>
      </c>
      <c r="H27" s="230">
        <f t="shared" si="3"/>
        <v>0</v>
      </c>
      <c r="I27" s="230">
        <f t="shared" si="3"/>
        <v>0</v>
      </c>
      <c r="J27" s="230">
        <f t="shared" si="3"/>
        <v>0</v>
      </c>
      <c r="K27" s="230">
        <f t="shared" si="3"/>
        <v>0</v>
      </c>
      <c r="L27" s="230">
        <f t="shared" si="3"/>
        <v>0</v>
      </c>
      <c r="M27" s="230">
        <f t="shared" si="3"/>
        <v>0</v>
      </c>
      <c r="N27" s="230">
        <f t="shared" si="3"/>
        <v>0</v>
      </c>
      <c r="O27" s="230">
        <f t="shared" si="3"/>
        <v>0</v>
      </c>
      <c r="P27" s="230">
        <f t="shared" si="3"/>
        <v>0</v>
      </c>
      <c r="Q27" s="230">
        <f t="shared" si="3"/>
        <v>0</v>
      </c>
      <c r="R27" s="230">
        <f t="shared" si="3"/>
        <v>0</v>
      </c>
      <c r="S27" s="230">
        <f t="shared" si="3"/>
        <v>0</v>
      </c>
      <c r="T27" s="230">
        <f t="shared" si="3"/>
        <v>0</v>
      </c>
      <c r="U27" s="230">
        <f t="shared" si="3"/>
        <v>0</v>
      </c>
      <c r="V27" s="230">
        <f t="shared" si="3"/>
        <v>0</v>
      </c>
      <c r="W27" s="230">
        <f t="shared" ca="1" si="3"/>
        <v>173954545.45454544</v>
      </c>
      <c r="X27" s="230">
        <f t="shared" si="3"/>
        <v>0</v>
      </c>
      <c r="Y27" s="230">
        <f t="shared" si="3"/>
        <v>0</v>
      </c>
      <c r="Z27" s="230">
        <f t="shared" si="3"/>
        <v>0</v>
      </c>
      <c r="AA27" s="230">
        <f t="shared" si="3"/>
        <v>0</v>
      </c>
      <c r="AB27" s="230">
        <f t="shared" si="3"/>
        <v>0</v>
      </c>
      <c r="AC27" s="230">
        <f t="shared" si="3"/>
        <v>0</v>
      </c>
      <c r="AD27" s="230">
        <f t="shared" si="3"/>
        <v>0</v>
      </c>
      <c r="AE27" s="230">
        <f t="shared" si="3"/>
        <v>0</v>
      </c>
      <c r="AF27" s="230">
        <f t="shared" si="3"/>
        <v>0</v>
      </c>
      <c r="AG27" s="230">
        <f t="shared" si="3"/>
        <v>0</v>
      </c>
      <c r="AH27" s="230">
        <f t="shared" si="3"/>
        <v>0</v>
      </c>
      <c r="AI27" s="230">
        <f t="shared" si="3"/>
        <v>0</v>
      </c>
      <c r="AJ27" s="230">
        <f t="shared" ref="AJ27:BA27" si="4">IF(IF(AJ$18&lt;=0,0,AJ$18-AJ$8)&lt;=0,0,IF(AJ$18&lt;=0,0,AJ$18-AJ$8))</f>
        <v>0</v>
      </c>
      <c r="AK27" s="230">
        <f t="shared" si="4"/>
        <v>0</v>
      </c>
      <c r="AL27" s="230">
        <f t="shared" si="4"/>
        <v>0</v>
      </c>
      <c r="AM27" s="230">
        <f t="shared" si="4"/>
        <v>0</v>
      </c>
      <c r="AN27" s="230">
        <f t="shared" si="4"/>
        <v>0</v>
      </c>
      <c r="AO27" s="230">
        <f t="shared" si="4"/>
        <v>0</v>
      </c>
      <c r="AP27" s="230">
        <f t="shared" si="4"/>
        <v>0</v>
      </c>
      <c r="AQ27" s="230">
        <f t="shared" si="4"/>
        <v>0</v>
      </c>
      <c r="AR27" s="230">
        <f t="shared" si="4"/>
        <v>0</v>
      </c>
      <c r="AS27" s="230">
        <f t="shared" si="4"/>
        <v>0</v>
      </c>
      <c r="AT27" s="230">
        <f t="shared" si="4"/>
        <v>0</v>
      </c>
      <c r="AU27" s="230">
        <f t="shared" si="4"/>
        <v>0</v>
      </c>
      <c r="AV27" s="230">
        <f t="shared" si="4"/>
        <v>0</v>
      </c>
      <c r="AW27" s="230">
        <f t="shared" si="4"/>
        <v>0</v>
      </c>
      <c r="AX27" s="230">
        <f t="shared" si="4"/>
        <v>0</v>
      </c>
      <c r="AY27" s="230">
        <f t="shared" si="4"/>
        <v>0</v>
      </c>
      <c r="AZ27" s="230">
        <f t="shared" si="4"/>
        <v>0</v>
      </c>
      <c r="BA27" s="230">
        <f t="shared" si="4"/>
        <v>0</v>
      </c>
    </row>
    <row r="28" spans="1:53" ht="15">
      <c r="A28" s="19"/>
      <c r="B28" s="421" t="s">
        <v>272</v>
      </c>
      <c r="C28" s="421"/>
      <c r="D28" s="423">
        <f t="shared" ref="D28:AI28" ca="1" si="5">IFERROR(D23+SUM(D24:D27),0)</f>
        <v>13206500</v>
      </c>
      <c r="E28" s="423">
        <f t="shared" ca="1" si="5"/>
        <v>13363684.800000001</v>
      </c>
      <c r="F28" s="423">
        <f t="shared" ca="1" si="5"/>
        <v>13532610.636</v>
      </c>
      <c r="G28" s="423">
        <f t="shared" ca="1" si="5"/>
        <v>13703538.118680002</v>
      </c>
      <c r="H28" s="423">
        <f t="shared" ca="1" si="5"/>
        <v>13876488.004793044</v>
      </c>
      <c r="I28" s="423">
        <f t="shared" ca="1" si="5"/>
        <v>14051481.196360698</v>
      </c>
      <c r="J28" s="423">
        <f t="shared" ca="1" si="5"/>
        <v>14228538.739800308</v>
      </c>
      <c r="K28" s="423">
        <f t="shared" ca="1" si="5"/>
        <v>14407681.824981891</v>
      </c>
      <c r="L28" s="423">
        <f t="shared" ca="1" si="5"/>
        <v>14588931.7842125</v>
      </c>
      <c r="M28" s="423">
        <f t="shared" ca="1" si="5"/>
        <v>14772310.091145951</v>
      </c>
      <c r="N28" s="423">
        <f t="shared" ca="1" si="5"/>
        <v>14957838.359615562</v>
      </c>
      <c r="O28" s="423">
        <f t="shared" ca="1" si="5"/>
        <v>15145538.342387618</v>
      </c>
      <c r="P28" s="423">
        <f t="shared" ca="1" si="5"/>
        <v>15335431.929833237</v>
      </c>
      <c r="Q28" s="423">
        <f t="shared" ca="1" si="5"/>
        <v>15527541.14851613</v>
      </c>
      <c r="R28" s="423">
        <f t="shared" ca="1" si="5"/>
        <v>15721888.159693893</v>
      </c>
      <c r="S28" s="423">
        <f t="shared" ca="1" si="5"/>
        <v>15918495.257730117</v>
      </c>
      <c r="T28" s="423">
        <f t="shared" ca="1" si="5"/>
        <v>16117384.868414858</v>
      </c>
      <c r="U28" s="423">
        <f t="shared" ca="1" si="5"/>
        <v>16318579.547190716</v>
      </c>
      <c r="V28" s="423">
        <f t="shared" ca="1" si="5"/>
        <v>16522101.977281792</v>
      </c>
      <c r="W28" s="423">
        <f t="shared" ca="1" si="5"/>
        <v>190682520.42226821</v>
      </c>
      <c r="X28" s="423">
        <f t="shared" si="5"/>
        <v>0</v>
      </c>
      <c r="Y28" s="423">
        <f t="shared" si="5"/>
        <v>0</v>
      </c>
      <c r="Z28" s="423">
        <f t="shared" si="5"/>
        <v>0</v>
      </c>
      <c r="AA28" s="423">
        <f t="shared" si="5"/>
        <v>0</v>
      </c>
      <c r="AB28" s="423">
        <f t="shared" si="5"/>
        <v>0</v>
      </c>
      <c r="AC28" s="423">
        <f t="shared" si="5"/>
        <v>0</v>
      </c>
      <c r="AD28" s="423">
        <f t="shared" si="5"/>
        <v>0</v>
      </c>
      <c r="AE28" s="423">
        <f t="shared" si="5"/>
        <v>0</v>
      </c>
      <c r="AF28" s="423">
        <f t="shared" si="5"/>
        <v>0</v>
      </c>
      <c r="AG28" s="423">
        <f t="shared" si="5"/>
        <v>0</v>
      </c>
      <c r="AH28" s="423">
        <f t="shared" si="5"/>
        <v>0</v>
      </c>
      <c r="AI28" s="423">
        <f t="shared" si="5"/>
        <v>0</v>
      </c>
      <c r="AJ28" s="423">
        <f t="shared" ref="AJ28:BA28" si="6">IFERROR(AJ23+SUM(AJ24:AJ27),0)</f>
        <v>0</v>
      </c>
      <c r="AK28" s="423">
        <f t="shared" si="6"/>
        <v>0</v>
      </c>
      <c r="AL28" s="423">
        <f t="shared" si="6"/>
        <v>0</v>
      </c>
      <c r="AM28" s="423">
        <f t="shared" si="6"/>
        <v>0</v>
      </c>
      <c r="AN28" s="423">
        <f t="shared" si="6"/>
        <v>0</v>
      </c>
      <c r="AO28" s="423">
        <f t="shared" si="6"/>
        <v>0</v>
      </c>
      <c r="AP28" s="423">
        <f t="shared" si="6"/>
        <v>0</v>
      </c>
      <c r="AQ28" s="423">
        <f t="shared" si="6"/>
        <v>0</v>
      </c>
      <c r="AR28" s="423">
        <f t="shared" si="6"/>
        <v>0</v>
      </c>
      <c r="AS28" s="423">
        <f t="shared" si="6"/>
        <v>0</v>
      </c>
      <c r="AT28" s="423">
        <f t="shared" si="6"/>
        <v>0</v>
      </c>
      <c r="AU28" s="423">
        <f t="shared" si="6"/>
        <v>0</v>
      </c>
      <c r="AV28" s="423">
        <f t="shared" si="6"/>
        <v>0</v>
      </c>
      <c r="AW28" s="423">
        <f t="shared" si="6"/>
        <v>0</v>
      </c>
      <c r="AX28" s="423">
        <f t="shared" si="6"/>
        <v>0</v>
      </c>
      <c r="AY28" s="423">
        <f t="shared" si="6"/>
        <v>0</v>
      </c>
      <c r="AZ28" s="423">
        <f t="shared" si="6"/>
        <v>0</v>
      </c>
      <c r="BA28" s="423">
        <f t="shared" si="6"/>
        <v>0</v>
      </c>
    </row>
    <row r="29" spans="1:53" ht="15">
      <c r="A29" s="19"/>
      <c r="B29" s="229" t="s">
        <v>273</v>
      </c>
      <c r="C29" s="228"/>
      <c r="D29" s="230">
        <f>IF(D15="","",'3. Finansiering'!D$47)</f>
        <v>-7272727.2727272715</v>
      </c>
      <c r="E29" s="230">
        <f>IF(E15="","",'3. Finansiering'!E$47)</f>
        <v>-7272727.2727272715</v>
      </c>
      <c r="F29" s="230">
        <f>IF(F15="","",'3. Finansiering'!F$47)</f>
        <v>-7272727.2727272715</v>
      </c>
      <c r="G29" s="230">
        <f>IF(G15="","",'3. Finansiering'!G$47)</f>
        <v>-7272727.2727272715</v>
      </c>
      <c r="H29" s="230">
        <f>IF(H15="","",'3. Finansiering'!H$47)</f>
        <v>-7272727.2727272715</v>
      </c>
      <c r="I29" s="230">
        <f>IF(I15="","",'3. Finansiering'!I$47)</f>
        <v>-7272727.2727272715</v>
      </c>
      <c r="J29" s="230">
        <f>IF(J15="","",'3. Finansiering'!J$47)</f>
        <v>-7272727.2727272715</v>
      </c>
      <c r="K29" s="230">
        <f>IF(K15="","",'3. Finansiering'!K$47)</f>
        <v>-7272727.2727272715</v>
      </c>
      <c r="L29" s="230">
        <f>IF(L15="","",'3. Finansiering'!L$47)</f>
        <v>-7272727.2727272715</v>
      </c>
      <c r="M29" s="230">
        <f>IF(M15="","",'3. Finansiering'!M$47)</f>
        <v>-7272727.2727272715</v>
      </c>
      <c r="N29" s="230">
        <f>IF(N15="","",'3. Finansiering'!N$47)</f>
        <v>-7272727.2727272715</v>
      </c>
      <c r="O29" s="230">
        <f>IF(O15="","",'3. Finansiering'!O$47)</f>
        <v>-7272727.2727272715</v>
      </c>
      <c r="P29" s="230">
        <f>IF(P15="","",'3. Finansiering'!P$47)</f>
        <v>-7272727.2727272715</v>
      </c>
      <c r="Q29" s="230">
        <f>IF(Q15="","",'3. Finansiering'!Q$47)</f>
        <v>-7272727.2727272715</v>
      </c>
      <c r="R29" s="230">
        <f>IF(R15="","",'3. Finansiering'!R$47)</f>
        <v>-7272727.2727272715</v>
      </c>
      <c r="S29" s="230">
        <f>IF(S15="","",'3. Finansiering'!S$47)</f>
        <v>-7272727.2727272715</v>
      </c>
      <c r="T29" s="230">
        <f>IF(T15="","",'3. Finansiering'!T$47)</f>
        <v>-7272727.2727272715</v>
      </c>
      <c r="U29" s="230">
        <f>IF(U15="","",'3. Finansiering'!U$47)</f>
        <v>-7272727.2727272715</v>
      </c>
      <c r="V29" s="230">
        <f>IF(V15="","",'3. Finansiering'!V$47)</f>
        <v>-7272727.2727272715</v>
      </c>
      <c r="W29" s="230">
        <f>IF(W15="","",'3. Finansiering'!W$47)</f>
        <v>-7272727.2727272715</v>
      </c>
      <c r="X29" s="449" t="str">
        <f>IF(X15="","",'3. Finansiering'!X$47)</f>
        <v/>
      </c>
      <c r="Y29" s="449" t="str">
        <f>IF(Y15="","",'3. Finansiering'!Y$47)</f>
        <v/>
      </c>
      <c r="Z29" s="449" t="str">
        <f>IF(Z15="","",'3. Finansiering'!Z$47)</f>
        <v/>
      </c>
      <c r="AA29" s="449" t="str">
        <f>IF(AA15="","",'3. Finansiering'!AA$47)</f>
        <v/>
      </c>
      <c r="AB29" s="449" t="str">
        <f>IF(AB15="","",'3. Finansiering'!AB$47)</f>
        <v/>
      </c>
      <c r="AC29" s="449" t="str">
        <f>IF(AC15="","",'3. Finansiering'!AC$47)</f>
        <v/>
      </c>
      <c r="AD29" s="449" t="str">
        <f>IF(AD15="","",'3. Finansiering'!AD$47)</f>
        <v/>
      </c>
      <c r="AE29" s="449" t="str">
        <f>IF(AE15="","",'3. Finansiering'!AE$47)</f>
        <v/>
      </c>
      <c r="AF29" s="449" t="str">
        <f>IF(AF15="","",'3. Finansiering'!AF$47)</f>
        <v/>
      </c>
      <c r="AG29" s="449" t="str">
        <f>IF(AG15="","",'3. Finansiering'!AG$47)</f>
        <v/>
      </c>
      <c r="AH29" s="449" t="str">
        <f>IF(AH15="","",'3. Finansiering'!AH$47)</f>
        <v/>
      </c>
      <c r="AI29" s="449" t="str">
        <f>IF(AI15="","",'3. Finansiering'!AI$47)</f>
        <v/>
      </c>
      <c r="AJ29" s="449" t="str">
        <f>IF(AJ15="","",'3. Finansiering'!AJ$47)</f>
        <v/>
      </c>
      <c r="AK29" s="449" t="str">
        <f>IF(AK15="","",'3. Finansiering'!AK$47)</f>
        <v/>
      </c>
      <c r="AL29" s="449" t="str">
        <f>IF(AL15="","",'3. Finansiering'!AL$47)</f>
        <v/>
      </c>
      <c r="AM29" s="449" t="str">
        <f>IF(AM15="","",'3. Finansiering'!AM$47)</f>
        <v/>
      </c>
      <c r="AN29" s="449" t="str">
        <f>IF(AN15="","",'3. Finansiering'!AN$47)</f>
        <v/>
      </c>
      <c r="AO29" s="449" t="str">
        <f>IF(AO15="","",'3. Finansiering'!AO$47)</f>
        <v/>
      </c>
      <c r="AP29" s="449" t="str">
        <f>IF(AP15="","",'3. Finansiering'!AP$47)</f>
        <v/>
      </c>
      <c r="AQ29" s="449" t="str">
        <f>IF(AQ15="","",'3. Finansiering'!AQ$47)</f>
        <v/>
      </c>
      <c r="AR29" s="449" t="str">
        <f>IF(AR15="","",'3. Finansiering'!AR$47)</f>
        <v/>
      </c>
      <c r="AS29" s="449" t="str">
        <f>IF(AS15="","",'3. Finansiering'!AS$47)</f>
        <v/>
      </c>
      <c r="AT29" s="449" t="str">
        <f>IF(AT15="","",'3. Finansiering'!AT$47)</f>
        <v/>
      </c>
      <c r="AU29" s="449" t="str">
        <f>IF(AU15="","",'3. Finansiering'!AU$47)</f>
        <v/>
      </c>
      <c r="AV29" s="449" t="str">
        <f>IF(AV15="","",'3. Finansiering'!AV$47)</f>
        <v/>
      </c>
      <c r="AW29" s="449" t="str">
        <f>IF(AW15="","",'3. Finansiering'!AW$47)</f>
        <v/>
      </c>
      <c r="AX29" s="449" t="str">
        <f>IF(AX15="","",'3. Finansiering'!AX$47)</f>
        <v/>
      </c>
      <c r="AY29" s="449" t="str">
        <f>IF(AY15="","",'3. Finansiering'!AY$47)</f>
        <v/>
      </c>
      <c r="AZ29" s="449" t="str">
        <f>IF(AZ15="","",'3. Finansiering'!AZ$47)</f>
        <v/>
      </c>
      <c r="BA29" s="449" t="str">
        <f>IF(BA15="","",'3. Finansiering'!BA$47)</f>
        <v/>
      </c>
    </row>
    <row r="30" spans="1:53">
      <c r="A30" s="506"/>
      <c r="B30" s="229" t="s">
        <v>215</v>
      </c>
      <c r="C30" s="229"/>
      <c r="D30" s="230">
        <f>IF(D15="","",IF(D15&lt;&gt;"",'3. Finansiering'!D$24,0))</f>
        <v>-2644375.1999999997</v>
      </c>
      <c r="E30" s="230">
        <f>IF(E15="","",IF(E15&lt;&gt;"",'3. Finansiering'!E$24,0))</f>
        <v>-2686128.9599999995</v>
      </c>
      <c r="F30" s="230">
        <f>IF(F15="","",IF(F15&lt;&gt;"",'3. Finansiering'!F$24,0))</f>
        <v>-2719997.28</v>
      </c>
      <c r="G30" s="230">
        <f>IF(G15="","",IF(G15&lt;&gt;"",'3. Finansiering'!G$24,0))</f>
        <v>-2745980.1599999992</v>
      </c>
      <c r="H30" s="230">
        <f>IF(H15="","",IF(H15&lt;&gt;"",'3. Finansiering'!H$24,0))</f>
        <v>-2764077.5999999996</v>
      </c>
      <c r="I30" s="230">
        <f>IF(I15="","",IF(I15&lt;&gt;"",'3. Finansiering'!I$24,0))</f>
        <v>-2774289.5999999996</v>
      </c>
      <c r="J30" s="230">
        <f>IF(J15="","",IF(J15&lt;&gt;"",'3. Finansiering'!J$24,0))</f>
        <v>-2776616.1599999992</v>
      </c>
      <c r="K30" s="230">
        <f>IF(K15="","",IF(K15&lt;&gt;"",'3. Finansiering'!K$24,0))</f>
        <v>-2771057.2799999993</v>
      </c>
      <c r="L30" s="230">
        <f>IF(L15="","",IF(L15&lt;&gt;"",'3. Finansiering'!L$24,0))</f>
        <v>-2757612.9599999995</v>
      </c>
      <c r="M30" s="230">
        <f>IF(M15="","",IF(M15&lt;&gt;"",'3. Finansiering'!M$24,0))</f>
        <v>-2736283.1999999997</v>
      </c>
      <c r="N30" s="230">
        <f>IF(N15="","",IF(N15&lt;&gt;"",'3. Finansiering'!N$24,0))</f>
        <v>-2707067.9999999991</v>
      </c>
      <c r="O30" s="230">
        <f>IF(O15="","",IF(O15&lt;&gt;"",'3. Finansiering'!O$24,0))</f>
        <v>-2585855.9999999991</v>
      </c>
      <c r="P30" s="230">
        <f>IF(P15="","",IF(P15&lt;&gt;"",'3. Finansiering'!P$24,0))</f>
        <v>-2464643.9999999995</v>
      </c>
      <c r="Q30" s="230">
        <f>IF(Q15="","",IF(Q15&lt;&gt;"",'3. Finansiering'!Q$24,0))</f>
        <v>-2343431.9999999995</v>
      </c>
      <c r="R30" s="230">
        <f>IF(R15="","",IF(R15&lt;&gt;"",'3. Finansiering'!R$24,0))</f>
        <v>-2222219.9999999995</v>
      </c>
      <c r="S30" s="230">
        <f>IF(S15="","",IF(S15&lt;&gt;"",'3. Finansiering'!S$24,0))</f>
        <v>-2101007.9999999995</v>
      </c>
      <c r="T30" s="230">
        <f>IF(T15="","",IF(T15&lt;&gt;"",'3. Finansiering'!T$24,0))</f>
        <v>-1979795.9999999995</v>
      </c>
      <c r="U30" s="230">
        <f>IF(U15="","",IF(U15&lt;&gt;"",'3. Finansiering'!U$24,0))</f>
        <v>-1858583.9999999995</v>
      </c>
      <c r="V30" s="230">
        <f>IF(V15="","",IF(V15&lt;&gt;"",'3. Finansiering'!V$24,0))</f>
        <v>-1737371.9999999995</v>
      </c>
      <c r="W30" s="230">
        <f>IF(W15="","",IF(W15&lt;&gt;"",'3. Finansiering'!W$24,0))</f>
        <v>-1616159.9999999995</v>
      </c>
      <c r="X30" s="230" t="str">
        <f>IF(X15="","",IF(X15&lt;&gt;"",'3. Finansiering'!X$24,0))</f>
        <v/>
      </c>
      <c r="Y30" s="230" t="str">
        <f>IF(Y15="","",IF(Y15&lt;&gt;"",'3. Finansiering'!Y$24,0))</f>
        <v/>
      </c>
      <c r="Z30" s="230" t="str">
        <f>IF(Z15="","",IF(Z15&lt;&gt;"",'3. Finansiering'!Z$24,0))</f>
        <v/>
      </c>
      <c r="AA30" s="230" t="str">
        <f>IF(AA15="","",IF(AA15&lt;&gt;"",'3. Finansiering'!AA$24,0))</f>
        <v/>
      </c>
      <c r="AB30" s="230" t="str">
        <f>IF(AB15="","",IF(AB15&lt;&gt;"",'3. Finansiering'!AB$24,0))</f>
        <v/>
      </c>
      <c r="AC30" s="230" t="str">
        <f>IF(AC15="","",IF(AC15&lt;&gt;"",'3. Finansiering'!AC$24,0))</f>
        <v/>
      </c>
      <c r="AD30" s="230" t="str">
        <f>IF(AD15="","",IF(AD15&lt;&gt;"",'3. Finansiering'!AD$24,0))</f>
        <v/>
      </c>
      <c r="AE30" s="230" t="str">
        <f>IF(AE15="","",IF(AE15&lt;&gt;"",'3. Finansiering'!AE$24,0))</f>
        <v/>
      </c>
      <c r="AF30" s="230" t="str">
        <f>IF(AF15="","",IF(AF15&lt;&gt;"",'3. Finansiering'!AF$24,0))</f>
        <v/>
      </c>
      <c r="AG30" s="230" t="str">
        <f>IF(AG15="","",IF(AG15&lt;&gt;"",'3. Finansiering'!AG$24,0))</f>
        <v/>
      </c>
      <c r="AH30" s="230" t="str">
        <f>IF(AH15="","",IF(AH15&lt;&gt;"",'3. Finansiering'!AH$24,0))</f>
        <v/>
      </c>
      <c r="AI30" s="230" t="str">
        <f>IF(AI15="","",IF(AI15&lt;&gt;"",'3. Finansiering'!AI$24,0))</f>
        <v/>
      </c>
      <c r="AJ30" s="230" t="str">
        <f>IF(AJ15="","",IF(AJ15&lt;&gt;"",'3. Finansiering'!AJ$24,0))</f>
        <v/>
      </c>
      <c r="AK30" s="230" t="str">
        <f>IF(AK15="","",IF(AK15&lt;&gt;"",'3. Finansiering'!AK$24,0))</f>
        <v/>
      </c>
      <c r="AL30" s="230" t="str">
        <f>IF(AL15="","",IF(AL15&lt;&gt;"",'3. Finansiering'!AL$24,0))</f>
        <v/>
      </c>
      <c r="AM30" s="230" t="str">
        <f>IF(AM15="","",IF(AM15&lt;&gt;"",'3. Finansiering'!AM$24,0))</f>
        <v/>
      </c>
      <c r="AN30" s="230" t="str">
        <f>IF(AN15="","",IF(AN15&lt;&gt;"",'3. Finansiering'!AN$24,0))</f>
        <v/>
      </c>
      <c r="AO30" s="230" t="str">
        <f>IF(AO15="","",IF(AO15&lt;&gt;"",'3. Finansiering'!AO$24,0))</f>
        <v/>
      </c>
      <c r="AP30" s="230" t="str">
        <f>IF(AP15="","",IF(AP15&lt;&gt;"",'3. Finansiering'!AP$24,0))</f>
        <v/>
      </c>
      <c r="AQ30" s="230" t="str">
        <f>IF(AQ15="","",IF(AQ15&lt;&gt;"",'3. Finansiering'!AQ$24,0))</f>
        <v/>
      </c>
      <c r="AR30" s="230" t="str">
        <f>IF(AR15="","",IF(AR15&lt;&gt;"",'3. Finansiering'!AR$24,0))</f>
        <v/>
      </c>
      <c r="AS30" s="230" t="str">
        <f>IF(AS15="","",IF(AS15&lt;&gt;"",'3. Finansiering'!AS$24,0))</f>
        <v/>
      </c>
      <c r="AT30" s="230" t="str">
        <f>IF(AT15="","",IF(AT15&lt;&gt;"",'3. Finansiering'!AT$24,0))</f>
        <v/>
      </c>
      <c r="AU30" s="230" t="str">
        <f>IF(AU15="","",IF(AU15&lt;&gt;"",'3. Finansiering'!AU$24,0))</f>
        <v/>
      </c>
      <c r="AV30" s="230" t="str">
        <f>IF(AV15="","",IF(AV15&lt;&gt;"",'3. Finansiering'!AV$24,0))</f>
        <v/>
      </c>
      <c r="AW30" s="230" t="str">
        <f>IF(AW15="","",IF(AW15&lt;&gt;"",'3. Finansiering'!AW$24,0))</f>
        <v/>
      </c>
      <c r="AX30" s="230" t="str">
        <f>IF(AX15="","",IF(AX15&lt;&gt;"",'3. Finansiering'!AX$24,0))</f>
        <v/>
      </c>
      <c r="AY30" s="230" t="str">
        <f>IF(AY15="","",IF(AY15&lt;&gt;"",'3. Finansiering'!AY$24,0))</f>
        <v/>
      </c>
      <c r="AZ30" s="230" t="str">
        <f>IF(AZ15="","",IF(AZ15&lt;&gt;"",'3. Finansiering'!AZ$24,0))</f>
        <v/>
      </c>
      <c r="BA30" s="230" t="str">
        <f>IF(BA15="","",IF(BA15&lt;&gt;"",'3. Finansiering'!BA$24,0))</f>
        <v/>
      </c>
    </row>
    <row r="31" spans="1:53" ht="15">
      <c r="A31" s="19"/>
      <c r="B31" s="334" t="s">
        <v>274</v>
      </c>
      <c r="C31" s="334"/>
      <c r="D31" s="335">
        <f ca="1">D28+SUM(D29:D30)</f>
        <v>3289397.5272727292</v>
      </c>
      <c r="E31" s="335">
        <f t="shared" ref="E31:BA31" ca="1" si="7">E28+SUM(E29:E30)</f>
        <v>3404828.5672727302</v>
      </c>
      <c r="F31" s="335">
        <f t="shared" ca="1" si="7"/>
        <v>3539886.0832727291</v>
      </c>
      <c r="G31" s="335">
        <f t="shared" ca="1" si="7"/>
        <v>3684830.6859527323</v>
      </c>
      <c r="H31" s="335">
        <f t="shared" ca="1" si="7"/>
        <v>3839683.132065773</v>
      </c>
      <c r="I31" s="335">
        <f t="shared" ca="1" si="7"/>
        <v>4004464.3236334268</v>
      </c>
      <c r="J31" s="335">
        <f t="shared" ca="1" si="7"/>
        <v>4179195.3070730381</v>
      </c>
      <c r="K31" s="335">
        <f t="shared" ca="1" si="7"/>
        <v>4363897.2722546197</v>
      </c>
      <c r="L31" s="335">
        <f t="shared" ca="1" si="7"/>
        <v>4558591.5514852293</v>
      </c>
      <c r="M31" s="335">
        <f t="shared" ca="1" si="7"/>
        <v>4763299.6184186805</v>
      </c>
      <c r="N31" s="335">
        <f t="shared" ca="1" si="7"/>
        <v>4978043.0868882928</v>
      </c>
      <c r="O31" s="335">
        <f t="shared" ca="1" si="7"/>
        <v>5286955.0696603488</v>
      </c>
      <c r="P31" s="335">
        <f t="shared" ca="1" si="7"/>
        <v>5598060.6571059655</v>
      </c>
      <c r="Q31" s="335">
        <f t="shared" ca="1" si="7"/>
        <v>5911381.8757888582</v>
      </c>
      <c r="R31" s="335">
        <f t="shared" ca="1" si="7"/>
        <v>6226940.8869666215</v>
      </c>
      <c r="S31" s="335">
        <f t="shared" ca="1" si="7"/>
        <v>6544759.9850028455</v>
      </c>
      <c r="T31" s="335">
        <f t="shared" ca="1" si="7"/>
        <v>6864861.5956875868</v>
      </c>
      <c r="U31" s="335">
        <f t="shared" ca="1" si="7"/>
        <v>7187268.2744634449</v>
      </c>
      <c r="V31" s="335">
        <f t="shared" ca="1" si="7"/>
        <v>7512002.7045545205</v>
      </c>
      <c r="W31" s="335">
        <f t="shared" ca="1" si="7"/>
        <v>181793633.14954093</v>
      </c>
      <c r="X31" s="335">
        <f t="shared" si="7"/>
        <v>0</v>
      </c>
      <c r="Y31" s="335">
        <f t="shared" si="7"/>
        <v>0</v>
      </c>
      <c r="Z31" s="335">
        <f t="shared" si="7"/>
        <v>0</v>
      </c>
      <c r="AA31" s="335">
        <f t="shared" si="7"/>
        <v>0</v>
      </c>
      <c r="AB31" s="335">
        <f t="shared" si="7"/>
        <v>0</v>
      </c>
      <c r="AC31" s="335">
        <f t="shared" si="7"/>
        <v>0</v>
      </c>
      <c r="AD31" s="335">
        <f t="shared" si="7"/>
        <v>0</v>
      </c>
      <c r="AE31" s="335">
        <f t="shared" si="7"/>
        <v>0</v>
      </c>
      <c r="AF31" s="335">
        <f t="shared" si="7"/>
        <v>0</v>
      </c>
      <c r="AG31" s="335">
        <f t="shared" si="7"/>
        <v>0</v>
      </c>
      <c r="AH31" s="335">
        <f t="shared" si="7"/>
        <v>0</v>
      </c>
      <c r="AI31" s="335">
        <f t="shared" si="7"/>
        <v>0</v>
      </c>
      <c r="AJ31" s="335">
        <f t="shared" si="7"/>
        <v>0</v>
      </c>
      <c r="AK31" s="335">
        <f t="shared" si="7"/>
        <v>0</v>
      </c>
      <c r="AL31" s="335">
        <f t="shared" si="7"/>
        <v>0</v>
      </c>
      <c r="AM31" s="335">
        <f t="shared" si="7"/>
        <v>0</v>
      </c>
      <c r="AN31" s="335">
        <f t="shared" si="7"/>
        <v>0</v>
      </c>
      <c r="AO31" s="335">
        <f t="shared" si="7"/>
        <v>0</v>
      </c>
      <c r="AP31" s="335">
        <f t="shared" si="7"/>
        <v>0</v>
      </c>
      <c r="AQ31" s="335">
        <f t="shared" si="7"/>
        <v>0</v>
      </c>
      <c r="AR31" s="335">
        <f t="shared" si="7"/>
        <v>0</v>
      </c>
      <c r="AS31" s="335">
        <f t="shared" si="7"/>
        <v>0</v>
      </c>
      <c r="AT31" s="335">
        <f t="shared" si="7"/>
        <v>0</v>
      </c>
      <c r="AU31" s="335">
        <f t="shared" si="7"/>
        <v>0</v>
      </c>
      <c r="AV31" s="335">
        <f t="shared" si="7"/>
        <v>0</v>
      </c>
      <c r="AW31" s="335">
        <f t="shared" si="7"/>
        <v>0</v>
      </c>
      <c r="AX31" s="335">
        <f t="shared" si="7"/>
        <v>0</v>
      </c>
      <c r="AY31" s="335">
        <f t="shared" si="7"/>
        <v>0</v>
      </c>
      <c r="AZ31" s="335">
        <f t="shared" si="7"/>
        <v>0</v>
      </c>
      <c r="BA31" s="335">
        <f t="shared" si="7"/>
        <v>0</v>
      </c>
    </row>
    <row r="32" spans="1:53">
      <c r="A32" s="506"/>
      <c r="B32" s="465" t="str">
        <f>CONCATENATE("Bolagsskatt, ",'2. Kalkyldata'!M16*100,"%")</f>
        <v>Bolagsskatt, 20,6%</v>
      </c>
      <c r="C32" s="465"/>
      <c r="D32" s="466">
        <f ca="1">IF(D15="","",IF(D$31&lt;=0,0,(-(D$31)*'2. Kalkyldata'!$M$16)))</f>
        <v>-677615.89061818214</v>
      </c>
      <c r="E32" s="466">
        <f ca="1">IF(E15="","",IF(E$31&lt;=0,0,(-(E$31)*'2. Kalkyldata'!$M$16)))</f>
        <v>-701394.68485818233</v>
      </c>
      <c r="F32" s="466">
        <f ca="1">IF(F15="","",IF(F$31&lt;=0,0,(-(F$31)*'2. Kalkyldata'!$M$16)))</f>
        <v>-729216.53315418214</v>
      </c>
      <c r="G32" s="466">
        <f ca="1">IF(G15="","",IF(G$31&lt;=0,0,(-(G$31)*'2. Kalkyldata'!$M$16)))</f>
        <v>-759075.12130626279</v>
      </c>
      <c r="H32" s="466">
        <f ca="1">IF(H15="","",IF(H$31&lt;=0,0,(-(H$31)*'2. Kalkyldata'!$M$16)))</f>
        <v>-790974.72520554916</v>
      </c>
      <c r="I32" s="466">
        <f ca="1">IF(I15="","",IF(I$31&lt;=0,0,(-(I$31)*'2. Kalkyldata'!$M$16)))</f>
        <v>-824919.65066848591</v>
      </c>
      <c r="J32" s="466">
        <f ca="1">IF(J15="","",IF(J$31&lt;=0,0,(-(J$31)*'2. Kalkyldata'!$M$16)))</f>
        <v>-860914.23325704585</v>
      </c>
      <c r="K32" s="466">
        <f ca="1">IF(K15="","",IF(K$31&lt;=0,0,(-(K$31)*'2. Kalkyldata'!$M$16)))</f>
        <v>-898962.83808445162</v>
      </c>
      <c r="L32" s="466">
        <f ca="1">IF(L15="","",IF(L$31&lt;=0,0,(-(L$31)*'2. Kalkyldata'!$M$16)))</f>
        <v>-939069.85960595717</v>
      </c>
      <c r="M32" s="466">
        <f ca="1">IF(M15="","",IF(M$31&lt;=0,0,(-(M$31)*'2. Kalkyldata'!$M$16)))</f>
        <v>-981239.72139424807</v>
      </c>
      <c r="N32" s="466">
        <f ca="1">IF(N15="","",IF(N$31&lt;=0,0,(-(N$31)*'2. Kalkyldata'!$M$16)))</f>
        <v>-1025476.8758989882</v>
      </c>
      <c r="O32" s="466">
        <f ca="1">IF(O15="","",IF(O$31&lt;=0,0,(-(O$31)*'2. Kalkyldata'!$M$16)))</f>
        <v>-1089112.7443500317</v>
      </c>
      <c r="P32" s="466">
        <f ca="1">IF(P15="","",IF(P$31&lt;=0,0,(-(P$31)*'2. Kalkyldata'!$M$16)))</f>
        <v>-1153200.4953638287</v>
      </c>
      <c r="Q32" s="466">
        <f ca="1">IF(Q15="","",IF(Q$31&lt;=0,0,(-(Q$31)*'2. Kalkyldata'!$M$16)))</f>
        <v>-1217744.6664125046</v>
      </c>
      <c r="R32" s="466">
        <f ca="1">IF(R15="","",IF(R$31&lt;=0,0,(-(R$31)*'2. Kalkyldata'!$M$16)))</f>
        <v>-1282749.8227151239</v>
      </c>
      <c r="S32" s="466">
        <f ca="1">IF(S15="","",IF(S$31&lt;=0,0,(-(S$31)*'2. Kalkyldata'!$M$16)))</f>
        <v>-1348220.5569105861</v>
      </c>
      <c r="T32" s="466">
        <f ca="1">IF(T15="","",IF(T$31&lt;=0,0,(-(T$31)*'2. Kalkyldata'!$M$16)))</f>
        <v>-1414161.4887116428</v>
      </c>
      <c r="U32" s="466">
        <f ca="1">IF(U15="","",IF(U$31&lt;=0,0,(-(U$31)*'2. Kalkyldata'!$M$16)))</f>
        <v>-1480577.2645394695</v>
      </c>
      <c r="V32" s="466">
        <f ca="1">IF(V15="","",IF(V$31&lt;=0,0,(-(V$31)*'2. Kalkyldata'!$M$16)))</f>
        <v>-1547472.5571382311</v>
      </c>
      <c r="W32" s="466">
        <f ca="1">IF(W15="","",IF(W$31&lt;=0,0,(-(W$31)*'2. Kalkyldata'!$M$16)))</f>
        <v>-37449488.428805433</v>
      </c>
      <c r="X32" s="466" t="str">
        <f>IF(X15="","",IF(X$31&lt;=0,0,(-(X$31)*'2. Kalkyldata'!$M$16)))</f>
        <v/>
      </c>
      <c r="Y32" s="466" t="str">
        <f>IF(Y15="","",IF(Y$31&lt;=0,0,(-(Y$31)*'2. Kalkyldata'!$M$16)))</f>
        <v/>
      </c>
      <c r="Z32" s="466" t="str">
        <f>IF(Z15="","",IF(Z$31&lt;=0,0,(-(Z$31)*'2. Kalkyldata'!$M$16)))</f>
        <v/>
      </c>
      <c r="AA32" s="466" t="str">
        <f>IF(AA15="","",IF(AA$31&lt;=0,0,(-(AA$31)*'2. Kalkyldata'!$M$16)))</f>
        <v/>
      </c>
      <c r="AB32" s="466" t="str">
        <f>IF(AB15="","",IF(AB$31&lt;=0,0,(-(AB$31)*'2. Kalkyldata'!$M$16)))</f>
        <v/>
      </c>
      <c r="AC32" s="466" t="str">
        <f>IF(AC15="","",IF(AC$31&lt;=0,0,(-(AC$31)*'2. Kalkyldata'!$M$16)))</f>
        <v/>
      </c>
      <c r="AD32" s="466" t="str">
        <f>IF(AD15="","",IF(AD$31&lt;=0,0,(-(AD$31)*'2. Kalkyldata'!$M$16)))</f>
        <v/>
      </c>
      <c r="AE32" s="466" t="str">
        <f>IF(AE15="","",IF(AE$31&lt;=0,0,(-(AE$31)*'2. Kalkyldata'!$M$16)))</f>
        <v/>
      </c>
      <c r="AF32" s="466" t="str">
        <f>IF(AF15="","",IF(AF$31&lt;=0,0,(-(AF$31)*'2. Kalkyldata'!$M$16)))</f>
        <v/>
      </c>
      <c r="AG32" s="466" t="str">
        <f>IF(AG15="","",IF(AG$31&lt;=0,0,(-(AG$31)*'2. Kalkyldata'!$M$16)))</f>
        <v/>
      </c>
      <c r="AH32" s="466" t="str">
        <f>IF(AH15="","",IF(AH$31&lt;=0,0,(-(AH$31)*'2. Kalkyldata'!$M$16)))</f>
        <v/>
      </c>
      <c r="AI32" s="466" t="str">
        <f>IF(AI15="","",IF(AI$31&lt;=0,0,(-(AI$31)*'2. Kalkyldata'!$M$16)))</f>
        <v/>
      </c>
      <c r="AJ32" s="466" t="str">
        <f>IF(AJ15="","",IF(AJ$31&lt;=0,0,(-(AJ$31)*'2. Kalkyldata'!$M$16)))</f>
        <v/>
      </c>
      <c r="AK32" s="466" t="str">
        <f>IF(AK15="","",IF(AK$31&lt;=0,0,(-(AK$31)*'2. Kalkyldata'!$M$16)))</f>
        <v/>
      </c>
      <c r="AL32" s="466" t="str">
        <f>IF(AL15="","",IF(AL$31&lt;=0,0,(-(AL$31)*'2. Kalkyldata'!$M$16)))</f>
        <v/>
      </c>
      <c r="AM32" s="466" t="str">
        <f>IF(AM15="","",IF(AM$31&lt;=0,0,(-(AM$31)*'2. Kalkyldata'!$M$16)))</f>
        <v/>
      </c>
      <c r="AN32" s="466" t="str">
        <f>IF(AN15="","",IF(AN$31&lt;=0,0,(-(AN$31)*'2. Kalkyldata'!$M$16)))</f>
        <v/>
      </c>
      <c r="AO32" s="466" t="str">
        <f>IF(AO15="","",IF(AO$31&lt;=0,0,(-(AO$31)*'2. Kalkyldata'!$M$16)))</f>
        <v/>
      </c>
      <c r="AP32" s="466" t="str">
        <f>IF(AP15="","",IF(AP$31&lt;=0,0,(-(AP$31)*'2. Kalkyldata'!$M$16)))</f>
        <v/>
      </c>
      <c r="AQ32" s="466" t="str">
        <f>IF(AQ15="","",IF(AQ$31&lt;=0,0,(-(AQ$31)*'2. Kalkyldata'!$M$16)))</f>
        <v/>
      </c>
      <c r="AR32" s="466" t="str">
        <f>IF(AR15="","",IF(AR$31&lt;=0,0,(-(AR$31)*'2. Kalkyldata'!$M$16)))</f>
        <v/>
      </c>
      <c r="AS32" s="466" t="str">
        <f>IF(AS15="","",IF(AS$31&lt;=0,0,(-(AS$31)*'2. Kalkyldata'!$M$16)))</f>
        <v/>
      </c>
      <c r="AT32" s="466" t="str">
        <f>IF(AT15="","",IF(AT$31&lt;=0,0,(-(AT$31)*'2. Kalkyldata'!$M$16)))</f>
        <v/>
      </c>
      <c r="AU32" s="466" t="str">
        <f>IF(AU15="","",IF(AU$31&lt;=0,0,(-(AU$31)*'2. Kalkyldata'!$M$16)))</f>
        <v/>
      </c>
      <c r="AV32" s="466" t="str">
        <f>IF(AV15="","",IF(AV$31&lt;=0,0,(-(AV$31)*'2. Kalkyldata'!$M$16)))</f>
        <v/>
      </c>
      <c r="AW32" s="466" t="str">
        <f>IF(AW15="","",IF(AW$31&lt;=0,0,(-(AW$31)*'2. Kalkyldata'!$M$16)))</f>
        <v/>
      </c>
      <c r="AX32" s="466" t="str">
        <f>IF(AX15="","",IF(AX$31&lt;=0,0,(-(AX$31)*'2. Kalkyldata'!$M$16)))</f>
        <v/>
      </c>
      <c r="AY32" s="466" t="str">
        <f>IF(AY15="","",IF(AY$31&lt;=0,0,(-(AY$31)*'2. Kalkyldata'!$M$16)))</f>
        <v/>
      </c>
      <c r="AZ32" s="466" t="str">
        <f>IF(AZ15="","",IF(AZ$31&lt;=0,0,(-(AZ$31)*'2. Kalkyldata'!$M$16)))</f>
        <v/>
      </c>
      <c r="BA32" s="466" t="str">
        <f>IF(BA15="","",IF(BA$31&lt;=0,0,(-(BA$31)*'2. Kalkyldata'!$M$16)))</f>
        <v/>
      </c>
    </row>
    <row r="33" spans="1:53" ht="15">
      <c r="A33" s="19"/>
      <c r="B33" s="421" t="s">
        <v>275</v>
      </c>
      <c r="C33" s="421"/>
      <c r="D33" s="423">
        <f t="shared" ref="D33:V33" ca="1" si="8">IFERROR(D$31+D$32,0)</f>
        <v>2611781.636654547</v>
      </c>
      <c r="E33" s="423">
        <f t="shared" ca="1" si="8"/>
        <v>2703433.8824145477</v>
      </c>
      <c r="F33" s="423">
        <f t="shared" ca="1" si="8"/>
        <v>2810669.5501185469</v>
      </c>
      <c r="G33" s="423">
        <f t="shared" ca="1" si="8"/>
        <v>2925755.5646464694</v>
      </c>
      <c r="H33" s="423">
        <f t="shared" ca="1" si="8"/>
        <v>3048708.406860224</v>
      </c>
      <c r="I33" s="423">
        <f t="shared" ca="1" si="8"/>
        <v>3179544.6729649408</v>
      </c>
      <c r="J33" s="423">
        <f t="shared" ca="1" si="8"/>
        <v>3318281.0738159921</v>
      </c>
      <c r="K33" s="423">
        <f t="shared" ca="1" si="8"/>
        <v>3464934.4341701679</v>
      </c>
      <c r="L33" s="423">
        <f t="shared" ca="1" si="8"/>
        <v>3619521.691879272</v>
      </c>
      <c r="M33" s="423">
        <f t="shared" ca="1" si="8"/>
        <v>3782059.8970244322</v>
      </c>
      <c r="N33" s="423">
        <f t="shared" ca="1" si="8"/>
        <v>3952566.2109893048</v>
      </c>
      <c r="O33" s="423">
        <f t="shared" ca="1" si="8"/>
        <v>4197842.3253103169</v>
      </c>
      <c r="P33" s="423">
        <f t="shared" ca="1" si="8"/>
        <v>4444860.1617421368</v>
      </c>
      <c r="Q33" s="423">
        <f t="shared" ca="1" si="8"/>
        <v>4693637.2093763538</v>
      </c>
      <c r="R33" s="423">
        <f t="shared" ca="1" si="8"/>
        <v>4944191.0642514974</v>
      </c>
      <c r="S33" s="423">
        <f t="shared" ca="1" si="8"/>
        <v>5196539.4280922599</v>
      </c>
      <c r="T33" s="423">
        <f t="shared" ca="1" si="8"/>
        <v>5450700.1069759438</v>
      </c>
      <c r="U33" s="423">
        <f t="shared" ca="1" si="8"/>
        <v>5706691.0099239759</v>
      </c>
      <c r="V33" s="423">
        <f t="shared" ca="1" si="8"/>
        <v>5964530.1474162899</v>
      </c>
      <c r="W33" s="423">
        <f ca="1">IFERROR(W$31+W$32,0)</f>
        <v>144344144.72073549</v>
      </c>
      <c r="X33" s="423">
        <f t="shared" ref="X33:BA33" si="9">IFERROR(X$31+X$32,0)</f>
        <v>0</v>
      </c>
      <c r="Y33" s="423">
        <f t="shared" si="9"/>
        <v>0</v>
      </c>
      <c r="Z33" s="423">
        <f t="shared" si="9"/>
        <v>0</v>
      </c>
      <c r="AA33" s="423">
        <f t="shared" si="9"/>
        <v>0</v>
      </c>
      <c r="AB33" s="423">
        <f t="shared" si="9"/>
        <v>0</v>
      </c>
      <c r="AC33" s="423">
        <f t="shared" si="9"/>
        <v>0</v>
      </c>
      <c r="AD33" s="423">
        <f t="shared" si="9"/>
        <v>0</v>
      </c>
      <c r="AE33" s="423">
        <f t="shared" si="9"/>
        <v>0</v>
      </c>
      <c r="AF33" s="423">
        <f t="shared" si="9"/>
        <v>0</v>
      </c>
      <c r="AG33" s="423">
        <f t="shared" si="9"/>
        <v>0</v>
      </c>
      <c r="AH33" s="423">
        <f t="shared" si="9"/>
        <v>0</v>
      </c>
      <c r="AI33" s="423">
        <f t="shared" si="9"/>
        <v>0</v>
      </c>
      <c r="AJ33" s="423">
        <f t="shared" si="9"/>
        <v>0</v>
      </c>
      <c r="AK33" s="423">
        <f t="shared" si="9"/>
        <v>0</v>
      </c>
      <c r="AL33" s="423">
        <f t="shared" si="9"/>
        <v>0</v>
      </c>
      <c r="AM33" s="423">
        <f t="shared" si="9"/>
        <v>0</v>
      </c>
      <c r="AN33" s="423">
        <f t="shared" si="9"/>
        <v>0</v>
      </c>
      <c r="AO33" s="423">
        <f t="shared" si="9"/>
        <v>0</v>
      </c>
      <c r="AP33" s="423">
        <f t="shared" si="9"/>
        <v>0</v>
      </c>
      <c r="AQ33" s="423">
        <f t="shared" si="9"/>
        <v>0</v>
      </c>
      <c r="AR33" s="423">
        <f t="shared" si="9"/>
        <v>0</v>
      </c>
      <c r="AS33" s="423">
        <f t="shared" si="9"/>
        <v>0</v>
      </c>
      <c r="AT33" s="423">
        <f t="shared" si="9"/>
        <v>0</v>
      </c>
      <c r="AU33" s="423">
        <f t="shared" si="9"/>
        <v>0</v>
      </c>
      <c r="AV33" s="423">
        <f t="shared" si="9"/>
        <v>0</v>
      </c>
      <c r="AW33" s="423">
        <f t="shared" si="9"/>
        <v>0</v>
      </c>
      <c r="AX33" s="423">
        <f t="shared" si="9"/>
        <v>0</v>
      </c>
      <c r="AY33" s="423">
        <f t="shared" si="9"/>
        <v>0</v>
      </c>
      <c r="AZ33" s="423">
        <f t="shared" si="9"/>
        <v>0</v>
      </c>
      <c r="BA33" s="423">
        <f t="shared" si="9"/>
        <v>0</v>
      </c>
    </row>
    <row r="34" spans="1:53">
      <c r="A34" s="506"/>
      <c r="B34" s="229" t="s">
        <v>75</v>
      </c>
      <c r="C34" s="229"/>
      <c r="D34" s="230">
        <f>IF(D15="","",IF(D15&lt;&gt;"",'3. Finansiering'!D$20,0))</f>
        <v>-2663999.9999999995</v>
      </c>
      <c r="E34" s="230">
        <f>IF(E15="","",IF(E15&lt;&gt;"",'3. Finansiering'!E$20,0))</f>
        <v>-2663999.9999999995</v>
      </c>
      <c r="F34" s="230">
        <f>IF(F15="","",IF(F15&lt;&gt;"",'3. Finansiering'!F$20,0))</f>
        <v>-2663999.9999999995</v>
      </c>
      <c r="G34" s="230">
        <f>IF(G15="","",IF(G15&lt;&gt;"",'3. Finansiering'!G$20,0))</f>
        <v>-2663999.9999999995</v>
      </c>
      <c r="H34" s="230">
        <f>IF(H15="","",IF(H15&lt;&gt;"",'3. Finansiering'!H$20,0))</f>
        <v>-2663999.9999999995</v>
      </c>
      <c r="I34" s="230">
        <f>IF(I15="","",IF(I15&lt;&gt;"",'3. Finansiering'!I$20,0))</f>
        <v>-2663999.9999999995</v>
      </c>
      <c r="J34" s="230">
        <f>IF(J15="","",IF(J15&lt;&gt;"",'3. Finansiering'!J$20,0))</f>
        <v>-2663999.9999999995</v>
      </c>
      <c r="K34" s="230">
        <f>IF(K15="","",IF(K15&lt;&gt;"",'3. Finansiering'!K$20,0))</f>
        <v>-2663999.9999999995</v>
      </c>
      <c r="L34" s="230">
        <f>IF(L15="","",IF(L15&lt;&gt;"",'3. Finansiering'!L$20,0))</f>
        <v>-2663999.9999999995</v>
      </c>
      <c r="M34" s="230">
        <f>IF(M15="","",IF(M15&lt;&gt;"",'3. Finansiering'!M$20,0))</f>
        <v>-2663999.9999999995</v>
      </c>
      <c r="N34" s="230">
        <f>IF(N15="","",IF(N15&lt;&gt;"",'3. Finansiering'!N$20,0))</f>
        <v>-2663999.9999999995</v>
      </c>
      <c r="O34" s="230">
        <f>IF(O15="","",IF(O15&lt;&gt;"",'3. Finansiering'!O$20,0))</f>
        <v>-2663999.9999999995</v>
      </c>
      <c r="P34" s="230">
        <f>IF(P15="","",IF(P15&lt;&gt;"",'3. Finansiering'!P$20,0))</f>
        <v>-2663999.9999999995</v>
      </c>
      <c r="Q34" s="230">
        <f>IF(Q15="","",IF(Q15&lt;&gt;"",'3. Finansiering'!Q$20,0))</f>
        <v>-2663999.9999999995</v>
      </c>
      <c r="R34" s="230">
        <f>IF(R15="","",IF(R15&lt;&gt;"",'3. Finansiering'!R$20,0))</f>
        <v>-2663999.9999999995</v>
      </c>
      <c r="S34" s="230">
        <f>IF(S15="","",IF(S15&lt;&gt;"",'3. Finansiering'!S$20,0))</f>
        <v>-2663999.9999999995</v>
      </c>
      <c r="T34" s="230">
        <f>IF(T15="","",IF(T15&lt;&gt;"",'3. Finansiering'!T$20,0))</f>
        <v>-2663999.9999999995</v>
      </c>
      <c r="U34" s="230">
        <f>IF(U15="","",IF(U15&lt;&gt;"",'3. Finansiering'!U$20,0))</f>
        <v>-2663999.9999999995</v>
      </c>
      <c r="V34" s="230">
        <f>IF(V15="","",IF(V15&lt;&gt;"",'3. Finansiering'!V$20,0))</f>
        <v>-2663999.9999999995</v>
      </c>
      <c r="W34" s="230">
        <f>IF(W15="","",IF(W15&lt;&gt;"",'3. Finansiering'!W$20,0))</f>
        <v>-2663999.9999999995</v>
      </c>
      <c r="X34" s="230" t="str">
        <f>IF(X15="","",IF(X15&lt;&gt;"",'3. Finansiering'!X$20,0))</f>
        <v/>
      </c>
      <c r="Y34" s="230" t="str">
        <f>IF(Y15="","",IF(Y15&lt;&gt;"",'3. Finansiering'!Y$20,0))</f>
        <v/>
      </c>
      <c r="Z34" s="230" t="str">
        <f>IF(Z15="","",IF(Z15&lt;&gt;"",'3. Finansiering'!Z$20,0))</f>
        <v/>
      </c>
      <c r="AA34" s="230" t="str">
        <f>IF(AA15="","",IF(AA15&lt;&gt;"",'3. Finansiering'!AA$20,0))</f>
        <v/>
      </c>
      <c r="AB34" s="230" t="str">
        <f>IF(AB15="","",IF(AB15&lt;&gt;"",'3. Finansiering'!AB$20,0))</f>
        <v/>
      </c>
      <c r="AC34" s="230" t="str">
        <f>IF(AC15="","",IF(AC15&lt;&gt;"",'3. Finansiering'!AC$20,0))</f>
        <v/>
      </c>
      <c r="AD34" s="230" t="str">
        <f>IF(AD15="","",IF(AD15&lt;&gt;"",'3. Finansiering'!AD$20,0))</f>
        <v/>
      </c>
      <c r="AE34" s="230" t="str">
        <f>IF(AE15="","",IF(AE15&lt;&gt;"",'3. Finansiering'!AE$20,0))</f>
        <v/>
      </c>
      <c r="AF34" s="230" t="str">
        <f>IF(AF15="","",IF(AF15&lt;&gt;"",'3. Finansiering'!AF$20,0))</f>
        <v/>
      </c>
      <c r="AG34" s="230" t="str">
        <f>IF(AG15="","",IF(AG15&lt;&gt;"",'3. Finansiering'!AG$20,0))</f>
        <v/>
      </c>
      <c r="AH34" s="230" t="str">
        <f>IF(AH15="","",IF(AH15&lt;&gt;"",'3. Finansiering'!AH$20,0))</f>
        <v/>
      </c>
      <c r="AI34" s="230" t="str">
        <f>IF(AI15="","",IF(AI15&lt;&gt;"",'3. Finansiering'!AI$20,0))</f>
        <v/>
      </c>
      <c r="AJ34" s="230" t="str">
        <f>IF(AJ15="","",IF(AJ15&lt;&gt;"",'3. Finansiering'!AJ$20,0))</f>
        <v/>
      </c>
      <c r="AK34" s="230" t="str">
        <f>IF(AK15="","",IF(AK15&lt;&gt;"",'3. Finansiering'!AK$20,0))</f>
        <v/>
      </c>
      <c r="AL34" s="230" t="str">
        <f>IF(AL15="","",IF(AL15&lt;&gt;"",'3. Finansiering'!AL$20,0))</f>
        <v/>
      </c>
      <c r="AM34" s="230" t="str">
        <f>IF(AM15="","",IF(AM15&lt;&gt;"",'3. Finansiering'!AM$20,0))</f>
        <v/>
      </c>
      <c r="AN34" s="230" t="str">
        <f>IF(AN15="","",IF(AN15&lt;&gt;"",'3. Finansiering'!AN$20,0))</f>
        <v/>
      </c>
      <c r="AO34" s="230" t="str">
        <f>IF(AO15="","",IF(AO15&lt;&gt;"",'3. Finansiering'!AO$20,0))</f>
        <v/>
      </c>
      <c r="AP34" s="230" t="str">
        <f>IF(AP15="","",IF(AP15&lt;&gt;"",'3. Finansiering'!AP$20,0))</f>
        <v/>
      </c>
      <c r="AQ34" s="230" t="str">
        <f>IF(AQ15="","",IF(AQ15&lt;&gt;"",'3. Finansiering'!AQ$20,0))</f>
        <v/>
      </c>
      <c r="AR34" s="230" t="str">
        <f>IF(AR15="","",IF(AR15&lt;&gt;"",'3. Finansiering'!AR$20,0))</f>
        <v/>
      </c>
      <c r="AS34" s="230" t="str">
        <f>IF(AS15="","",IF(AS15&lt;&gt;"",'3. Finansiering'!AS$20,0))</f>
        <v/>
      </c>
      <c r="AT34" s="230" t="str">
        <f>IF(AT15="","",IF(AT15&lt;&gt;"",'3. Finansiering'!AT$20,0))</f>
        <v/>
      </c>
      <c r="AU34" s="230" t="str">
        <f>IF(AU15="","",IF(AU15&lt;&gt;"",'3. Finansiering'!AU$20,0))</f>
        <v/>
      </c>
      <c r="AV34" s="230" t="str">
        <f>IF(AV15="","",IF(AV15&lt;&gt;"",'3. Finansiering'!AV$20,0))</f>
        <v/>
      </c>
      <c r="AW34" s="230" t="str">
        <f>IF(AW15="","",IF(AW15&lt;&gt;"",'3. Finansiering'!AW$20,0))</f>
        <v/>
      </c>
      <c r="AX34" s="230" t="str">
        <f>IF(AX15="","",IF(AX15&lt;&gt;"",'3. Finansiering'!AX$20,0))</f>
        <v/>
      </c>
      <c r="AY34" s="230" t="str">
        <f>IF(AY15="","",IF(AY15&lt;&gt;"",'3. Finansiering'!AY$20,0))</f>
        <v/>
      </c>
      <c r="AZ34" s="230" t="str">
        <f>IF(AZ15="","",IF(AZ15&lt;&gt;"",'3. Finansiering'!AZ$20,0))</f>
        <v/>
      </c>
      <c r="BA34" s="230" t="str">
        <f>IF(BA15="","",IF(BA15&lt;&gt;"",'3. Finansiering'!BA$20,0))</f>
        <v/>
      </c>
    </row>
    <row r="35" spans="1:53">
      <c r="A35" s="506"/>
      <c r="B35" s="229" t="s">
        <v>276</v>
      </c>
      <c r="C35" s="229"/>
      <c r="D35" s="230">
        <f>IF(E$15="",IF('2. Kalkyldata'!$M$3+'2. Kalkyldata'!$Q$17-1='5. IRR'!D15,-HLOOKUP(D$15,'3. Finansiering'!$D$13:$BA$26,10,FALSE),0),0)</f>
        <v>0</v>
      </c>
      <c r="E35" s="230">
        <f>IF(F$15="",IF('2. Kalkyldata'!$M$3+'2. Kalkyldata'!$Q$17-1='5. IRR'!E15,-HLOOKUP(E$15,'3. Finansiering'!$D$13:$BA$26,10,FALSE),0),0)</f>
        <v>0</v>
      </c>
      <c r="F35" s="230">
        <f>IF(G$15="",IF('2. Kalkyldata'!$M$3+'2. Kalkyldata'!$Q$17-1='5. IRR'!F15,-HLOOKUP(F$15,'3. Finansiering'!$D$13:$BA$26,10,FALSE),0),0)</f>
        <v>0</v>
      </c>
      <c r="G35" s="230">
        <f>IF(H$15="",IF('2. Kalkyldata'!$M$3+'2. Kalkyldata'!$Q$17-1='5. IRR'!G15,-HLOOKUP(G$15,'3. Finansiering'!$D$13:$BA$26,10,FALSE),0),0)</f>
        <v>0</v>
      </c>
      <c r="H35" s="230">
        <f>IF(I$15="",IF('2. Kalkyldata'!$M$3+'2. Kalkyldata'!$Q$17-1='5. IRR'!H15,-HLOOKUP(H$15,'3. Finansiering'!$D$13:$BA$26,10,FALSE),0),0)</f>
        <v>0</v>
      </c>
      <c r="I35" s="230">
        <f>IF(J$15="",IF('2. Kalkyldata'!$M$3+'2. Kalkyldata'!$Q$17-1='5. IRR'!I15,-HLOOKUP(I$15,'3. Finansiering'!$D$13:$BA$26,10,FALSE),0),0)</f>
        <v>0</v>
      </c>
      <c r="J35" s="230">
        <f>IF(K$15="",IF('2. Kalkyldata'!$M$3+'2. Kalkyldata'!$Q$17-1='5. IRR'!J15,-HLOOKUP(J$15,'3. Finansiering'!$D$13:$BA$26,10,FALSE),0),0)</f>
        <v>0</v>
      </c>
      <c r="K35" s="230">
        <f>IF(L$15="",IF('2. Kalkyldata'!$M$3+'2. Kalkyldata'!$Q$17-1='5. IRR'!K15,-HLOOKUP(K$15,'3. Finansiering'!$D$13:$BA$26,10,FALSE),0),0)</f>
        <v>0</v>
      </c>
      <c r="L35" s="230">
        <f>IF(M$15="",IF('2. Kalkyldata'!$M$3+'2. Kalkyldata'!$Q$17-1='5. IRR'!L15,-HLOOKUP(L$15,'3. Finansiering'!$D$13:$BA$26,10,FALSE),0),0)</f>
        <v>0</v>
      </c>
      <c r="M35" s="230">
        <f>IF(N$15="",IF('2. Kalkyldata'!$M$3+'2. Kalkyldata'!$Q$17-1='5. IRR'!M15,-HLOOKUP(M$15,'3. Finansiering'!$D$13:$BA$26,10,FALSE),0),0)</f>
        <v>0</v>
      </c>
      <c r="N35" s="230">
        <f>IF(O$15="",IF('2. Kalkyldata'!$M$3+'2. Kalkyldata'!$Q$17-1='5. IRR'!N15,-HLOOKUP(N$15,'3. Finansiering'!$D$13:$BA$26,10,FALSE),0),0)</f>
        <v>0</v>
      </c>
      <c r="O35" s="230">
        <f>IF(P$15="",IF('2. Kalkyldata'!$M$3+'2. Kalkyldata'!$Q$17-1='5. IRR'!O15,-HLOOKUP(O$15,'3. Finansiering'!$D$13:$BA$26,10,FALSE),0),0)</f>
        <v>0</v>
      </c>
      <c r="P35" s="230">
        <f>IF(Q$15="",IF('2. Kalkyldata'!$M$3+'2. Kalkyldata'!$Q$17-1='5. IRR'!P15,-HLOOKUP(P$15,'3. Finansiering'!$D$13:$BA$26,10,FALSE),0),0)</f>
        <v>0</v>
      </c>
      <c r="Q35" s="230">
        <f>IF(R$15="",IF('2. Kalkyldata'!$M$3+'2. Kalkyldata'!$Q$17-1='5. IRR'!Q15,-HLOOKUP(Q$15,'3. Finansiering'!$D$13:$BA$26,10,FALSE),0),0)</f>
        <v>0</v>
      </c>
      <c r="R35" s="230">
        <f>IF(S$15="",IF('2. Kalkyldata'!$M$3+'2. Kalkyldata'!$Q$17-1='5. IRR'!R15,-HLOOKUP(R$15,'3. Finansiering'!$D$13:$BA$26,10,FALSE),0),0)</f>
        <v>0</v>
      </c>
      <c r="S35" s="230">
        <f>IF(T$15="",IF('2. Kalkyldata'!$M$3+'2. Kalkyldata'!$Q$17-1='5. IRR'!S15,-HLOOKUP(S$15,'3. Finansiering'!$D$13:$BA$26,10,FALSE),0),0)</f>
        <v>0</v>
      </c>
      <c r="T35" s="230">
        <f>IF(U$15="",IF('2. Kalkyldata'!$M$3+'2. Kalkyldata'!$Q$17-1='5. IRR'!T15,-HLOOKUP(T$15,'3. Finansiering'!$D$13:$BA$26,10,FALSE),0),0)</f>
        <v>0</v>
      </c>
      <c r="U35" s="230">
        <f>IF(V$15="",IF('2. Kalkyldata'!$M$3+'2. Kalkyldata'!$Q$17-1='5. IRR'!U15,-HLOOKUP(U$15,'3. Finansiering'!$D$13:$BA$26,10,FALSE),0),0)</f>
        <v>0</v>
      </c>
      <c r="V35" s="230">
        <f>IF(W$15="",IF('2. Kalkyldata'!$M$3+'2. Kalkyldata'!$Q$17-1='5. IRR'!V15,-HLOOKUP(V$15,'3. Finansiering'!$D$13:$BA$26,10,FALSE),0),0)</f>
        <v>0</v>
      </c>
      <c r="W35" s="230">
        <f>IF(X$15="",IF('2. Kalkyldata'!$M$3+'2. Kalkyldata'!$Q$17-1='5. IRR'!W15,-HLOOKUP(W$15,'3. Finansiering'!$D$13:$BA$26,10,FALSE),0),0)</f>
        <v>-35519999.999999993</v>
      </c>
      <c r="X35" s="230">
        <f>IF(Y$15="",IF('2. Kalkyldata'!$M$3+'2. Kalkyldata'!$Q$17-1='5. IRR'!X15,-HLOOKUP(X$15,'3. Finansiering'!$D$13:$BA$26,10,FALSE),0),0)</f>
        <v>0</v>
      </c>
      <c r="Y35" s="230">
        <f>IF(Z$15="",IF('2. Kalkyldata'!$M$3+'2. Kalkyldata'!$Q$17-1='5. IRR'!Y15,-HLOOKUP(Y$15,'3. Finansiering'!$D$13:$BA$26,10,FALSE),0),0)</f>
        <v>0</v>
      </c>
      <c r="Z35" s="230">
        <f>IF(AA$15="",IF('2. Kalkyldata'!$M$3+'2. Kalkyldata'!$Q$17-1='5. IRR'!Z15,-HLOOKUP(Z$15,'3. Finansiering'!$D$13:$BA$26,10,FALSE),0),0)</f>
        <v>0</v>
      </c>
      <c r="AA35" s="230">
        <f>IF(AB$15="",IF('2. Kalkyldata'!$M$3+'2. Kalkyldata'!$Q$17-1='5. IRR'!AA15,-HLOOKUP(AA$15,'3. Finansiering'!$D$13:$BA$26,10,FALSE),0),0)</f>
        <v>0</v>
      </c>
      <c r="AB35" s="230">
        <f>IF(AC$15="",IF('2. Kalkyldata'!$M$3+'2. Kalkyldata'!$Q$17-1='5. IRR'!AB15,-HLOOKUP(AB$15,'3. Finansiering'!$D$13:$BA$26,10,FALSE),0),0)</f>
        <v>0</v>
      </c>
      <c r="AC35" s="230">
        <f>IF(AD$15="",IF('2. Kalkyldata'!$M$3+'2. Kalkyldata'!$Q$17-1='5. IRR'!AC15,-HLOOKUP(AC$15,'3. Finansiering'!$D$13:$BA$26,10,FALSE),0),0)</f>
        <v>0</v>
      </c>
      <c r="AD35" s="230">
        <f>IF(AE$15="",IF('2. Kalkyldata'!$M$3+'2. Kalkyldata'!$Q$17-1='5. IRR'!AD15,-HLOOKUP(AD$15,'3. Finansiering'!$D$13:$BA$26,10,FALSE),0),0)</f>
        <v>0</v>
      </c>
      <c r="AE35" s="230">
        <f>IF(AF$15="",IF('2. Kalkyldata'!$M$3+'2. Kalkyldata'!$Q$17-1='5. IRR'!AE15,-HLOOKUP(AE$15,'3. Finansiering'!$D$13:$BA$26,10,FALSE),0),0)</f>
        <v>0</v>
      </c>
      <c r="AF35" s="230">
        <f>IF(AG$15="",IF('2. Kalkyldata'!$M$3+'2. Kalkyldata'!$Q$17-1='5. IRR'!AF15,-HLOOKUP(AF$15,'3. Finansiering'!$D$13:$BA$26,10,FALSE),0),0)</f>
        <v>0</v>
      </c>
      <c r="AG35" s="230">
        <f>IF(AH$15="",IF('2. Kalkyldata'!$M$3+'2. Kalkyldata'!$Q$17-1='5. IRR'!AG15,-HLOOKUP(AG$15,'3. Finansiering'!$D$13:$BA$26,10,FALSE),0),0)</f>
        <v>0</v>
      </c>
      <c r="AH35" s="230">
        <f>IF(AI$15="",IF('2. Kalkyldata'!$M$3+'2. Kalkyldata'!$Q$17-1='5. IRR'!AH15,-HLOOKUP(AH$15,'3. Finansiering'!$D$13:$BA$26,10,FALSE),0),0)</f>
        <v>0</v>
      </c>
      <c r="AI35" s="230">
        <f>IF(AJ$15="",IF('2. Kalkyldata'!$M$3+'2. Kalkyldata'!$Q$17-1='5. IRR'!AI15,-HLOOKUP(AI$15,'3. Finansiering'!$D$13:$BA$26,10,FALSE),0),0)</f>
        <v>0</v>
      </c>
      <c r="AJ35" s="230">
        <f>IF(AK$15="",IF('2. Kalkyldata'!$M$3+'2. Kalkyldata'!$Q$17-1='5. IRR'!AJ15,-HLOOKUP(AJ$15,'3. Finansiering'!$D$13:$BA$26,10,FALSE),0),0)</f>
        <v>0</v>
      </c>
      <c r="AK35" s="230">
        <f>IF(AL$15="",IF('2. Kalkyldata'!$M$3+'2. Kalkyldata'!$Q$17-1='5. IRR'!AK15,-HLOOKUP(AK$15,'3. Finansiering'!$D$13:$BA$26,10,FALSE),0),0)</f>
        <v>0</v>
      </c>
      <c r="AL35" s="230">
        <f>IF(AM$15="",IF('2. Kalkyldata'!$M$3+'2. Kalkyldata'!$Q$17-1='5. IRR'!AL15,-HLOOKUP(AL$15,'3. Finansiering'!$D$13:$BA$26,10,FALSE),0),0)</f>
        <v>0</v>
      </c>
      <c r="AM35" s="230">
        <f>IF(AN$15="",IF('2. Kalkyldata'!$M$3+'2. Kalkyldata'!$Q$17-1='5. IRR'!AM15,-HLOOKUP(AM$15,'3. Finansiering'!$D$13:$BA$26,10,FALSE),0),0)</f>
        <v>0</v>
      </c>
      <c r="AN35" s="230">
        <f>IF(AO$15="",IF('2. Kalkyldata'!$M$3+'2. Kalkyldata'!$Q$17-1='5. IRR'!AN15,-HLOOKUP(AN$15,'3. Finansiering'!$D$13:$BA$26,10,FALSE),0),0)</f>
        <v>0</v>
      </c>
      <c r="AO35" s="230">
        <f>IF(AP$15="",IF('2. Kalkyldata'!$M$3+'2. Kalkyldata'!$Q$17-1='5. IRR'!AO15,-HLOOKUP(AO$15,'3. Finansiering'!$D$13:$BA$26,10,FALSE),0),0)</f>
        <v>0</v>
      </c>
      <c r="AP35" s="230">
        <f>IF(AQ$15="",IF('2. Kalkyldata'!$M$3+'2. Kalkyldata'!$Q$17-1='5. IRR'!AP15,-HLOOKUP(AP$15,'3. Finansiering'!$D$13:$BA$26,10,FALSE),0),0)</f>
        <v>0</v>
      </c>
      <c r="AQ35" s="230">
        <f>IF(AR$15="",IF('2. Kalkyldata'!$M$3+'2. Kalkyldata'!$Q$17-1='5. IRR'!AQ15,-HLOOKUP(AQ$15,'3. Finansiering'!$D$13:$BA$26,10,FALSE),0),0)</f>
        <v>0</v>
      </c>
      <c r="AR35" s="230">
        <f>IF(AS$15="",IF('2. Kalkyldata'!$M$3+'2. Kalkyldata'!$Q$17-1='5. IRR'!AR15,-HLOOKUP(AR$15,'3. Finansiering'!$D$13:$BA$26,10,FALSE),0),0)</f>
        <v>0</v>
      </c>
      <c r="AS35" s="230">
        <f>IF(AT$15="",IF('2. Kalkyldata'!$M$3+'2. Kalkyldata'!$Q$17-1='5. IRR'!AS15,-HLOOKUP(AS$15,'3. Finansiering'!$D$13:$BA$26,10,FALSE),0),0)</f>
        <v>0</v>
      </c>
      <c r="AT35" s="230">
        <f>IF(AU$15="",IF('2. Kalkyldata'!$M$3+'2. Kalkyldata'!$Q$17-1='5. IRR'!AT15,-HLOOKUP(AT$15,'3. Finansiering'!$D$13:$BA$26,10,FALSE),0),0)</f>
        <v>0</v>
      </c>
      <c r="AU35" s="230">
        <f>IF(AV$15="",IF('2. Kalkyldata'!$M$3+'2. Kalkyldata'!$Q$17-1='5. IRR'!AU15,-HLOOKUP(AU$15,'3. Finansiering'!$D$13:$BA$26,10,FALSE),0),0)</f>
        <v>0</v>
      </c>
      <c r="AV35" s="230">
        <f>IF(AW$15="",IF('2. Kalkyldata'!$M$3+'2. Kalkyldata'!$Q$17-1='5. IRR'!AV15,-HLOOKUP(AV$15,'3. Finansiering'!$D$13:$BA$26,10,FALSE),0),0)</f>
        <v>0</v>
      </c>
      <c r="AW35" s="230">
        <f>IF(AX$15="",IF('2. Kalkyldata'!$M$3+'2. Kalkyldata'!$Q$17-1='5. IRR'!AW15,-HLOOKUP(AW$15,'3. Finansiering'!$D$13:$BA$26,10,FALSE),0),0)</f>
        <v>0</v>
      </c>
      <c r="AX35" s="230">
        <f>IF(AY$15="",IF('2. Kalkyldata'!$M$3+'2. Kalkyldata'!$Q$17-1='5. IRR'!AX15,-HLOOKUP(AX$15,'3. Finansiering'!$D$13:$BA$26,10,FALSE),0),0)</f>
        <v>0</v>
      </c>
      <c r="AY35" s="230">
        <f>IF(AZ$15="",IF('2. Kalkyldata'!$M$3+'2. Kalkyldata'!$Q$17-1='5. IRR'!AY15,-HLOOKUP(AY$15,'3. Finansiering'!$D$13:$BA$26,10,FALSE),0),0)</f>
        <v>0</v>
      </c>
      <c r="AZ35" s="230">
        <f>IF(BA$15="",IF('2. Kalkyldata'!$M$3+'2. Kalkyldata'!$Q$17-1='5. IRR'!AZ15,-HLOOKUP(AZ$15,'3. Finansiering'!$D$13:$BA$26,10,FALSE),0),0)</f>
        <v>0</v>
      </c>
      <c r="BA35" s="230">
        <f>IF(BB$15="",IF('2. Kalkyldata'!$M$3+'2. Kalkyldata'!$Q$17-1='5. IRR'!BA15,-HLOOKUP(BA$15,'3. Finansiering'!$D$13:$BA$26,10,FALSE),0),0)</f>
        <v>0</v>
      </c>
    </row>
    <row r="36" spans="1:53">
      <c r="A36" s="506"/>
      <c r="B36" s="424"/>
      <c r="C36" s="424"/>
      <c r="D36" s="424"/>
      <c r="E36" s="424"/>
      <c r="F36" s="424"/>
      <c r="G36" s="424"/>
      <c r="H36" s="424"/>
      <c r="I36" s="424"/>
      <c r="J36" s="424"/>
      <c r="K36" s="424"/>
      <c r="L36" s="424"/>
      <c r="M36" s="424"/>
      <c r="N36" s="424"/>
      <c r="O36" s="424"/>
      <c r="P36" s="424"/>
      <c r="Q36" s="424"/>
      <c r="R36" s="424"/>
      <c r="S36" s="424"/>
      <c r="T36" s="424"/>
      <c r="U36" s="424"/>
      <c r="V36" s="424"/>
      <c r="W36" s="424"/>
      <c r="X36" s="424"/>
      <c r="Y36" s="424"/>
      <c r="Z36" s="424"/>
      <c r="AA36" s="424"/>
      <c r="AB36" s="424"/>
      <c r="AC36" s="424"/>
      <c r="AD36" s="424"/>
      <c r="AE36" s="424"/>
      <c r="AF36" s="424"/>
      <c r="AG36" s="424"/>
      <c r="AH36" s="424"/>
      <c r="AI36" s="424"/>
      <c r="AJ36" s="424"/>
      <c r="AK36" s="424"/>
      <c r="AL36" s="424"/>
      <c r="AM36" s="424"/>
      <c r="AN36" s="424"/>
      <c r="AO36" s="424"/>
      <c r="AP36" s="424"/>
      <c r="AQ36" s="424"/>
      <c r="AR36" s="424"/>
      <c r="AS36" s="424"/>
      <c r="AT36" s="424"/>
      <c r="AU36" s="424"/>
      <c r="AV36" s="424"/>
      <c r="AW36" s="424"/>
      <c r="AX36" s="424"/>
      <c r="AY36" s="424"/>
      <c r="AZ36" s="424"/>
      <c r="BA36" s="424"/>
    </row>
    <row r="37" spans="1:53" ht="15">
      <c r="A37" s="19"/>
      <c r="B37" s="421" t="s">
        <v>277</v>
      </c>
      <c r="C37" s="421" t="s">
        <v>278</v>
      </c>
      <c r="D37" s="423">
        <f ca="1">IFERROR(((D$18+D$20+D$21+D$31+D$34+D$35)-D$29)-D$27,"")</f>
        <v>-143301875.19999996</v>
      </c>
      <c r="E37" s="423">
        <f t="shared" ref="E37:BA37" ca="1" si="10">IFERROR(((E$18+E$20+E$21+E$31+E$34+E$35)-E$29)-E$27,"")</f>
        <v>8013555.8400000017</v>
      </c>
      <c r="F37" s="423">
        <f t="shared" ca="1" si="10"/>
        <v>8148613.3560000006</v>
      </c>
      <c r="G37" s="423">
        <f t="shared" ca="1" si="10"/>
        <v>8293557.9586800039</v>
      </c>
      <c r="H37" s="423">
        <f t="shared" ca="1" si="10"/>
        <v>8448410.4047930446</v>
      </c>
      <c r="I37" s="423">
        <f t="shared" ca="1" si="10"/>
        <v>8613191.5963606983</v>
      </c>
      <c r="J37" s="423">
        <f t="shared" ca="1" si="10"/>
        <v>8787922.5798003096</v>
      </c>
      <c r="K37" s="423">
        <f t="shared" ca="1" si="10"/>
        <v>8972624.5449818913</v>
      </c>
      <c r="L37" s="423">
        <f t="shared" ca="1" si="10"/>
        <v>9167318.8242125008</v>
      </c>
      <c r="M37" s="423">
        <f t="shared" ca="1" si="10"/>
        <v>9372026.891145952</v>
      </c>
      <c r="N37" s="423">
        <f t="shared" ca="1" si="10"/>
        <v>9586770.3596155643</v>
      </c>
      <c r="O37" s="423">
        <f t="shared" ca="1" si="10"/>
        <v>9895682.3423876204</v>
      </c>
      <c r="P37" s="423">
        <f t="shared" ca="1" si="10"/>
        <v>10206787.929833237</v>
      </c>
      <c r="Q37" s="423">
        <f t="shared" ca="1" si="10"/>
        <v>10520109.14851613</v>
      </c>
      <c r="R37" s="423">
        <f t="shared" ca="1" si="10"/>
        <v>10835668.159693893</v>
      </c>
      <c r="S37" s="423">
        <f t="shared" ca="1" si="10"/>
        <v>11153487.257730117</v>
      </c>
      <c r="T37" s="423">
        <f t="shared" ca="1" si="10"/>
        <v>11473588.868414858</v>
      </c>
      <c r="U37" s="423">
        <f t="shared" ca="1" si="10"/>
        <v>11795995.547190716</v>
      </c>
      <c r="V37" s="423">
        <f t="shared" ca="1" si="10"/>
        <v>12120729.977281792</v>
      </c>
      <c r="W37" s="423">
        <f t="shared" ca="1" si="10"/>
        <v>245427814.96772271</v>
      </c>
      <c r="X37" s="423" t="str">
        <f t="shared" si="10"/>
        <v/>
      </c>
      <c r="Y37" s="423" t="str">
        <f t="shared" si="10"/>
        <v/>
      </c>
      <c r="Z37" s="423" t="str">
        <f t="shared" si="10"/>
        <v/>
      </c>
      <c r="AA37" s="423" t="str">
        <f t="shared" si="10"/>
        <v/>
      </c>
      <c r="AB37" s="423" t="str">
        <f t="shared" si="10"/>
        <v/>
      </c>
      <c r="AC37" s="423" t="str">
        <f t="shared" si="10"/>
        <v/>
      </c>
      <c r="AD37" s="423" t="str">
        <f t="shared" si="10"/>
        <v/>
      </c>
      <c r="AE37" s="423" t="str">
        <f t="shared" si="10"/>
        <v/>
      </c>
      <c r="AF37" s="423" t="str">
        <f t="shared" si="10"/>
        <v/>
      </c>
      <c r="AG37" s="423" t="str">
        <f t="shared" si="10"/>
        <v/>
      </c>
      <c r="AH37" s="423" t="str">
        <f t="shared" si="10"/>
        <v/>
      </c>
      <c r="AI37" s="423" t="str">
        <f t="shared" si="10"/>
        <v/>
      </c>
      <c r="AJ37" s="423" t="str">
        <f t="shared" si="10"/>
        <v/>
      </c>
      <c r="AK37" s="423" t="str">
        <f t="shared" si="10"/>
        <v/>
      </c>
      <c r="AL37" s="423" t="str">
        <f t="shared" si="10"/>
        <v/>
      </c>
      <c r="AM37" s="423" t="str">
        <f t="shared" si="10"/>
        <v/>
      </c>
      <c r="AN37" s="423" t="str">
        <f t="shared" si="10"/>
        <v/>
      </c>
      <c r="AO37" s="423" t="str">
        <f t="shared" si="10"/>
        <v/>
      </c>
      <c r="AP37" s="423" t="str">
        <f t="shared" si="10"/>
        <v/>
      </c>
      <c r="AQ37" s="423" t="str">
        <f t="shared" si="10"/>
        <v/>
      </c>
      <c r="AR37" s="423" t="str">
        <f t="shared" si="10"/>
        <v/>
      </c>
      <c r="AS37" s="423" t="str">
        <f t="shared" si="10"/>
        <v/>
      </c>
      <c r="AT37" s="423" t="str">
        <f t="shared" si="10"/>
        <v/>
      </c>
      <c r="AU37" s="423" t="str">
        <f t="shared" si="10"/>
        <v/>
      </c>
      <c r="AV37" s="423" t="str">
        <f t="shared" si="10"/>
        <v/>
      </c>
      <c r="AW37" s="423" t="str">
        <f t="shared" si="10"/>
        <v/>
      </c>
      <c r="AX37" s="423" t="str">
        <f t="shared" si="10"/>
        <v/>
      </c>
      <c r="AY37" s="423" t="str">
        <f t="shared" si="10"/>
        <v/>
      </c>
      <c r="AZ37" s="423" t="str">
        <f t="shared" si="10"/>
        <v/>
      </c>
      <c r="BA37" s="423" t="str">
        <f t="shared" si="10"/>
        <v/>
      </c>
    </row>
    <row r="38" spans="1:53" ht="15">
      <c r="A38" s="19"/>
      <c r="B38" s="421" t="s">
        <v>279</v>
      </c>
      <c r="C38" s="421"/>
      <c r="D38" s="423">
        <f ca="1">IFERROR(((D$18+D$20+D$21+D$33+D$34+D$35)-D$29)-D$27,"")</f>
        <v>-143979491.09061813</v>
      </c>
      <c r="E38" s="423">
        <f t="shared" ref="E38:BA38" ca="1" si="11">IFERROR(((E$18+E$20+E$21+E$33+E$34+E$35)-E$29)-E$27,"")</f>
        <v>7312161.1551418193</v>
      </c>
      <c r="F38" s="423">
        <f t="shared" ca="1" si="11"/>
        <v>7419396.8228458185</v>
      </c>
      <c r="G38" s="423">
        <f t="shared" ca="1" si="11"/>
        <v>7534482.837373741</v>
      </c>
      <c r="H38" s="423">
        <f t="shared" ca="1" si="11"/>
        <v>7657435.6795874964</v>
      </c>
      <c r="I38" s="423">
        <f t="shared" ca="1" si="11"/>
        <v>7788271.9456922133</v>
      </c>
      <c r="J38" s="423">
        <f t="shared" ca="1" si="11"/>
        <v>7927008.3465432636</v>
      </c>
      <c r="K38" s="423">
        <f t="shared" ca="1" si="11"/>
        <v>8073661.7068974394</v>
      </c>
      <c r="L38" s="423">
        <f t="shared" ca="1" si="11"/>
        <v>8228248.964606544</v>
      </c>
      <c r="M38" s="423">
        <f t="shared" ca="1" si="11"/>
        <v>8390787.1697517037</v>
      </c>
      <c r="N38" s="423">
        <f t="shared" ca="1" si="11"/>
        <v>8561293.4837165773</v>
      </c>
      <c r="O38" s="423">
        <f t="shared" ca="1" si="11"/>
        <v>8806569.5980375893</v>
      </c>
      <c r="P38" s="423">
        <f t="shared" ca="1" si="11"/>
        <v>9053587.4344694093</v>
      </c>
      <c r="Q38" s="423">
        <f t="shared" ca="1" si="11"/>
        <v>9302364.4821036253</v>
      </c>
      <c r="R38" s="423">
        <f t="shared" ca="1" si="11"/>
        <v>9552918.3369787689</v>
      </c>
      <c r="S38" s="423">
        <f t="shared" ca="1" si="11"/>
        <v>9805266.7008195315</v>
      </c>
      <c r="T38" s="423">
        <f t="shared" ca="1" si="11"/>
        <v>10059427.379703216</v>
      </c>
      <c r="U38" s="423">
        <f t="shared" ca="1" si="11"/>
        <v>10315418.282651247</v>
      </c>
      <c r="V38" s="423">
        <f t="shared" ca="1" si="11"/>
        <v>10573257.420143561</v>
      </c>
      <c r="W38" s="423">
        <f t="shared" ca="1" si="11"/>
        <v>207978326.5389173</v>
      </c>
      <c r="X38" s="423" t="str">
        <f t="shared" si="11"/>
        <v/>
      </c>
      <c r="Y38" s="423" t="str">
        <f t="shared" si="11"/>
        <v/>
      </c>
      <c r="Z38" s="423" t="str">
        <f t="shared" si="11"/>
        <v/>
      </c>
      <c r="AA38" s="423" t="str">
        <f t="shared" si="11"/>
        <v/>
      </c>
      <c r="AB38" s="423" t="str">
        <f t="shared" si="11"/>
        <v/>
      </c>
      <c r="AC38" s="423" t="str">
        <f t="shared" si="11"/>
        <v/>
      </c>
      <c r="AD38" s="423" t="str">
        <f t="shared" si="11"/>
        <v/>
      </c>
      <c r="AE38" s="423" t="str">
        <f t="shared" si="11"/>
        <v/>
      </c>
      <c r="AF38" s="423" t="str">
        <f t="shared" si="11"/>
        <v/>
      </c>
      <c r="AG38" s="423" t="str">
        <f t="shared" si="11"/>
        <v/>
      </c>
      <c r="AH38" s="423" t="str">
        <f t="shared" si="11"/>
        <v/>
      </c>
      <c r="AI38" s="423" t="str">
        <f t="shared" si="11"/>
        <v/>
      </c>
      <c r="AJ38" s="423" t="str">
        <f t="shared" si="11"/>
        <v/>
      </c>
      <c r="AK38" s="423" t="str">
        <f t="shared" si="11"/>
        <v/>
      </c>
      <c r="AL38" s="423" t="str">
        <f t="shared" si="11"/>
        <v/>
      </c>
      <c r="AM38" s="423" t="str">
        <f t="shared" si="11"/>
        <v/>
      </c>
      <c r="AN38" s="423" t="str">
        <f t="shared" si="11"/>
        <v/>
      </c>
      <c r="AO38" s="423" t="str">
        <f t="shared" si="11"/>
        <v/>
      </c>
      <c r="AP38" s="423" t="str">
        <f t="shared" si="11"/>
        <v/>
      </c>
      <c r="AQ38" s="423" t="str">
        <f t="shared" si="11"/>
        <v/>
      </c>
      <c r="AR38" s="423" t="str">
        <f t="shared" si="11"/>
        <v/>
      </c>
      <c r="AS38" s="423" t="str">
        <f t="shared" si="11"/>
        <v/>
      </c>
      <c r="AT38" s="423" t="str">
        <f t="shared" si="11"/>
        <v/>
      </c>
      <c r="AU38" s="423" t="str">
        <f t="shared" si="11"/>
        <v/>
      </c>
      <c r="AV38" s="423" t="str">
        <f t="shared" si="11"/>
        <v/>
      </c>
      <c r="AW38" s="423" t="str">
        <f t="shared" si="11"/>
        <v/>
      </c>
      <c r="AX38" s="423" t="str">
        <f t="shared" si="11"/>
        <v/>
      </c>
      <c r="AY38" s="423" t="str">
        <f t="shared" si="11"/>
        <v/>
      </c>
      <c r="AZ38" s="423" t="str">
        <f t="shared" si="11"/>
        <v/>
      </c>
      <c r="BA38" s="423" t="str">
        <f t="shared" si="11"/>
        <v/>
      </c>
    </row>
    <row r="39" spans="1:53">
      <c r="A39" s="506"/>
      <c r="B39" s="506"/>
      <c r="C39" s="506"/>
      <c r="D39" s="619"/>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c r="AC39" s="506"/>
      <c r="AD39" s="506"/>
      <c r="AE39" s="506"/>
      <c r="AF39" s="506"/>
      <c r="AG39" s="506"/>
      <c r="AH39" s="506"/>
      <c r="AI39" s="506"/>
      <c r="AJ39" s="506"/>
      <c r="AK39" s="506"/>
      <c r="AL39" s="506"/>
      <c r="AM39" s="506"/>
      <c r="AN39" s="506"/>
      <c r="AO39" s="506"/>
      <c r="AP39" s="506"/>
      <c r="AQ39" s="506"/>
      <c r="AR39" s="506"/>
      <c r="AS39" s="506"/>
      <c r="AT39" s="506"/>
      <c r="AU39" s="506"/>
      <c r="AV39" s="506"/>
      <c r="AW39" s="506"/>
      <c r="AX39" s="506"/>
      <c r="AY39" s="506"/>
      <c r="AZ39" s="506"/>
      <c r="BA39" s="506"/>
    </row>
    <row r="40" spans="1:53" ht="23.25">
      <c r="A40" s="19"/>
      <c r="B40" s="450" t="s">
        <v>280</v>
      </c>
      <c r="C40" s="450"/>
      <c r="D40" s="451">
        <f ca="1">IFERROR(IRR(D37:BA37),"N/A")</f>
        <v>8.0257395749901095E-2</v>
      </c>
      <c r="E40" s="506"/>
      <c r="F40" s="506"/>
      <c r="G40" s="619"/>
      <c r="H40" s="506"/>
      <c r="I40" s="506"/>
      <c r="J40" s="506"/>
      <c r="K40" s="506"/>
      <c r="L40" s="506"/>
      <c r="M40" s="506"/>
      <c r="N40" s="506"/>
      <c r="O40" s="506"/>
      <c r="P40" s="506"/>
      <c r="Q40" s="506"/>
      <c r="R40" s="506"/>
      <c r="S40" s="506"/>
      <c r="T40" s="506"/>
      <c r="U40" s="506"/>
      <c r="V40" s="506"/>
      <c r="W40" s="506"/>
      <c r="X40" s="506"/>
      <c r="Y40" s="506"/>
      <c r="Z40" s="506"/>
      <c r="AA40" s="506"/>
      <c r="AB40" s="506"/>
      <c r="AC40" s="506"/>
      <c r="AD40" s="506"/>
      <c r="AE40" s="506"/>
      <c r="AF40" s="506"/>
      <c r="AG40" s="506"/>
      <c r="AH40" s="506"/>
      <c r="AI40" s="506"/>
      <c r="AJ40" s="506"/>
      <c r="AK40" s="506"/>
      <c r="AL40" s="506"/>
      <c r="AM40" s="506"/>
      <c r="AN40" s="506"/>
      <c r="AO40" s="506"/>
      <c r="AP40" s="506"/>
      <c r="AQ40" s="506"/>
      <c r="AR40" s="506"/>
      <c r="AS40" s="506"/>
      <c r="AT40" s="506"/>
      <c r="AU40" s="506"/>
      <c r="AV40" s="506"/>
      <c r="AW40" s="506"/>
      <c r="AX40" s="506"/>
      <c r="AY40" s="506"/>
      <c r="AZ40" s="506"/>
      <c r="BA40" s="506"/>
    </row>
    <row r="41" spans="1:53" ht="15">
      <c r="A41" s="506"/>
      <c r="B41" s="452" t="s">
        <v>281</v>
      </c>
      <c r="C41" s="452"/>
      <c r="D41" s="453">
        <f ca="1">IFERROR(IRR(D38:BA38),"N/A")</f>
        <v>6.8536870057482879E-2</v>
      </c>
      <c r="E41" s="506"/>
      <c r="F41" s="646"/>
      <c r="G41" s="506"/>
      <c r="H41" s="506"/>
      <c r="I41" s="506"/>
      <c r="J41" s="506"/>
      <c r="K41" s="506"/>
      <c r="L41" s="506"/>
      <c r="M41" s="506"/>
      <c r="N41" s="506"/>
      <c r="O41" s="506"/>
      <c r="P41" s="506"/>
      <c r="Q41" s="506"/>
      <c r="R41" s="506"/>
      <c r="S41" s="506"/>
      <c r="T41" s="506"/>
      <c r="U41" s="506"/>
      <c r="V41" s="506"/>
      <c r="W41" s="506"/>
      <c r="X41" s="506"/>
      <c r="Y41" s="506"/>
      <c r="Z41" s="506"/>
      <c r="AA41" s="506"/>
      <c r="AB41" s="506"/>
      <c r="AC41" s="506"/>
      <c r="AD41" s="506"/>
      <c r="AE41" s="506"/>
      <c r="AF41" s="506"/>
      <c r="AG41" s="506"/>
      <c r="AH41" s="506"/>
      <c r="AI41" s="506"/>
      <c r="AJ41" s="506"/>
      <c r="AK41" s="506"/>
      <c r="AL41" s="506"/>
      <c r="AM41" s="506"/>
      <c r="AN41" s="506"/>
      <c r="AO41" s="506"/>
      <c r="AP41" s="506"/>
      <c r="AQ41" s="506"/>
      <c r="AR41" s="506"/>
      <c r="AS41" s="506"/>
      <c r="AT41" s="506"/>
      <c r="AU41" s="506"/>
      <c r="AV41" s="506"/>
      <c r="AW41" s="506"/>
      <c r="AX41" s="506"/>
      <c r="AY41" s="506"/>
      <c r="AZ41" s="506"/>
      <c r="BA41" s="506"/>
    </row>
    <row r="42" spans="1:53" ht="15" hidden="1" outlineLevel="1">
      <c r="A42" s="506"/>
      <c r="B42" s="506"/>
      <c r="C42" s="506"/>
      <c r="D42" s="506"/>
      <c r="E42" s="506"/>
      <c r="F42" s="506"/>
      <c r="G42" s="506"/>
      <c r="H42" s="506"/>
      <c r="I42" s="506"/>
      <c r="J42" s="506"/>
      <c r="K42" s="506"/>
      <c r="L42" s="19" t="s">
        <v>282</v>
      </c>
      <c r="M42" s="506"/>
      <c r="N42" s="506"/>
      <c r="O42" s="506"/>
      <c r="P42" s="506"/>
      <c r="Q42" s="506"/>
      <c r="R42" s="506"/>
      <c r="S42" s="506"/>
      <c r="T42" s="506"/>
      <c r="U42" s="506"/>
      <c r="V42" s="506"/>
      <c r="W42" s="506"/>
      <c r="X42" s="506"/>
      <c r="Y42" s="506"/>
      <c r="Z42" s="506"/>
      <c r="AA42" s="506"/>
      <c r="AB42" s="506"/>
      <c r="AC42" s="506"/>
      <c r="AD42" s="506"/>
      <c r="AE42" s="506"/>
      <c r="AF42" s="506"/>
      <c r="AG42" s="506"/>
      <c r="AH42" s="506"/>
      <c r="AI42" s="506"/>
      <c r="AJ42" s="506"/>
      <c r="AK42" s="506"/>
      <c r="AL42" s="506"/>
      <c r="AM42" s="506"/>
      <c r="AN42" s="506"/>
      <c r="AO42" s="506"/>
      <c r="AP42" s="506"/>
      <c r="AQ42" s="506"/>
      <c r="AR42" s="506"/>
      <c r="AS42" s="506"/>
      <c r="AT42" s="506"/>
      <c r="AU42" s="506"/>
      <c r="AV42" s="506"/>
      <c r="AW42" s="506"/>
      <c r="AX42" s="506"/>
      <c r="AY42" s="506"/>
      <c r="AZ42" s="506"/>
      <c r="BA42" s="506"/>
    </row>
    <row r="43" spans="1:53" hidden="1" outlineLevel="1">
      <c r="A43" s="506"/>
      <c r="B43" s="506"/>
      <c r="C43" s="506"/>
      <c r="D43" s="506"/>
      <c r="E43" s="506"/>
      <c r="F43" s="506"/>
      <c r="G43" s="506"/>
      <c r="H43" s="506"/>
      <c r="I43" s="506"/>
      <c r="J43" s="506"/>
      <c r="K43" s="506"/>
      <c r="L43" s="506" t="s">
        <v>283</v>
      </c>
      <c r="M43" s="619">
        <f t="shared" ref="M43:AJ43" si="12">M18</f>
        <v>0</v>
      </c>
      <c r="N43" s="619">
        <f t="shared" si="12"/>
        <v>0</v>
      </c>
      <c r="O43" s="619">
        <f t="shared" si="12"/>
        <v>0</v>
      </c>
      <c r="P43" s="619">
        <f t="shared" si="12"/>
        <v>0</v>
      </c>
      <c r="Q43" s="619">
        <f t="shared" si="12"/>
        <v>0</v>
      </c>
      <c r="R43" s="619">
        <f t="shared" si="12"/>
        <v>0</v>
      </c>
      <c r="S43" s="619">
        <f t="shared" si="12"/>
        <v>0</v>
      </c>
      <c r="T43" s="619">
        <f t="shared" si="12"/>
        <v>0</v>
      </c>
      <c r="U43" s="619">
        <f t="shared" si="12"/>
        <v>0</v>
      </c>
      <c r="V43" s="619">
        <f t="shared" si="12"/>
        <v>0</v>
      </c>
      <c r="W43" s="619">
        <f t="shared" ca="1" si="12"/>
        <v>268500000</v>
      </c>
      <c r="X43" s="619">
        <f t="shared" si="12"/>
        <v>0</v>
      </c>
      <c r="Y43" s="619">
        <f t="shared" si="12"/>
        <v>0</v>
      </c>
      <c r="Z43" s="619">
        <f t="shared" si="12"/>
        <v>0</v>
      </c>
      <c r="AA43" s="619">
        <f t="shared" si="12"/>
        <v>0</v>
      </c>
      <c r="AB43" s="619">
        <f t="shared" si="12"/>
        <v>0</v>
      </c>
      <c r="AC43" s="619">
        <f t="shared" si="12"/>
        <v>0</v>
      </c>
      <c r="AD43" s="619">
        <f t="shared" si="12"/>
        <v>0</v>
      </c>
      <c r="AE43" s="619">
        <f t="shared" si="12"/>
        <v>0</v>
      </c>
      <c r="AF43" s="619">
        <f t="shared" si="12"/>
        <v>0</v>
      </c>
      <c r="AG43" s="619">
        <f t="shared" si="12"/>
        <v>0</v>
      </c>
      <c r="AH43" s="619">
        <f t="shared" si="12"/>
        <v>0</v>
      </c>
      <c r="AI43" s="619">
        <f t="shared" si="12"/>
        <v>0</v>
      </c>
      <c r="AJ43" s="619">
        <f t="shared" si="12"/>
        <v>0</v>
      </c>
      <c r="AK43" s="619"/>
      <c r="AL43" s="619"/>
      <c r="AM43" s="619"/>
      <c r="AN43" s="619"/>
      <c r="AO43" s="619"/>
      <c r="AP43" s="619"/>
      <c r="AQ43" s="619"/>
      <c r="AR43" s="619"/>
      <c r="AS43" s="619"/>
      <c r="AT43" s="619"/>
      <c r="AU43" s="619"/>
      <c r="AV43" s="619"/>
      <c r="AW43" s="619"/>
      <c r="AX43" s="619"/>
      <c r="AY43" s="619"/>
      <c r="AZ43" s="619"/>
      <c r="BA43" s="619"/>
    </row>
    <row r="44" spans="1:53" hidden="1" outlineLevel="1">
      <c r="A44" s="506"/>
      <c r="B44" s="506"/>
      <c r="C44" s="506"/>
      <c r="D44" s="506"/>
      <c r="E44" s="506"/>
      <c r="F44" s="506"/>
      <c r="G44" s="506"/>
      <c r="H44" s="506"/>
      <c r="I44" s="506"/>
      <c r="J44" s="506"/>
      <c r="K44" s="506"/>
      <c r="L44" s="506" t="s">
        <v>238</v>
      </c>
      <c r="M44" s="619">
        <f t="shared" ref="M44:AJ44" ca="1" si="13">M23</f>
        <v>15367179.368103392</v>
      </c>
      <c r="N44" s="619">
        <f t="shared" ca="1" si="13"/>
        <v>15564605.022112153</v>
      </c>
      <c r="O44" s="619">
        <f t="shared" ca="1" si="13"/>
        <v>15764440.33813414</v>
      </c>
      <c r="P44" s="619">
        <f t="shared" ca="1" si="13"/>
        <v>15966711.965494689</v>
      </c>
      <c r="Q44" s="619">
        <f t="shared" ca="1" si="13"/>
        <v>16171446.784890812</v>
      </c>
      <c r="R44" s="619">
        <f t="shared" ca="1" si="13"/>
        <v>16378671.908796068</v>
      </c>
      <c r="S44" s="619">
        <f t="shared" ca="1" si="13"/>
        <v>16588414.681814335</v>
      </c>
      <c r="T44" s="619">
        <f t="shared" ca="1" si="13"/>
        <v>16800702.680980761</v>
      </c>
      <c r="U44" s="619">
        <f t="shared" ca="1" si="13"/>
        <v>17015563.716007937</v>
      </c>
      <c r="V44" s="619">
        <f t="shared" ca="1" si="13"/>
        <v>17233025.829475358</v>
      </c>
      <c r="W44" s="619">
        <f t="shared" ca="1" si="13"/>
        <v>17453117.29696019</v>
      </c>
      <c r="X44" s="619" t="str">
        <f t="shared" si="13"/>
        <v/>
      </c>
      <c r="Y44" s="619" t="str">
        <f t="shared" si="13"/>
        <v/>
      </c>
      <c r="Z44" s="619" t="str">
        <f t="shared" si="13"/>
        <v/>
      </c>
      <c r="AA44" s="619" t="str">
        <f t="shared" si="13"/>
        <v/>
      </c>
      <c r="AB44" s="619" t="str">
        <f t="shared" si="13"/>
        <v/>
      </c>
      <c r="AC44" s="619" t="str">
        <f t="shared" si="13"/>
        <v/>
      </c>
      <c r="AD44" s="619" t="str">
        <f t="shared" si="13"/>
        <v/>
      </c>
      <c r="AE44" s="619" t="str">
        <f t="shared" si="13"/>
        <v/>
      </c>
      <c r="AF44" s="619" t="str">
        <f t="shared" si="13"/>
        <v/>
      </c>
      <c r="AG44" s="619" t="str">
        <f t="shared" si="13"/>
        <v/>
      </c>
      <c r="AH44" s="619" t="str">
        <f t="shared" si="13"/>
        <v/>
      </c>
      <c r="AI44" s="619" t="str">
        <f t="shared" si="13"/>
        <v/>
      </c>
      <c r="AJ44" s="619" t="str">
        <f t="shared" si="13"/>
        <v/>
      </c>
      <c r="AK44" s="619"/>
      <c r="AL44" s="619"/>
      <c r="AM44" s="619"/>
      <c r="AN44" s="619"/>
      <c r="AO44" s="619"/>
      <c r="AP44" s="619"/>
      <c r="AQ44" s="619"/>
      <c r="AR44" s="619"/>
      <c r="AS44" s="619"/>
      <c r="AT44" s="619"/>
      <c r="AU44" s="619"/>
      <c r="AV44" s="619"/>
      <c r="AW44" s="619"/>
      <c r="AX44" s="619"/>
      <c r="AY44" s="619"/>
      <c r="AZ44" s="619"/>
      <c r="BA44" s="619"/>
    </row>
    <row r="45" spans="1:53" hidden="1" outlineLevel="1">
      <c r="A45" s="506"/>
      <c r="B45" s="506"/>
      <c r="C45" s="506"/>
      <c r="D45" s="506"/>
      <c r="E45" s="506"/>
      <c r="F45" s="506"/>
      <c r="G45" s="506"/>
      <c r="H45" s="506"/>
      <c r="I45" s="506"/>
      <c r="J45" s="506"/>
      <c r="K45" s="506"/>
      <c r="L45" s="506" t="s">
        <v>284</v>
      </c>
      <c r="M45" s="619">
        <f t="shared" ref="M45:AJ45" si="14">M26+M30</f>
        <v>-3331152.4769574413</v>
      </c>
      <c r="N45" s="619">
        <f t="shared" si="14"/>
        <v>-3313834.6624965891</v>
      </c>
      <c r="O45" s="619">
        <f t="shared" si="14"/>
        <v>-3204757.9957465213</v>
      </c>
      <c r="P45" s="619">
        <f t="shared" si="14"/>
        <v>-3095924.035661452</v>
      </c>
      <c r="Q45" s="619">
        <f t="shared" si="14"/>
        <v>-2987337.6363746813</v>
      </c>
      <c r="R45" s="619">
        <f t="shared" si="14"/>
        <v>-2879003.7491021743</v>
      </c>
      <c r="S45" s="619">
        <f t="shared" si="14"/>
        <v>-2770927.4240842182</v>
      </c>
      <c r="T45" s="619">
        <f t="shared" si="14"/>
        <v>-2663113.8125659027</v>
      </c>
      <c r="U45" s="619">
        <f t="shared" si="14"/>
        <v>-2555568.1688172207</v>
      </c>
      <c r="V45" s="619">
        <f t="shared" si="14"/>
        <v>-2448295.8521935651</v>
      </c>
      <c r="W45" s="619">
        <f t="shared" si="14"/>
        <v>-2341302.3292374364</v>
      </c>
      <c r="X45" s="619" t="e">
        <f t="shared" si="14"/>
        <v>#VALUE!</v>
      </c>
      <c r="Y45" s="619" t="e">
        <f t="shared" si="14"/>
        <v>#VALUE!</v>
      </c>
      <c r="Z45" s="619" t="e">
        <f t="shared" si="14"/>
        <v>#VALUE!</v>
      </c>
      <c r="AA45" s="619" t="e">
        <f t="shared" si="14"/>
        <v>#VALUE!</v>
      </c>
      <c r="AB45" s="619" t="e">
        <f t="shared" si="14"/>
        <v>#VALUE!</v>
      </c>
      <c r="AC45" s="619" t="e">
        <f t="shared" si="14"/>
        <v>#VALUE!</v>
      </c>
      <c r="AD45" s="619" t="e">
        <f t="shared" si="14"/>
        <v>#VALUE!</v>
      </c>
      <c r="AE45" s="619" t="e">
        <f t="shared" si="14"/>
        <v>#VALUE!</v>
      </c>
      <c r="AF45" s="619" t="e">
        <f t="shared" si="14"/>
        <v>#VALUE!</v>
      </c>
      <c r="AG45" s="619" t="e">
        <f t="shared" si="14"/>
        <v>#VALUE!</v>
      </c>
      <c r="AH45" s="619" t="e">
        <f t="shared" si="14"/>
        <v>#VALUE!</v>
      </c>
      <c r="AI45" s="619" t="e">
        <f t="shared" si="14"/>
        <v>#VALUE!</v>
      </c>
      <c r="AJ45" s="619" t="e">
        <f t="shared" si="14"/>
        <v>#VALUE!</v>
      </c>
      <c r="AK45" s="619"/>
      <c r="AL45" s="619"/>
      <c r="AM45" s="619"/>
      <c r="AN45" s="619"/>
      <c r="AO45" s="619"/>
      <c r="AP45" s="619"/>
      <c r="AQ45" s="619"/>
      <c r="AR45" s="619"/>
      <c r="AS45" s="619"/>
      <c r="AT45" s="619"/>
      <c r="AU45" s="619"/>
      <c r="AV45" s="619"/>
      <c r="AW45" s="619"/>
      <c r="AX45" s="619"/>
      <c r="AY45" s="619"/>
      <c r="AZ45" s="619"/>
      <c r="BA45" s="619"/>
    </row>
    <row r="46" spans="1:53" hidden="1" outlineLevel="1">
      <c r="A46" s="506"/>
      <c r="B46" s="506"/>
      <c r="C46" s="506"/>
      <c r="D46" s="506"/>
      <c r="E46" s="506"/>
      <c r="F46" s="506"/>
      <c r="G46" s="506"/>
      <c r="H46" s="506"/>
      <c r="I46" s="506"/>
      <c r="J46" s="506"/>
      <c r="K46" s="506"/>
      <c r="L46" s="506" t="s">
        <v>285</v>
      </c>
      <c r="M46" s="619">
        <f t="shared" ref="M46:AJ46" ca="1" si="15">M32</f>
        <v>-981239.72139424807</v>
      </c>
      <c r="N46" s="619">
        <f t="shared" ca="1" si="15"/>
        <v>-1025476.8758989882</v>
      </c>
      <c r="O46" s="619">
        <f t="shared" ca="1" si="15"/>
        <v>-1089112.7443500317</v>
      </c>
      <c r="P46" s="619">
        <f t="shared" ca="1" si="15"/>
        <v>-1153200.4953638287</v>
      </c>
      <c r="Q46" s="619">
        <f t="shared" ca="1" si="15"/>
        <v>-1217744.6664125046</v>
      </c>
      <c r="R46" s="619">
        <f t="shared" ca="1" si="15"/>
        <v>-1282749.8227151239</v>
      </c>
      <c r="S46" s="619">
        <f t="shared" ca="1" si="15"/>
        <v>-1348220.5569105861</v>
      </c>
      <c r="T46" s="619">
        <f t="shared" ca="1" si="15"/>
        <v>-1414161.4887116428</v>
      </c>
      <c r="U46" s="619">
        <f t="shared" ca="1" si="15"/>
        <v>-1480577.2645394695</v>
      </c>
      <c r="V46" s="619">
        <f t="shared" ca="1" si="15"/>
        <v>-1547472.5571382311</v>
      </c>
      <c r="W46" s="619">
        <f t="shared" ca="1" si="15"/>
        <v>-37449488.428805433</v>
      </c>
      <c r="X46" s="619" t="str">
        <f t="shared" si="15"/>
        <v/>
      </c>
      <c r="Y46" s="619" t="str">
        <f t="shared" si="15"/>
        <v/>
      </c>
      <c r="Z46" s="619" t="str">
        <f t="shared" si="15"/>
        <v/>
      </c>
      <c r="AA46" s="619" t="str">
        <f t="shared" si="15"/>
        <v/>
      </c>
      <c r="AB46" s="619" t="str">
        <f t="shared" si="15"/>
        <v/>
      </c>
      <c r="AC46" s="619" t="str">
        <f t="shared" si="15"/>
        <v/>
      </c>
      <c r="AD46" s="619" t="str">
        <f t="shared" si="15"/>
        <v/>
      </c>
      <c r="AE46" s="619" t="str">
        <f t="shared" si="15"/>
        <v/>
      </c>
      <c r="AF46" s="619" t="str">
        <f t="shared" si="15"/>
        <v/>
      </c>
      <c r="AG46" s="619" t="str">
        <f t="shared" si="15"/>
        <v/>
      </c>
      <c r="AH46" s="619" t="str">
        <f t="shared" si="15"/>
        <v/>
      </c>
      <c r="AI46" s="619" t="str">
        <f t="shared" si="15"/>
        <v/>
      </c>
      <c r="AJ46" s="619" t="str">
        <f t="shared" si="15"/>
        <v/>
      </c>
      <c r="AK46" s="619"/>
      <c r="AL46" s="619"/>
      <c r="AM46" s="619"/>
      <c r="AN46" s="619"/>
      <c r="AO46" s="619"/>
      <c r="AP46" s="619"/>
      <c r="AQ46" s="619"/>
      <c r="AR46" s="619"/>
      <c r="AS46" s="619"/>
      <c r="AT46" s="619"/>
      <c r="AU46" s="619"/>
      <c r="AV46" s="619"/>
      <c r="AW46" s="619"/>
      <c r="AX46" s="619"/>
      <c r="AY46" s="619"/>
      <c r="AZ46" s="619"/>
      <c r="BA46" s="619"/>
    </row>
    <row r="47" spans="1:53" hidden="1" outlineLevel="1">
      <c r="A47" s="506"/>
      <c r="B47" s="506"/>
      <c r="C47" s="506"/>
      <c r="D47" s="506"/>
      <c r="E47" s="506"/>
      <c r="F47" s="506"/>
      <c r="G47" s="506"/>
      <c r="H47" s="506"/>
      <c r="I47" s="506"/>
      <c r="J47" s="506"/>
      <c r="K47" s="506"/>
      <c r="L47" s="506" t="s">
        <v>75</v>
      </c>
      <c r="M47" s="619">
        <f t="shared" ref="M47:AJ47" si="16">M34+M35</f>
        <v>-2663999.9999999995</v>
      </c>
      <c r="N47" s="619">
        <f t="shared" si="16"/>
        <v>-2663999.9999999995</v>
      </c>
      <c r="O47" s="619">
        <f t="shared" si="16"/>
        <v>-2663999.9999999995</v>
      </c>
      <c r="P47" s="619">
        <f t="shared" si="16"/>
        <v>-2663999.9999999995</v>
      </c>
      <c r="Q47" s="619">
        <f t="shared" si="16"/>
        <v>-2663999.9999999995</v>
      </c>
      <c r="R47" s="619">
        <f t="shared" si="16"/>
        <v>-2663999.9999999995</v>
      </c>
      <c r="S47" s="619">
        <f t="shared" si="16"/>
        <v>-2663999.9999999995</v>
      </c>
      <c r="T47" s="619">
        <f t="shared" si="16"/>
        <v>-2663999.9999999995</v>
      </c>
      <c r="U47" s="619">
        <f t="shared" si="16"/>
        <v>-2663999.9999999995</v>
      </c>
      <c r="V47" s="619">
        <f t="shared" si="16"/>
        <v>-2663999.9999999995</v>
      </c>
      <c r="W47" s="619">
        <f t="shared" si="16"/>
        <v>-38183999.999999993</v>
      </c>
      <c r="X47" s="619" t="e">
        <f t="shared" si="16"/>
        <v>#VALUE!</v>
      </c>
      <c r="Y47" s="619" t="e">
        <f t="shared" si="16"/>
        <v>#VALUE!</v>
      </c>
      <c r="Z47" s="619" t="e">
        <f t="shared" si="16"/>
        <v>#VALUE!</v>
      </c>
      <c r="AA47" s="619" t="e">
        <f t="shared" si="16"/>
        <v>#VALUE!</v>
      </c>
      <c r="AB47" s="619" t="e">
        <f t="shared" si="16"/>
        <v>#VALUE!</v>
      </c>
      <c r="AC47" s="619" t="e">
        <f t="shared" si="16"/>
        <v>#VALUE!</v>
      </c>
      <c r="AD47" s="619" t="e">
        <f t="shared" si="16"/>
        <v>#VALUE!</v>
      </c>
      <c r="AE47" s="619" t="e">
        <f t="shared" si="16"/>
        <v>#VALUE!</v>
      </c>
      <c r="AF47" s="619" t="e">
        <f t="shared" si="16"/>
        <v>#VALUE!</v>
      </c>
      <c r="AG47" s="619" t="e">
        <f t="shared" si="16"/>
        <v>#VALUE!</v>
      </c>
      <c r="AH47" s="619" t="e">
        <f t="shared" si="16"/>
        <v>#VALUE!</v>
      </c>
      <c r="AI47" s="619" t="e">
        <f t="shared" si="16"/>
        <v>#VALUE!</v>
      </c>
      <c r="AJ47" s="619" t="e">
        <f t="shared" si="16"/>
        <v>#VALUE!</v>
      </c>
      <c r="AK47" s="619"/>
      <c r="AL47" s="619"/>
      <c r="AM47" s="619"/>
      <c r="AN47" s="619"/>
      <c r="AO47" s="619"/>
      <c r="AP47" s="619"/>
      <c r="AQ47" s="619"/>
      <c r="AR47" s="619"/>
      <c r="AS47" s="619"/>
      <c r="AT47" s="619"/>
      <c r="AU47" s="619"/>
      <c r="AV47" s="619"/>
      <c r="AW47" s="619"/>
      <c r="AX47" s="619"/>
      <c r="AY47" s="619"/>
      <c r="AZ47" s="619"/>
      <c r="BA47" s="619"/>
    </row>
    <row r="48" spans="1:53" hidden="1" outlineLevel="1">
      <c r="A48" s="506"/>
      <c r="B48" s="506"/>
      <c r="C48" s="506"/>
      <c r="D48" s="506"/>
      <c r="E48" s="506"/>
      <c r="F48" s="506"/>
      <c r="G48" s="506"/>
      <c r="H48" s="506"/>
      <c r="I48" s="506"/>
      <c r="J48" s="506"/>
      <c r="K48" s="506"/>
      <c r="L48" s="506" t="s">
        <v>286</v>
      </c>
      <c r="M48" s="619">
        <f ca="1">SUM(M43:M47)-M46</f>
        <v>9372026.891145952</v>
      </c>
      <c r="N48" s="619">
        <f t="shared" ref="N48:V48" ca="1" si="17">N49-N46</f>
        <v>9586770.3596155643</v>
      </c>
      <c r="O48" s="619">
        <f t="shared" ca="1" si="17"/>
        <v>9895682.3423876185</v>
      </c>
      <c r="P48" s="619">
        <f t="shared" ca="1" si="17"/>
        <v>10206787.929833237</v>
      </c>
      <c r="Q48" s="619">
        <f t="shared" ca="1" si="17"/>
        <v>10520109.14851613</v>
      </c>
      <c r="R48" s="619">
        <f t="shared" ca="1" si="17"/>
        <v>10835668.159693893</v>
      </c>
      <c r="S48" s="619">
        <f t="shared" ca="1" si="17"/>
        <v>11153487.257730117</v>
      </c>
      <c r="T48" s="619">
        <f t="shared" ca="1" si="17"/>
        <v>11473588.868414858</v>
      </c>
      <c r="U48" s="619">
        <f t="shared" ca="1" si="17"/>
        <v>11795995.547190716</v>
      </c>
      <c r="V48" s="619">
        <f t="shared" ca="1" si="17"/>
        <v>12120729.977281794</v>
      </c>
      <c r="W48" s="619">
        <f ca="1">W49-W46</f>
        <v>245427814.96772271</v>
      </c>
      <c r="X48" s="619" t="e">
        <f t="shared" ref="X48:AJ48" si="18">X49-X46</f>
        <v>#VALUE!</v>
      </c>
      <c r="Y48" s="619" t="e">
        <f>SUM(Y43:Y47)-Y46</f>
        <v>#VALUE!</v>
      </c>
      <c r="Z48" s="619" t="e">
        <f t="shared" si="18"/>
        <v>#VALUE!</v>
      </c>
      <c r="AA48" s="619" t="e">
        <f t="shared" si="18"/>
        <v>#VALUE!</v>
      </c>
      <c r="AB48" s="619" t="e">
        <f t="shared" si="18"/>
        <v>#VALUE!</v>
      </c>
      <c r="AC48" s="619" t="e">
        <f t="shared" si="18"/>
        <v>#VALUE!</v>
      </c>
      <c r="AD48" s="619" t="e">
        <f t="shared" si="18"/>
        <v>#VALUE!</v>
      </c>
      <c r="AE48" s="619" t="e">
        <f t="shared" si="18"/>
        <v>#VALUE!</v>
      </c>
      <c r="AF48" s="619" t="e">
        <f t="shared" si="18"/>
        <v>#VALUE!</v>
      </c>
      <c r="AG48" s="619" t="e">
        <f t="shared" si="18"/>
        <v>#VALUE!</v>
      </c>
      <c r="AH48" s="619" t="e">
        <f t="shared" si="18"/>
        <v>#VALUE!</v>
      </c>
      <c r="AI48" s="619" t="e">
        <f t="shared" si="18"/>
        <v>#VALUE!</v>
      </c>
      <c r="AJ48" s="619" t="e">
        <f t="shared" si="18"/>
        <v>#VALUE!</v>
      </c>
      <c r="AK48" s="619"/>
      <c r="AL48" s="619"/>
      <c r="AM48" s="619"/>
      <c r="AN48" s="619"/>
      <c r="AO48" s="619"/>
      <c r="AP48" s="619"/>
      <c r="AQ48" s="619"/>
      <c r="AR48" s="619"/>
      <c r="AS48" s="619"/>
      <c r="AT48" s="619"/>
      <c r="AU48" s="619"/>
      <c r="AV48" s="619"/>
      <c r="AW48" s="619"/>
      <c r="AX48" s="619"/>
      <c r="AY48" s="619"/>
      <c r="AZ48" s="619"/>
      <c r="BA48" s="619"/>
    </row>
    <row r="49" spans="2:53" hidden="1" outlineLevel="1">
      <c r="L49" s="506" t="s">
        <v>287</v>
      </c>
      <c r="M49" s="619">
        <f ca="1">SUM(M43:M47)</f>
        <v>8390787.1697517037</v>
      </c>
      <c r="N49" s="619">
        <f t="shared" ref="N49:AJ49" ca="1" si="19">SUM(N43:N47)</f>
        <v>8561293.4837165754</v>
      </c>
      <c r="O49" s="619">
        <f t="shared" ca="1" si="19"/>
        <v>8806569.5980375875</v>
      </c>
      <c r="P49" s="619">
        <f t="shared" ca="1" si="19"/>
        <v>9053587.4344694093</v>
      </c>
      <c r="Q49" s="619">
        <f t="shared" ca="1" si="19"/>
        <v>9302364.4821036253</v>
      </c>
      <c r="R49" s="619">
        <f t="shared" ca="1" si="19"/>
        <v>9552918.3369787689</v>
      </c>
      <c r="S49" s="619">
        <f t="shared" ca="1" si="19"/>
        <v>9805266.7008195315</v>
      </c>
      <c r="T49" s="619">
        <f t="shared" ca="1" si="19"/>
        <v>10059427.379703216</v>
      </c>
      <c r="U49" s="619">
        <f t="shared" ca="1" si="19"/>
        <v>10315418.282651247</v>
      </c>
      <c r="V49" s="619">
        <f t="shared" ca="1" si="19"/>
        <v>10573257.420143563</v>
      </c>
      <c r="W49" s="619">
        <f t="shared" ca="1" si="19"/>
        <v>207978326.53891727</v>
      </c>
      <c r="X49" s="619" t="e">
        <f t="shared" si="19"/>
        <v>#VALUE!</v>
      </c>
      <c r="Y49" s="619" t="e">
        <f t="shared" si="19"/>
        <v>#VALUE!</v>
      </c>
      <c r="Z49" s="619" t="e">
        <f t="shared" si="19"/>
        <v>#VALUE!</v>
      </c>
      <c r="AA49" s="619" t="e">
        <f t="shared" si="19"/>
        <v>#VALUE!</v>
      </c>
      <c r="AB49" s="619" t="e">
        <f t="shared" si="19"/>
        <v>#VALUE!</v>
      </c>
      <c r="AC49" s="619" t="e">
        <f t="shared" si="19"/>
        <v>#VALUE!</v>
      </c>
      <c r="AD49" s="619" t="e">
        <f t="shared" si="19"/>
        <v>#VALUE!</v>
      </c>
      <c r="AE49" s="619" t="e">
        <f t="shared" si="19"/>
        <v>#VALUE!</v>
      </c>
      <c r="AF49" s="619" t="e">
        <f t="shared" si="19"/>
        <v>#VALUE!</v>
      </c>
      <c r="AG49" s="619" t="e">
        <f t="shared" si="19"/>
        <v>#VALUE!</v>
      </c>
      <c r="AH49" s="619" t="e">
        <f t="shared" si="19"/>
        <v>#VALUE!</v>
      </c>
      <c r="AI49" s="619" t="e">
        <f t="shared" si="19"/>
        <v>#VALUE!</v>
      </c>
      <c r="AJ49" s="619" t="e">
        <f t="shared" si="19"/>
        <v>#VALUE!</v>
      </c>
      <c r="AK49" s="619"/>
      <c r="AL49" s="619"/>
      <c r="AM49" s="619"/>
      <c r="AN49" s="619"/>
      <c r="AO49" s="619"/>
      <c r="AP49" s="619"/>
      <c r="AQ49" s="619"/>
      <c r="AR49" s="619"/>
      <c r="AS49" s="619"/>
      <c r="AT49" s="619"/>
      <c r="AU49" s="619"/>
      <c r="AV49" s="619"/>
      <c r="AW49" s="619"/>
      <c r="AX49" s="619"/>
      <c r="AY49" s="619"/>
      <c r="AZ49" s="619"/>
      <c r="BA49" s="619"/>
    </row>
    <row r="50" spans="2:53" collapsed="1">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row>
    <row r="53" spans="2:53" ht="15">
      <c r="B53" s="327" t="s">
        <v>398</v>
      </c>
      <c r="C53" s="327"/>
      <c r="D53" s="330"/>
      <c r="E53" s="330"/>
      <c r="F53" s="330"/>
      <c r="G53" s="330"/>
      <c r="H53" s="330"/>
      <c r="I53" s="330"/>
      <c r="J53" s="330"/>
      <c r="K53" s="330"/>
      <c r="L53" s="330"/>
      <c r="M53" s="330"/>
      <c r="N53" s="330"/>
      <c r="O53" s="330"/>
      <c r="P53" s="330"/>
      <c r="Q53" s="330"/>
      <c r="R53" s="330"/>
      <c r="S53" s="330"/>
      <c r="T53" s="330"/>
      <c r="U53" s="330"/>
      <c r="V53" s="330"/>
      <c r="W53" s="330"/>
    </row>
    <row r="54" spans="2:53" ht="30" customHeight="1">
      <c r="B54" s="402" t="s">
        <v>399</v>
      </c>
      <c r="C54" s="402" t="s">
        <v>400</v>
      </c>
      <c r="D54" s="402" t="str">
        <f>"Exit-värde år "&amp;$C$5</f>
        <v>Exit-värde år 20</v>
      </c>
      <c r="E54" s="402" t="s">
        <v>401</v>
      </c>
      <c r="F54" s="402" t="s">
        <v>402</v>
      </c>
      <c r="G54" s="402" t="s">
        <v>403</v>
      </c>
      <c r="H54" s="402" t="s">
        <v>422</v>
      </c>
    </row>
    <row r="55" spans="2:53" ht="15">
      <c r="B55" s="421" t="s">
        <v>404</v>
      </c>
      <c r="C55" s="757">
        <f>'2. Kalkyldata'!$M$11-0.01</f>
        <v>5.5E-2</v>
      </c>
      <c r="D55" s="423">
        <f ca="1">$C$7*'2. Kalkyldata'!$M$11/C55</f>
        <v>317318181.81818181</v>
      </c>
      <c r="E55" s="757">
        <f ca="1">IFERROR(IRR(D59:BA59),"N/A")</f>
        <v>8.6683830293865061E-2</v>
      </c>
      <c r="F55" s="423">
        <f ca="1">'4. NPV'!$E$77+'4. NPV'!$E$78+ROUND(ROUND('4. NPV'!$E$79*'2. Kalkyldata'!$M$11/C55/10000,0)*10000/((1+C55+'2. Kalkyldata'!$M$9)^'4. NPV'!$E$47)/10000,0)*10000+'4. NPV'!$E$56</f>
        <v>32760000.00000003</v>
      </c>
      <c r="G55" s="423" t="str">
        <f ca="1">IF(ISNUMBER(E55),IF(E55&gt;='2. Kalkyldata'!$F$14,"✓ klarar krav","⚠ under krav"),"")</f>
        <v>✓ klarar krav</v>
      </c>
      <c r="H55" s="763">
        <f>CEILING('2. Kalkyldata'!$AD$20*'2. Kalkyldata'!$AF$19,1)</f>
        <v>2384</v>
      </c>
    </row>
    <row r="56" spans="2:53" ht="15">
      <c r="B56" s="421" t="s">
        <v>405</v>
      </c>
      <c r="C56" s="757">
        <f>'2. Kalkyldata'!$M$11</f>
        <v>6.5000000000000002E-2</v>
      </c>
      <c r="D56" s="423">
        <f ca="1">$C$7*'2. Kalkyldata'!$M$11/C56</f>
        <v>268500000</v>
      </c>
      <c r="E56" s="757">
        <f ca="1">IFERROR(IRR(D60:BA60),"N/A")</f>
        <v>8.0257395749901095E-2</v>
      </c>
      <c r="F56" s="423">
        <f ca="1">'4. NPV'!$E$77+'4. NPV'!$E$78+ROUND(ROUND('4. NPV'!$E$79*'2. Kalkyldata'!$M$11/C56/10000,0)*10000/((1+C56+'2. Kalkyldata'!$M$9)^'4. NPV'!$E$47)/10000,0)*10000+'4. NPV'!$E$56</f>
        <v>10300000.00000003</v>
      </c>
      <c r="G56" s="423" t="str">
        <f ca="1">IF(ISNUMBER(E56),IF(E56&gt;='2. Kalkyldata'!$F$14,"✓ klarar krav","⚠ under krav"),"")</f>
        <v>✓ klarar krav</v>
      </c>
      <c r="H56" s="763">
        <f>CEILING('2. Kalkyldata'!$AD$20*'2. Kalkyldata'!$AD$19,1)</f>
        <v>2559</v>
      </c>
    </row>
    <row r="57" spans="2:53" ht="15">
      <c r="B57" s="421" t="s">
        <v>406</v>
      </c>
      <c r="C57" s="757">
        <f>'2. Kalkyldata'!$M$11+0.01</f>
        <v>7.4999999999999997E-2</v>
      </c>
      <c r="D57" s="423">
        <f ca="1">$C$7*'2. Kalkyldata'!$M$11/C57</f>
        <v>232700000</v>
      </c>
      <c r="E57" s="757">
        <f ca="1">IFERROR(IRR(D61:BA61),"N/A")</f>
        <v>7.4975068592003424E-2</v>
      </c>
      <c r="F57" s="423">
        <f ca="1">'4. NPV'!$E$77+'4. NPV'!$E$78+ROUND(ROUND('4. NPV'!$E$79*'2. Kalkyldata'!$M$11/C57/10000,0)*10000/((1+C57+'2. Kalkyldata'!$M$9)^'4. NPV'!$E$47)/10000,0)*10000+'4. NPV'!$E$56</f>
        <v>-4529999.9999999702</v>
      </c>
      <c r="G57" s="423" t="str">
        <f ca="1">IF(ISNUMBER(E57),IF(E57&gt;='2. Kalkyldata'!$F$14,"✓ klarar krav","⚠ under krav"),"")</f>
        <v>✓ klarar krav</v>
      </c>
      <c r="H57" s="763">
        <f>CEILING('2. Kalkyldata'!$AD$20*'2. Kalkyldata'!$AG$19,1)</f>
        <v>2693</v>
      </c>
    </row>
    <row r="59" spans="2:53" ht="15">
      <c r="B59" s="421" t="s">
        <v>407</v>
      </c>
      <c r="C59" s="421"/>
      <c r="D59" s="423">
        <f ca="1">IF(D$37="","",IF(D$14=$C$5,D$37+$A$7*($D55-$C$7),D$37))</f>
        <v>-143301875.19999996</v>
      </c>
      <c r="E59" s="423">
        <f ca="1">IF(E$37="","",IF(E$14=$C$5,E$37+$A$7*($D55-$C$7),E$37))</f>
        <v>8013555.8400000017</v>
      </c>
      <c r="F59" s="423">
        <f ca="1">IF(F$37="","",IF(F$14=$C$5,F$37+$A$7*($D55-$C$7),F$37))</f>
        <v>8148613.3560000006</v>
      </c>
      <c r="G59" s="423">
        <f ca="1">IF(G$37="","",IF(G$14=$C$5,G$37+$A$7*($D55-$C$7),G$37))</f>
        <v>8293557.9586800039</v>
      </c>
      <c r="H59" s="423">
        <f ca="1">IF(H$37="","",IF(H$14=$C$5,H$37+$A$7*($D55-$C$7),H$37))</f>
        <v>8448410.4047930446</v>
      </c>
      <c r="I59" s="423">
        <f ca="1">IF(I$37="","",IF(I$14=$C$5,I$37+$A$7*($D55-$C$7),I$37))</f>
        <v>8613191.5963606983</v>
      </c>
      <c r="J59" s="423">
        <f ca="1">IF(J$37="","",IF(J$14=$C$5,J$37+$A$7*($D55-$C$7),J$37))</f>
        <v>8787922.5798003096</v>
      </c>
      <c r="K59" s="423">
        <f ca="1">IF(K$37="","",IF(K$14=$C$5,K$37+$A$7*($D55-$C$7),K$37))</f>
        <v>8972624.5449818913</v>
      </c>
      <c r="L59" s="423">
        <f ca="1">IF(L$37="","",IF(L$14=$C$5,L$37+$A$7*($D55-$C$7),L$37))</f>
        <v>9167318.8242125008</v>
      </c>
      <c r="M59" s="423">
        <f ca="1">IF(M$37="","",IF(M$14=$C$5,M$37+$A$7*($D55-$C$7),M$37))</f>
        <v>9372026.891145952</v>
      </c>
      <c r="N59" s="423">
        <f ca="1">IF(N$37="","",IF(N$14=$C$5,N$37+$A$7*($D55-$C$7),N$37))</f>
        <v>9586770.3596155643</v>
      </c>
      <c r="O59" s="423">
        <f ca="1">IF(O$37="","",IF(O$14=$C$5,O$37+$A$7*($D55-$C$7),O$37))</f>
        <v>9895682.3423876204</v>
      </c>
      <c r="P59" s="423">
        <f ca="1">IF(P$37="","",IF(P$14=$C$5,P$37+$A$7*($D55-$C$7),P$37))</f>
        <v>10206787.929833237</v>
      </c>
      <c r="Q59" s="423">
        <f ca="1">IF(Q$37="","",IF(Q$14=$C$5,Q$37+$A$7*($D55-$C$7),Q$37))</f>
        <v>10520109.14851613</v>
      </c>
      <c r="R59" s="423">
        <f ca="1">IF(R$37="","",IF(R$14=$C$5,R$37+$A$7*($D55-$C$7),R$37))</f>
        <v>10835668.159693893</v>
      </c>
      <c r="S59" s="423">
        <f ca="1">IF(S$37="","",IF(S$14=$C$5,S$37+$A$7*($D55-$C$7),S$37))</f>
        <v>11153487.257730117</v>
      </c>
      <c r="T59" s="423">
        <f ca="1">IF(T$37="","",IF(T$14=$C$5,T$37+$A$7*($D55-$C$7),T$37))</f>
        <v>11473588.868414858</v>
      </c>
      <c r="U59" s="423">
        <f ca="1">IF(U$37="","",IF(U$14=$C$5,U$37+$A$7*($D55-$C$7),U$37))</f>
        <v>11795995.547190716</v>
      </c>
      <c r="V59" s="423">
        <f ca="1">IF(V$37="","",IF(V$14=$C$5,V$37+$A$7*($D55-$C$7),V$37))</f>
        <v>12120729.977281792</v>
      </c>
      <c r="W59" s="423">
        <f ca="1">IF(W$37="","",IF(W$14=$C$5,W$37+$A$7*($D55-$C$7),W$37))</f>
        <v>294245996.78590453</v>
      </c>
      <c r="X59" s="423" t="str">
        <f>IF(X$37="","",IF(X$14=$C$5,X$37+$A$7*($D55-$C$7),X$37))</f>
        <v/>
      </c>
      <c r="Y59" s="423" t="str">
        <f>IF(Y$37="","",IF(Y$14=$C$5,Y$37+$A$7*($D55-$C$7),Y$37))</f>
        <v/>
      </c>
      <c r="Z59" s="423" t="str">
        <f>IF(Z$37="","",IF(Z$14=$C$5,Z$37+$A$7*($D55-$C$7),Z$37))</f>
        <v/>
      </c>
      <c r="AA59" s="423" t="str">
        <f>IF(AA$37="","",IF(AA$14=$C$5,AA$37+$A$7*($D55-$C$7),AA$37))</f>
        <v/>
      </c>
      <c r="AB59" s="423" t="str">
        <f>IF(AB$37="","",IF(AB$14=$C$5,AB$37+$A$7*($D55-$C$7),AB$37))</f>
        <v/>
      </c>
      <c r="AC59" s="423" t="str">
        <f>IF(AC$37="","",IF(AC$14=$C$5,AC$37+$A$7*($D55-$C$7),AC$37))</f>
        <v/>
      </c>
      <c r="AD59" s="423" t="str">
        <f>IF(AD$37="","",IF(AD$14=$C$5,AD$37+$A$7*($D55-$C$7),AD$37))</f>
        <v/>
      </c>
      <c r="AE59" s="423" t="str">
        <f>IF(AE$37="","",IF(AE$14=$C$5,AE$37+$A$7*($D55-$C$7),AE$37))</f>
        <v/>
      </c>
      <c r="AF59" s="423" t="str">
        <f>IF(AF$37="","",IF(AF$14=$C$5,AF$37+$A$7*($D55-$C$7),AF$37))</f>
        <v/>
      </c>
      <c r="AG59" s="423" t="str">
        <f>IF(AG$37="","",IF(AG$14=$C$5,AG$37+$A$7*($D55-$C$7),AG$37))</f>
        <v/>
      </c>
      <c r="AH59" s="423" t="str">
        <f>IF(AH$37="","",IF(AH$14=$C$5,AH$37+$A$7*($D55-$C$7),AH$37))</f>
        <v/>
      </c>
      <c r="AI59" s="423" t="str">
        <f>IF(AI$37="","",IF(AI$14=$C$5,AI$37+$A$7*($D55-$C$7),AI$37))</f>
        <v/>
      </c>
      <c r="AJ59" s="423" t="str">
        <f>IF(AJ$37="","",IF(AJ$14=$C$5,AJ$37+$A$7*($D55-$C$7),AJ$37))</f>
        <v/>
      </c>
      <c r="AK59" s="423" t="str">
        <f>IF(AK$37="","",IF(AK$14=$C$5,AK$37+$A$7*($D55-$C$7),AK$37))</f>
        <v/>
      </c>
      <c r="AL59" s="423" t="str">
        <f>IF(AL$37="","",IF(AL$14=$C$5,AL$37+$A$7*($D55-$C$7),AL$37))</f>
        <v/>
      </c>
      <c r="AM59" s="423" t="str">
        <f>IF(AM$37="","",IF(AM$14=$C$5,AM$37+$A$7*($D55-$C$7),AM$37))</f>
        <v/>
      </c>
      <c r="AN59" s="423" t="str">
        <f>IF(AN$37="","",IF(AN$14=$C$5,AN$37+$A$7*($D55-$C$7),AN$37))</f>
        <v/>
      </c>
      <c r="AO59" s="423" t="str">
        <f>IF(AO$37="","",IF(AO$14=$C$5,AO$37+$A$7*($D55-$C$7),AO$37))</f>
        <v/>
      </c>
      <c r="AP59" s="423" t="str">
        <f>IF(AP$37="","",IF(AP$14=$C$5,AP$37+$A$7*($D55-$C$7),AP$37))</f>
        <v/>
      </c>
      <c r="AQ59" s="423" t="str">
        <f>IF(AQ$37="","",IF(AQ$14=$C$5,AQ$37+$A$7*($D55-$C$7),AQ$37))</f>
        <v/>
      </c>
      <c r="AR59" s="423" t="str">
        <f>IF(AR$37="","",IF(AR$14=$C$5,AR$37+$A$7*($D55-$C$7),AR$37))</f>
        <v/>
      </c>
      <c r="AS59" s="423" t="str">
        <f>IF(AS$37="","",IF(AS$14=$C$5,AS$37+$A$7*($D55-$C$7),AS$37))</f>
        <v/>
      </c>
      <c r="AT59" s="423" t="str">
        <f>IF(AT$37="","",IF(AT$14=$C$5,AT$37+$A$7*($D55-$C$7),AT$37))</f>
        <v/>
      </c>
      <c r="AU59" s="423" t="str">
        <f>IF(AU$37="","",IF(AU$14=$C$5,AU$37+$A$7*($D55-$C$7),AU$37))</f>
        <v/>
      </c>
      <c r="AV59" s="423" t="str">
        <f>IF(AV$37="","",IF(AV$14=$C$5,AV$37+$A$7*($D55-$C$7),AV$37))</f>
        <v/>
      </c>
      <c r="AW59" s="423" t="str">
        <f>IF(AW$37="","",IF(AW$14=$C$5,AW$37+$A$7*($D55-$C$7),AW$37))</f>
        <v/>
      </c>
      <c r="AX59" s="423" t="str">
        <f>IF(AX$37="","",IF(AX$14=$C$5,AX$37+$A$7*($D55-$C$7),AX$37))</f>
        <v/>
      </c>
      <c r="AY59" s="423" t="str">
        <f>IF(AY$37="","",IF(AY$14=$C$5,AY$37+$A$7*($D55-$C$7),AY$37))</f>
        <v/>
      </c>
      <c r="AZ59" s="423" t="str">
        <f>IF(AZ$37="","",IF(AZ$14=$C$5,AZ$37+$A$7*($D55-$C$7),AZ$37))</f>
        <v/>
      </c>
      <c r="BA59" s="423" t="str">
        <f>IF(BA$37="","",IF(BA$14=$C$5,BA$37+$A$7*($D55-$C$7),BA$37))</f>
        <v/>
      </c>
    </row>
    <row r="60" spans="2:53" ht="15">
      <c r="B60" s="421" t="s">
        <v>408</v>
      </c>
      <c r="C60" s="421"/>
      <c r="D60" s="423">
        <f ca="1">IF(D$37="","",IF(D$14=$C$5,D$37+$A$7*($D56-$C$7),D$37))</f>
        <v>-143301875.19999996</v>
      </c>
      <c r="E60" s="423">
        <f ca="1">IF(E$37="","",IF(E$14=$C$5,E$37+$A$7*($D56-$C$7),E$37))</f>
        <v>8013555.8400000017</v>
      </c>
      <c r="F60" s="423">
        <f ca="1">IF(F$37="","",IF(F$14=$C$5,F$37+$A$7*($D56-$C$7),F$37))</f>
        <v>8148613.3560000006</v>
      </c>
      <c r="G60" s="423">
        <f ca="1">IF(G$37="","",IF(G$14=$C$5,G$37+$A$7*($D56-$C$7),G$37))</f>
        <v>8293557.9586800039</v>
      </c>
      <c r="H60" s="423">
        <f ca="1">IF(H$37="","",IF(H$14=$C$5,H$37+$A$7*($D56-$C$7),H$37))</f>
        <v>8448410.4047930446</v>
      </c>
      <c r="I60" s="423">
        <f ca="1">IF(I$37="","",IF(I$14=$C$5,I$37+$A$7*($D56-$C$7),I$37))</f>
        <v>8613191.5963606983</v>
      </c>
      <c r="J60" s="423">
        <f ca="1">IF(J$37="","",IF(J$14=$C$5,J$37+$A$7*($D56-$C$7),J$37))</f>
        <v>8787922.5798003096</v>
      </c>
      <c r="K60" s="423">
        <f ca="1">IF(K$37="","",IF(K$14=$C$5,K$37+$A$7*($D56-$C$7),K$37))</f>
        <v>8972624.5449818913</v>
      </c>
      <c r="L60" s="423">
        <f ca="1">IF(L$37="","",IF(L$14=$C$5,L$37+$A$7*($D56-$C$7),L$37))</f>
        <v>9167318.8242125008</v>
      </c>
      <c r="M60" s="423">
        <f ca="1">IF(M$37="","",IF(M$14=$C$5,M$37+$A$7*($D56-$C$7),M$37))</f>
        <v>9372026.891145952</v>
      </c>
      <c r="N60" s="423">
        <f ca="1">IF(N$37="","",IF(N$14=$C$5,N$37+$A$7*($D56-$C$7),N$37))</f>
        <v>9586770.3596155643</v>
      </c>
      <c r="O60" s="423">
        <f ca="1">IF(O$37="","",IF(O$14=$C$5,O$37+$A$7*($D56-$C$7),O$37))</f>
        <v>9895682.3423876204</v>
      </c>
      <c r="P60" s="423">
        <f ca="1">IF(P$37="","",IF(P$14=$C$5,P$37+$A$7*($D56-$C$7),P$37))</f>
        <v>10206787.929833237</v>
      </c>
      <c r="Q60" s="423">
        <f ca="1">IF(Q$37="","",IF(Q$14=$C$5,Q$37+$A$7*($D56-$C$7),Q$37))</f>
        <v>10520109.14851613</v>
      </c>
      <c r="R60" s="423">
        <f ca="1">IF(R$37="","",IF(R$14=$C$5,R$37+$A$7*($D56-$C$7),R$37))</f>
        <v>10835668.159693893</v>
      </c>
      <c r="S60" s="423">
        <f ca="1">IF(S$37="","",IF(S$14=$C$5,S$37+$A$7*($D56-$C$7),S$37))</f>
        <v>11153487.257730117</v>
      </c>
      <c r="T60" s="423">
        <f ca="1">IF(T$37="","",IF(T$14=$C$5,T$37+$A$7*($D56-$C$7),T$37))</f>
        <v>11473588.868414858</v>
      </c>
      <c r="U60" s="423">
        <f ca="1">IF(U$37="","",IF(U$14=$C$5,U$37+$A$7*($D56-$C$7),U$37))</f>
        <v>11795995.547190716</v>
      </c>
      <c r="V60" s="423">
        <f ca="1">IF(V$37="","",IF(V$14=$C$5,V$37+$A$7*($D56-$C$7),V$37))</f>
        <v>12120729.977281792</v>
      </c>
      <c r="W60" s="423">
        <f ca="1">IF(W$37="","",IF(W$14=$C$5,W$37+$A$7*($D56-$C$7),W$37))</f>
        <v>245427814.96772271</v>
      </c>
      <c r="X60" s="423" t="str">
        <f>IF(X$37="","",IF(X$14=$C$5,X$37+$A$7*($D56-$C$7),X$37))</f>
        <v/>
      </c>
      <c r="Y60" s="423" t="str">
        <f>IF(Y$37="","",IF(Y$14=$C$5,Y$37+$A$7*($D56-$C$7),Y$37))</f>
        <v/>
      </c>
      <c r="Z60" s="423" t="str">
        <f>IF(Z$37="","",IF(Z$14=$C$5,Z$37+$A$7*($D56-$C$7),Z$37))</f>
        <v/>
      </c>
      <c r="AA60" s="423" t="str">
        <f>IF(AA$37="","",IF(AA$14=$C$5,AA$37+$A$7*($D56-$C$7),AA$37))</f>
        <v/>
      </c>
      <c r="AB60" s="423" t="str">
        <f>IF(AB$37="","",IF(AB$14=$C$5,AB$37+$A$7*($D56-$C$7),AB$37))</f>
        <v/>
      </c>
      <c r="AC60" s="423" t="str">
        <f>IF(AC$37="","",IF(AC$14=$C$5,AC$37+$A$7*($D56-$C$7),AC$37))</f>
        <v/>
      </c>
      <c r="AD60" s="423" t="str">
        <f>IF(AD$37="","",IF(AD$14=$C$5,AD$37+$A$7*($D56-$C$7),AD$37))</f>
        <v/>
      </c>
      <c r="AE60" s="423" t="str">
        <f>IF(AE$37="","",IF(AE$14=$C$5,AE$37+$A$7*($D56-$C$7),AE$37))</f>
        <v/>
      </c>
      <c r="AF60" s="423" t="str">
        <f>IF(AF$37="","",IF(AF$14=$C$5,AF$37+$A$7*($D56-$C$7),AF$37))</f>
        <v/>
      </c>
      <c r="AG60" s="423" t="str">
        <f>IF(AG$37="","",IF(AG$14=$C$5,AG$37+$A$7*($D56-$C$7),AG$37))</f>
        <v/>
      </c>
      <c r="AH60" s="423" t="str">
        <f>IF(AH$37="","",IF(AH$14=$C$5,AH$37+$A$7*($D56-$C$7),AH$37))</f>
        <v/>
      </c>
      <c r="AI60" s="423" t="str">
        <f>IF(AI$37="","",IF(AI$14=$C$5,AI$37+$A$7*($D56-$C$7),AI$37))</f>
        <v/>
      </c>
      <c r="AJ60" s="423" t="str">
        <f>IF(AJ$37="","",IF(AJ$14=$C$5,AJ$37+$A$7*($D56-$C$7),AJ$37))</f>
        <v/>
      </c>
      <c r="AK60" s="423" t="str">
        <f>IF(AK$37="","",IF(AK$14=$C$5,AK$37+$A$7*($D56-$C$7),AK$37))</f>
        <v/>
      </c>
      <c r="AL60" s="423" t="str">
        <f>IF(AL$37="","",IF(AL$14=$C$5,AL$37+$A$7*($D56-$C$7),AL$37))</f>
        <v/>
      </c>
      <c r="AM60" s="423" t="str">
        <f>IF(AM$37="","",IF(AM$14=$C$5,AM$37+$A$7*($D56-$C$7),AM$37))</f>
        <v/>
      </c>
      <c r="AN60" s="423" t="str">
        <f>IF(AN$37="","",IF(AN$14=$C$5,AN$37+$A$7*($D56-$C$7),AN$37))</f>
        <v/>
      </c>
      <c r="AO60" s="423" t="str">
        <f>IF(AO$37="","",IF(AO$14=$C$5,AO$37+$A$7*($D56-$C$7),AO$37))</f>
        <v/>
      </c>
      <c r="AP60" s="423" t="str">
        <f>IF(AP$37="","",IF(AP$14=$C$5,AP$37+$A$7*($D56-$C$7),AP$37))</f>
        <v/>
      </c>
      <c r="AQ60" s="423" t="str">
        <f>IF(AQ$37="","",IF(AQ$14=$C$5,AQ$37+$A$7*($D56-$C$7),AQ$37))</f>
        <v/>
      </c>
      <c r="AR60" s="423" t="str">
        <f>IF(AR$37="","",IF(AR$14=$C$5,AR$37+$A$7*($D56-$C$7),AR$37))</f>
        <v/>
      </c>
      <c r="AS60" s="423" t="str">
        <f>IF(AS$37="","",IF(AS$14=$C$5,AS$37+$A$7*($D56-$C$7),AS$37))</f>
        <v/>
      </c>
      <c r="AT60" s="423" t="str">
        <f>IF(AT$37="","",IF(AT$14=$C$5,AT$37+$A$7*($D56-$C$7),AT$37))</f>
        <v/>
      </c>
      <c r="AU60" s="423" t="str">
        <f>IF(AU$37="","",IF(AU$14=$C$5,AU$37+$A$7*($D56-$C$7),AU$37))</f>
        <v/>
      </c>
      <c r="AV60" s="423" t="str">
        <f>IF(AV$37="","",IF(AV$14=$C$5,AV$37+$A$7*($D56-$C$7),AV$37))</f>
        <v/>
      </c>
      <c r="AW60" s="423" t="str">
        <f>IF(AW$37="","",IF(AW$14=$C$5,AW$37+$A$7*($D56-$C$7),AW$37))</f>
        <v/>
      </c>
      <c r="AX60" s="423" t="str">
        <f>IF(AX$37="","",IF(AX$14=$C$5,AX$37+$A$7*($D56-$C$7),AX$37))</f>
        <v/>
      </c>
      <c r="AY60" s="423" t="str">
        <f>IF(AY$37="","",IF(AY$14=$C$5,AY$37+$A$7*($D56-$C$7),AY$37))</f>
        <v/>
      </c>
      <c r="AZ60" s="423" t="str">
        <f>IF(AZ$37="","",IF(AZ$14=$C$5,AZ$37+$A$7*($D56-$C$7),AZ$37))</f>
        <v/>
      </c>
      <c r="BA60" s="423" t="str">
        <f>IF(BA$37="","",IF(BA$14=$C$5,BA$37+$A$7*($D56-$C$7),BA$37))</f>
        <v/>
      </c>
    </row>
    <row r="61" spans="2:53" ht="15">
      <c r="B61" s="421" t="s">
        <v>409</v>
      </c>
      <c r="C61" s="421"/>
      <c r="D61" s="423">
        <f ca="1">IF(D$37="","",IF(D$14=$C$5,D$37+$A$7*($D57-$C$7),D$37))</f>
        <v>-143301875.19999996</v>
      </c>
      <c r="E61" s="423">
        <f ca="1">IF(E$37="","",IF(E$14=$C$5,E$37+$A$7*($D57-$C$7),E$37))</f>
        <v>8013555.8400000017</v>
      </c>
      <c r="F61" s="423">
        <f ca="1">IF(F$37="","",IF(F$14=$C$5,F$37+$A$7*($D57-$C$7),F$37))</f>
        <v>8148613.3560000006</v>
      </c>
      <c r="G61" s="423">
        <f ca="1">IF(G$37="","",IF(G$14=$C$5,G$37+$A$7*($D57-$C$7),G$37))</f>
        <v>8293557.9586800039</v>
      </c>
      <c r="H61" s="423">
        <f ca="1">IF(H$37="","",IF(H$14=$C$5,H$37+$A$7*($D57-$C$7),H$37))</f>
        <v>8448410.4047930446</v>
      </c>
      <c r="I61" s="423">
        <f ca="1">IF(I$37="","",IF(I$14=$C$5,I$37+$A$7*($D57-$C$7),I$37))</f>
        <v>8613191.5963606983</v>
      </c>
      <c r="J61" s="423">
        <f ca="1">IF(J$37="","",IF(J$14=$C$5,J$37+$A$7*($D57-$C$7),J$37))</f>
        <v>8787922.5798003096</v>
      </c>
      <c r="K61" s="423">
        <f ca="1">IF(K$37="","",IF(K$14=$C$5,K$37+$A$7*($D57-$C$7),K$37))</f>
        <v>8972624.5449818913</v>
      </c>
      <c r="L61" s="423">
        <f ca="1">IF(L$37="","",IF(L$14=$C$5,L$37+$A$7*($D57-$C$7),L$37))</f>
        <v>9167318.8242125008</v>
      </c>
      <c r="M61" s="423">
        <f ca="1">IF(M$37="","",IF(M$14=$C$5,M$37+$A$7*($D57-$C$7),M$37))</f>
        <v>9372026.891145952</v>
      </c>
      <c r="N61" s="423">
        <f ca="1">IF(N$37="","",IF(N$14=$C$5,N$37+$A$7*($D57-$C$7),N$37))</f>
        <v>9586770.3596155643</v>
      </c>
      <c r="O61" s="423">
        <f ca="1">IF(O$37="","",IF(O$14=$C$5,O$37+$A$7*($D57-$C$7),O$37))</f>
        <v>9895682.3423876204</v>
      </c>
      <c r="P61" s="423">
        <f ca="1">IF(P$37="","",IF(P$14=$C$5,P$37+$A$7*($D57-$C$7),P$37))</f>
        <v>10206787.929833237</v>
      </c>
      <c r="Q61" s="423">
        <f ca="1">IF(Q$37="","",IF(Q$14=$C$5,Q$37+$A$7*($D57-$C$7),Q$37))</f>
        <v>10520109.14851613</v>
      </c>
      <c r="R61" s="423">
        <f ca="1">IF(R$37="","",IF(R$14=$C$5,R$37+$A$7*($D57-$C$7),R$37))</f>
        <v>10835668.159693893</v>
      </c>
      <c r="S61" s="423">
        <f ca="1">IF(S$37="","",IF(S$14=$C$5,S$37+$A$7*($D57-$C$7),S$37))</f>
        <v>11153487.257730117</v>
      </c>
      <c r="T61" s="423">
        <f ca="1">IF(T$37="","",IF(T$14=$C$5,T$37+$A$7*($D57-$C$7),T$37))</f>
        <v>11473588.868414858</v>
      </c>
      <c r="U61" s="423">
        <f ca="1">IF(U$37="","",IF(U$14=$C$5,U$37+$A$7*($D57-$C$7),U$37))</f>
        <v>11795995.547190716</v>
      </c>
      <c r="V61" s="423">
        <f ca="1">IF(V$37="","",IF(V$14=$C$5,V$37+$A$7*($D57-$C$7),V$37))</f>
        <v>12120729.977281792</v>
      </c>
      <c r="W61" s="423">
        <f ca="1">IF(W$37="","",IF(W$14=$C$5,W$37+$A$7*($D57-$C$7),W$37))</f>
        <v>209627814.96772271</v>
      </c>
      <c r="X61" s="423" t="str">
        <f>IF(X$37="","",IF(X$14=$C$5,X$37+$A$7*($D57-$C$7),X$37))</f>
        <v/>
      </c>
      <c r="Y61" s="423" t="str">
        <f>IF(Y$37="","",IF(Y$14=$C$5,Y$37+$A$7*($D57-$C$7),Y$37))</f>
        <v/>
      </c>
      <c r="Z61" s="423" t="str">
        <f>IF(Z$37="","",IF(Z$14=$C$5,Z$37+$A$7*($D57-$C$7),Z$37))</f>
        <v/>
      </c>
      <c r="AA61" s="423" t="str">
        <f>IF(AA$37="","",IF(AA$14=$C$5,AA$37+$A$7*($D57-$C$7),AA$37))</f>
        <v/>
      </c>
      <c r="AB61" s="423" t="str">
        <f>IF(AB$37="","",IF(AB$14=$C$5,AB$37+$A$7*($D57-$C$7),AB$37))</f>
        <v/>
      </c>
      <c r="AC61" s="423" t="str">
        <f>IF(AC$37="","",IF(AC$14=$C$5,AC$37+$A$7*($D57-$C$7),AC$37))</f>
        <v/>
      </c>
      <c r="AD61" s="423" t="str">
        <f>IF(AD$37="","",IF(AD$14=$C$5,AD$37+$A$7*($D57-$C$7),AD$37))</f>
        <v/>
      </c>
      <c r="AE61" s="423" t="str">
        <f>IF(AE$37="","",IF(AE$14=$C$5,AE$37+$A$7*($D57-$C$7),AE$37))</f>
        <v/>
      </c>
      <c r="AF61" s="423" t="str">
        <f>IF(AF$37="","",IF(AF$14=$C$5,AF$37+$A$7*($D57-$C$7),AF$37))</f>
        <v/>
      </c>
      <c r="AG61" s="423" t="str">
        <f>IF(AG$37="","",IF(AG$14=$C$5,AG$37+$A$7*($D57-$C$7),AG$37))</f>
        <v/>
      </c>
      <c r="AH61" s="423" t="str">
        <f>IF(AH$37="","",IF(AH$14=$C$5,AH$37+$A$7*($D57-$C$7),AH$37))</f>
        <v/>
      </c>
      <c r="AI61" s="423" t="str">
        <f>IF(AI$37="","",IF(AI$14=$C$5,AI$37+$A$7*($D57-$C$7),AI$37))</f>
        <v/>
      </c>
      <c r="AJ61" s="423" t="str">
        <f>IF(AJ$37="","",IF(AJ$14=$C$5,AJ$37+$A$7*($D57-$C$7),AJ$37))</f>
        <v/>
      </c>
      <c r="AK61" s="423" t="str">
        <f>IF(AK$37="","",IF(AK$14=$C$5,AK$37+$A$7*($D57-$C$7),AK$37))</f>
        <v/>
      </c>
      <c r="AL61" s="423" t="str">
        <f>IF(AL$37="","",IF(AL$14=$C$5,AL$37+$A$7*($D57-$C$7),AL$37))</f>
        <v/>
      </c>
      <c r="AM61" s="423" t="str">
        <f>IF(AM$37="","",IF(AM$14=$C$5,AM$37+$A$7*($D57-$C$7),AM$37))</f>
        <v/>
      </c>
      <c r="AN61" s="423" t="str">
        <f>IF(AN$37="","",IF(AN$14=$C$5,AN$37+$A$7*($D57-$C$7),AN$37))</f>
        <v/>
      </c>
      <c r="AO61" s="423" t="str">
        <f>IF(AO$37="","",IF(AO$14=$C$5,AO$37+$A$7*($D57-$C$7),AO$37))</f>
        <v/>
      </c>
      <c r="AP61" s="423" t="str">
        <f>IF(AP$37="","",IF(AP$14=$C$5,AP$37+$A$7*($D57-$C$7),AP$37))</f>
        <v/>
      </c>
      <c r="AQ61" s="423" t="str">
        <f>IF(AQ$37="","",IF(AQ$14=$C$5,AQ$37+$A$7*($D57-$C$7),AQ$37))</f>
        <v/>
      </c>
      <c r="AR61" s="423" t="str">
        <f>IF(AR$37="","",IF(AR$14=$C$5,AR$37+$A$7*($D57-$C$7),AR$37))</f>
        <v/>
      </c>
      <c r="AS61" s="423" t="str">
        <f>IF(AS$37="","",IF(AS$14=$C$5,AS$37+$A$7*($D57-$C$7),AS$37))</f>
        <v/>
      </c>
      <c r="AT61" s="423" t="str">
        <f>IF(AT$37="","",IF(AT$14=$C$5,AT$37+$A$7*($D57-$C$7),AT$37))</f>
        <v/>
      </c>
      <c r="AU61" s="423" t="str">
        <f>IF(AU$37="","",IF(AU$14=$C$5,AU$37+$A$7*($D57-$C$7),AU$37))</f>
        <v/>
      </c>
      <c r="AV61" s="423" t="str">
        <f>IF(AV$37="","",IF(AV$14=$C$5,AV$37+$A$7*($D57-$C$7),AV$37))</f>
        <v/>
      </c>
      <c r="AW61" s="423" t="str">
        <f>IF(AW$37="","",IF(AW$14=$C$5,AW$37+$A$7*($D57-$C$7),AW$37))</f>
        <v/>
      </c>
      <c r="AX61" s="423" t="str">
        <f>IF(AX$37="","",IF(AX$14=$C$5,AX$37+$A$7*($D57-$C$7),AX$37))</f>
        <v/>
      </c>
      <c r="AY61" s="423" t="str">
        <f>IF(AY$37="","",IF(AY$14=$C$5,AY$37+$A$7*($D57-$C$7),AY$37))</f>
        <v/>
      </c>
      <c r="AZ61" s="423" t="str">
        <f>IF(AZ$37="","",IF(AZ$14=$C$5,AZ$37+$A$7*($D57-$C$7),AZ$37))</f>
        <v/>
      </c>
      <c r="BA61" s="423" t="str">
        <f>IF(BA$37="","",IF(BA$14=$C$5,BA$37+$A$7*($D57-$C$7),BA$37))</f>
        <v/>
      </c>
    </row>
  </sheetData>
  <mergeCells count="1">
    <mergeCell ref="B2:K4"/>
  </mergeCells>
  <pageMargins left="0.70866141732283472" right="0.70866141732283472" top="1.1811023622047245" bottom="0.74803149606299213" header="0.31496062992125984" footer="0.31496062992125984"/>
  <pageSetup paperSize="8" scale="95" orientation="landscape" r:id="rId1"/>
  <headerFooter differentFirst="1">
    <firstHeader>&amp;L&amp;8&amp;G
Objekt/projektnr.
XX/XX&amp;C&amp;8Utfärdare:
Förnamn efternamn
Dokumentnr och namn
&amp;F
&amp;R&amp;8&amp;D
Sida &amp;P (&amp;N)</firstHeader>
  </headerFooter>
  <rowBreaks count="1" manualBreakCount="1">
    <brk id="30" max="22" man="1"/>
  </rowBreaks>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sheetPr>
  <dimension ref="A1:BA14"/>
  <sheetViews>
    <sheetView zoomScale="90" zoomScaleNormal="90" zoomScaleSheetLayoutView="69" workbookViewId="0">
      <selection activeCell="K16" sqref="K16"/>
    </sheetView>
  </sheetViews>
  <sheetFormatPr defaultColWidth="9.125" defaultRowHeight="14.25"/>
  <cols>
    <col min="1" max="1" width="2.75" style="180" customWidth="1"/>
    <col min="2" max="2" width="31.25" style="180" customWidth="1"/>
    <col min="3" max="12" width="10.25" style="180" customWidth="1"/>
    <col min="13" max="23" width="12.25" style="180" customWidth="1"/>
    <col min="24" max="52" width="11.25" style="180" customWidth="1"/>
    <col min="53" max="16384" width="9.125" style="11"/>
  </cols>
  <sheetData>
    <row r="1" spans="1:53" ht="23.25">
      <c r="A1" s="185" t="s">
        <v>288</v>
      </c>
      <c r="BA1" s="506"/>
    </row>
    <row r="2" spans="1:53">
      <c r="A2" s="222"/>
      <c r="BA2" s="506"/>
    </row>
    <row r="3" spans="1:53" s="19" customFormat="1" ht="15">
      <c r="A3" s="222"/>
      <c r="B3" s="411"/>
      <c r="C3" s="412">
        <f>'4. NPV'!D$4</f>
        <v>2026</v>
      </c>
      <c r="D3" s="412">
        <f>'4. NPV'!E$4</f>
        <v>2027</v>
      </c>
      <c r="E3" s="412">
        <f>'4. NPV'!F$4</f>
        <v>2028</v>
      </c>
      <c r="F3" s="412">
        <f>'4. NPV'!G$4</f>
        <v>2029</v>
      </c>
      <c r="G3" s="412">
        <f>'4. NPV'!H$4</f>
        <v>2030</v>
      </c>
      <c r="H3" s="412">
        <f>'4. NPV'!I$4</f>
        <v>2031</v>
      </c>
      <c r="I3" s="412">
        <f>'4. NPV'!J$4</f>
        <v>2032</v>
      </c>
      <c r="J3" s="412">
        <f>'4. NPV'!K$4</f>
        <v>2033</v>
      </c>
      <c r="K3" s="412">
        <f>'4. NPV'!L$4</f>
        <v>2034</v>
      </c>
      <c r="L3" s="412">
        <f>'4. NPV'!M$4</f>
        <v>2035</v>
      </c>
      <c r="M3" s="412">
        <f>'4. NPV'!N$4</f>
        <v>2036</v>
      </c>
      <c r="N3" s="412">
        <f>'4. NPV'!O$4</f>
        <v>2037</v>
      </c>
      <c r="O3" s="412">
        <f>'4. NPV'!P$4</f>
        <v>2038</v>
      </c>
      <c r="P3" s="412">
        <f>'4. NPV'!Q$4</f>
        <v>2039</v>
      </c>
      <c r="Q3" s="412">
        <f>'4. NPV'!R$4</f>
        <v>2040</v>
      </c>
      <c r="R3" s="412">
        <f>'4. NPV'!S$4</f>
        <v>2041</v>
      </c>
      <c r="S3" s="412">
        <f>'4. NPV'!T$4</f>
        <v>2042</v>
      </c>
      <c r="T3" s="412">
        <f>'4. NPV'!U$4</f>
        <v>2043</v>
      </c>
      <c r="U3" s="412">
        <f>'4. NPV'!V$4</f>
        <v>2044</v>
      </c>
      <c r="V3" s="412">
        <f>'4. NPV'!W$4</f>
        <v>2045</v>
      </c>
      <c r="W3" s="412">
        <f>'4. NPV'!X$4</f>
        <v>2046</v>
      </c>
      <c r="X3" s="412" t="str">
        <f>'4. NPV'!Y$4</f>
        <v/>
      </c>
      <c r="Y3" s="412" t="str">
        <f>'4. NPV'!Z$4</f>
        <v/>
      </c>
      <c r="Z3" s="412" t="str">
        <f>'4. NPV'!AA$4</f>
        <v/>
      </c>
      <c r="AA3" s="412" t="str">
        <f>'4. NPV'!AB$4</f>
        <v/>
      </c>
      <c r="AB3" s="412" t="str">
        <f>'4. NPV'!AC$4</f>
        <v/>
      </c>
      <c r="AC3" s="412" t="str">
        <f>'4. NPV'!AD$4</f>
        <v/>
      </c>
      <c r="AD3" s="412" t="str">
        <f>'4. NPV'!AE$4</f>
        <v/>
      </c>
      <c r="AE3" s="412" t="str">
        <f>'4. NPV'!AF$4</f>
        <v/>
      </c>
      <c r="AF3" s="412" t="str">
        <f>'4. NPV'!AG$4</f>
        <v/>
      </c>
      <c r="AG3" s="412" t="str">
        <f>'4. NPV'!AH$4</f>
        <v/>
      </c>
      <c r="AH3" s="412" t="str">
        <f>'4. NPV'!AI$4</f>
        <v/>
      </c>
      <c r="AI3" s="412" t="str">
        <f>'4. NPV'!AJ$4</f>
        <v/>
      </c>
      <c r="AJ3" s="412" t="str">
        <f>'4. NPV'!AK$4</f>
        <v/>
      </c>
      <c r="AK3" s="412" t="str">
        <f>'4. NPV'!AL$4</f>
        <v/>
      </c>
      <c r="AL3" s="412" t="str">
        <f>'4. NPV'!AM$4</f>
        <v/>
      </c>
      <c r="AM3" s="412" t="str">
        <f>'4. NPV'!AN$4</f>
        <v/>
      </c>
      <c r="AN3" s="412" t="str">
        <f>'4. NPV'!AO$4</f>
        <v/>
      </c>
      <c r="AO3" s="412" t="str">
        <f>'4. NPV'!AP$4</f>
        <v/>
      </c>
      <c r="AP3" s="412" t="str">
        <f>'4. NPV'!AQ$4</f>
        <v/>
      </c>
      <c r="AQ3" s="412" t="str">
        <f>'4. NPV'!AR$4</f>
        <v/>
      </c>
      <c r="AR3" s="412" t="str">
        <f>'4. NPV'!AS$4</f>
        <v/>
      </c>
      <c r="AS3" s="412" t="str">
        <f>'4. NPV'!AT$4</f>
        <v/>
      </c>
      <c r="AT3" s="412" t="str">
        <f>'4. NPV'!AU$4</f>
        <v/>
      </c>
      <c r="AU3" s="412" t="str">
        <f>'4. NPV'!AV$4</f>
        <v/>
      </c>
      <c r="AV3" s="412" t="str">
        <f>'4. NPV'!AW$4</f>
        <v/>
      </c>
      <c r="AW3" s="412" t="str">
        <f>'4. NPV'!AX$4</f>
        <v/>
      </c>
      <c r="AX3" s="412" t="str">
        <f>'4. NPV'!AY$4</f>
        <v/>
      </c>
      <c r="AY3" s="412" t="str">
        <f>'4. NPV'!AZ$4</f>
        <v/>
      </c>
      <c r="AZ3" s="412" t="str">
        <f>'4. NPV'!BA$4</f>
        <v/>
      </c>
      <c r="BA3" s="506"/>
    </row>
    <row r="4" spans="1:53">
      <c r="B4" s="413"/>
      <c r="C4" s="414">
        <f>'5. IRR'!D14</f>
        <v>1</v>
      </c>
      <c r="D4" s="414">
        <f>'5. IRR'!E14</f>
        <v>2</v>
      </c>
      <c r="E4" s="414">
        <f>'5. IRR'!F14</f>
        <v>3</v>
      </c>
      <c r="F4" s="414">
        <f>'5. IRR'!G14</f>
        <v>4</v>
      </c>
      <c r="G4" s="414">
        <f>'5. IRR'!H14</f>
        <v>5</v>
      </c>
      <c r="H4" s="414">
        <f>'5. IRR'!I14</f>
        <v>6</v>
      </c>
      <c r="I4" s="414">
        <f>'5. IRR'!J14</f>
        <v>7</v>
      </c>
      <c r="J4" s="414">
        <f>'5. IRR'!K14</f>
        <v>8</v>
      </c>
      <c r="K4" s="414">
        <f>'5. IRR'!L14</f>
        <v>9</v>
      </c>
      <c r="L4" s="414">
        <f>'5. IRR'!M14</f>
        <v>10</v>
      </c>
      <c r="M4" s="414">
        <f>'5. IRR'!N14</f>
        <v>11</v>
      </c>
      <c r="N4" s="414">
        <f>'5. IRR'!O14</f>
        <v>12</v>
      </c>
      <c r="O4" s="414">
        <f>'5. IRR'!P14</f>
        <v>13</v>
      </c>
      <c r="P4" s="414">
        <f>'5. IRR'!Q14</f>
        <v>14</v>
      </c>
      <c r="Q4" s="414">
        <f>'5. IRR'!R14</f>
        <v>15</v>
      </c>
      <c r="R4" s="414">
        <f>'5. IRR'!S14</f>
        <v>16</v>
      </c>
      <c r="S4" s="414">
        <f>'5. IRR'!T14</f>
        <v>17</v>
      </c>
      <c r="T4" s="414">
        <f>'5. IRR'!U14</f>
        <v>18</v>
      </c>
      <c r="U4" s="414">
        <f>'5. IRR'!V14</f>
        <v>19</v>
      </c>
      <c r="V4" s="414">
        <f>'5. IRR'!W14</f>
        <v>20</v>
      </c>
      <c r="W4" s="414">
        <f>'5. IRR'!X14</f>
        <v>21</v>
      </c>
      <c r="X4" s="414">
        <f>'5. IRR'!Y14</f>
        <v>22</v>
      </c>
      <c r="Y4" s="414">
        <f>'5. IRR'!Z14</f>
        <v>23</v>
      </c>
      <c r="Z4" s="414">
        <f>'5. IRR'!AA14</f>
        <v>24</v>
      </c>
      <c r="AA4" s="414">
        <f>'5. IRR'!AB14</f>
        <v>25</v>
      </c>
      <c r="AB4" s="414">
        <f>'5. IRR'!AC14</f>
        <v>26</v>
      </c>
      <c r="AC4" s="414">
        <f>'5. IRR'!AD14</f>
        <v>27</v>
      </c>
      <c r="AD4" s="414">
        <f>'5. IRR'!AE14</f>
        <v>28</v>
      </c>
      <c r="AE4" s="414">
        <f>'5. IRR'!AF14</f>
        <v>29</v>
      </c>
      <c r="AF4" s="414">
        <f>'5. IRR'!AG14</f>
        <v>30</v>
      </c>
      <c r="AG4" s="414">
        <f>'5. IRR'!AH14</f>
        <v>31</v>
      </c>
      <c r="AH4" s="414">
        <f>'5. IRR'!AI14</f>
        <v>32</v>
      </c>
      <c r="AI4" s="414">
        <f>'5. IRR'!AJ14</f>
        <v>33</v>
      </c>
      <c r="AJ4" s="414">
        <f>'5. IRR'!AK14</f>
        <v>34</v>
      </c>
      <c r="AK4" s="414">
        <f>'5. IRR'!AL14</f>
        <v>35</v>
      </c>
      <c r="AL4" s="414">
        <f>'5. IRR'!AM14</f>
        <v>36</v>
      </c>
      <c r="AM4" s="414">
        <f>'5. IRR'!AN14</f>
        <v>37</v>
      </c>
      <c r="AN4" s="414">
        <f>'5. IRR'!AO14</f>
        <v>38</v>
      </c>
      <c r="AO4" s="414">
        <f>'5. IRR'!AP14</f>
        <v>39</v>
      </c>
      <c r="AP4" s="414">
        <f>'5. IRR'!AQ14</f>
        <v>40</v>
      </c>
      <c r="AQ4" s="414">
        <f>'5. IRR'!AR14</f>
        <v>41</v>
      </c>
      <c r="AR4" s="414">
        <f>'5. IRR'!AS14</f>
        <v>42</v>
      </c>
      <c r="AS4" s="414">
        <f>'5. IRR'!AT14</f>
        <v>43</v>
      </c>
      <c r="AT4" s="414">
        <f>'5. IRR'!AU14</f>
        <v>44</v>
      </c>
      <c r="AU4" s="414">
        <f>'5. IRR'!AV14</f>
        <v>45</v>
      </c>
      <c r="AV4" s="414">
        <f>'5. IRR'!AW14</f>
        <v>46</v>
      </c>
      <c r="AW4" s="414">
        <f>'5. IRR'!AX14</f>
        <v>47</v>
      </c>
      <c r="AX4" s="414">
        <f>'5. IRR'!AY14</f>
        <v>48</v>
      </c>
      <c r="AY4" s="414">
        <f>'5. IRR'!AZ14</f>
        <v>49</v>
      </c>
      <c r="AZ4" s="414">
        <f>'5. IRR'!BA14</f>
        <v>50</v>
      </c>
      <c r="BA4" s="506"/>
    </row>
    <row r="5" spans="1:53">
      <c r="B5" s="415" t="s">
        <v>289</v>
      </c>
      <c r="C5" s="416">
        <f>'2. Kalkyldata'!$P$9-'2. Kalkyldata'!$P$10</f>
        <v>0</v>
      </c>
      <c r="D5" s="416"/>
      <c r="E5" s="416"/>
      <c r="F5" s="416"/>
      <c r="G5" s="416"/>
      <c r="H5" s="416"/>
      <c r="I5" s="416"/>
      <c r="J5" s="416"/>
      <c r="K5" s="416"/>
      <c r="L5" s="416"/>
      <c r="M5" s="416"/>
      <c r="N5" s="416"/>
      <c r="O5" s="416"/>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T5" s="416"/>
      <c r="AU5" s="416"/>
      <c r="AV5" s="416"/>
      <c r="AW5" s="416"/>
      <c r="AX5" s="416"/>
      <c r="AY5" s="416"/>
      <c r="AZ5" s="416"/>
      <c r="BA5" s="506"/>
    </row>
    <row r="6" spans="1:53">
      <c r="B6" s="415" t="s">
        <v>290</v>
      </c>
      <c r="C6" s="416">
        <f ca="1">'4. NPV'!D$29</f>
        <v>13694500</v>
      </c>
      <c r="D6" s="416">
        <f ca="1">'4. NPV'!E$29</f>
        <v>13871400</v>
      </c>
      <c r="E6" s="416">
        <f ca="1">'4. NPV'!F$29</f>
        <v>14050480.140000001</v>
      </c>
      <c r="F6" s="416">
        <f ca="1">'4. NPV'!G$29</f>
        <v>14231765.012760002</v>
      </c>
      <c r="G6" s="416">
        <f ca="1">'4. NPV'!H$29</f>
        <v>14415279.436754644</v>
      </c>
      <c r="H6" s="416">
        <f ca="1">'4. NPV'!I$29</f>
        <v>14601048.456961529</v>
      </c>
      <c r="I6" s="416">
        <f ca="1">'4. NPV'!J$29</f>
        <v>14789097.345613157</v>
      </c>
      <c r="J6" s="416">
        <f ca="1">'4. NPV'!K$29</f>
        <v>14979451.602910995</v>
      </c>
      <c r="K6" s="416">
        <f ca="1">'4. NPV'!L$29</f>
        <v>15172136.957700187</v>
      </c>
      <c r="L6" s="416">
        <f ca="1">'4. NPV'!M$29</f>
        <v>15367179.368103392</v>
      </c>
      <c r="M6" s="416">
        <f ca="1">'4. NPV'!N$29</f>
        <v>15564605.022112153</v>
      </c>
      <c r="N6" s="416">
        <f ca="1">'4. NPV'!O$29</f>
        <v>15764440.33813414</v>
      </c>
      <c r="O6" s="416">
        <f ca="1">'4. NPV'!P$29</f>
        <v>15966711.965494689</v>
      </c>
      <c r="P6" s="416">
        <f ca="1">'4. NPV'!Q$29</f>
        <v>16171446.784890812</v>
      </c>
      <c r="Q6" s="416">
        <f ca="1">'4. NPV'!R$29</f>
        <v>16378671.908796068</v>
      </c>
      <c r="R6" s="416">
        <f ca="1">'4. NPV'!S$29</f>
        <v>16588414.681814335</v>
      </c>
      <c r="S6" s="416">
        <f ca="1">'4. NPV'!T$29</f>
        <v>16800702.680980761</v>
      </c>
      <c r="T6" s="416">
        <f ca="1">'4. NPV'!U$29</f>
        <v>17015563.716007937</v>
      </c>
      <c r="U6" s="416">
        <f ca="1">'4. NPV'!V$29</f>
        <v>17233025.829475358</v>
      </c>
      <c r="V6" s="416">
        <f ca="1">'4. NPV'!W$29</f>
        <v>17453117.29696019</v>
      </c>
      <c r="W6" s="416">
        <f ca="1">'4. NPV'!X$29</f>
        <v>17675866.627107255</v>
      </c>
      <c r="X6" s="416">
        <f>'4. NPV'!Y$29</f>
        <v>0</v>
      </c>
      <c r="Y6" s="416">
        <f>'4. NPV'!Z$29</f>
        <v>0</v>
      </c>
      <c r="Z6" s="416">
        <f>'4. NPV'!AA$29</f>
        <v>0</v>
      </c>
      <c r="AA6" s="416">
        <f>'4. NPV'!AB$29</f>
        <v>0</v>
      </c>
      <c r="AB6" s="416">
        <f>'4. NPV'!AC$29</f>
        <v>0</v>
      </c>
      <c r="AC6" s="416">
        <f>'4. NPV'!AD$29</f>
        <v>0</v>
      </c>
      <c r="AD6" s="416">
        <f>'4. NPV'!AE$29</f>
        <v>0</v>
      </c>
      <c r="AE6" s="416">
        <f>'4. NPV'!AF$29</f>
        <v>0</v>
      </c>
      <c r="AF6" s="416">
        <f>'4. NPV'!AG$29</f>
        <v>0</v>
      </c>
      <c r="AG6" s="416">
        <f>'4. NPV'!AH$29</f>
        <v>0</v>
      </c>
      <c r="AH6" s="416">
        <f>'4. NPV'!AI$29</f>
        <v>0</v>
      </c>
      <c r="AI6" s="416">
        <f>'4. NPV'!AJ$29</f>
        <v>0</v>
      </c>
      <c r="AJ6" s="416">
        <f>'4. NPV'!AK$29</f>
        <v>0</v>
      </c>
      <c r="AK6" s="416">
        <f>'4. NPV'!AL$29</f>
        <v>0</v>
      </c>
      <c r="AL6" s="416">
        <f>'4. NPV'!AM$29</f>
        <v>0</v>
      </c>
      <c r="AM6" s="416">
        <f>'4. NPV'!AN$29</f>
        <v>0</v>
      </c>
      <c r="AN6" s="416">
        <f>'4. NPV'!AO$29</f>
        <v>0</v>
      </c>
      <c r="AO6" s="416">
        <f>'4. NPV'!AP$29</f>
        <v>0</v>
      </c>
      <c r="AP6" s="416">
        <f>'4. NPV'!AQ$29</f>
        <v>0</v>
      </c>
      <c r="AQ6" s="416">
        <f>'4. NPV'!AR$29</f>
        <v>0</v>
      </c>
      <c r="AR6" s="416">
        <f>'4. NPV'!AS$29</f>
        <v>0</v>
      </c>
      <c r="AS6" s="416">
        <f>'4. NPV'!AT$29</f>
        <v>0</v>
      </c>
      <c r="AT6" s="416">
        <f>'4. NPV'!AU$29</f>
        <v>0</v>
      </c>
      <c r="AU6" s="416">
        <f>'4. NPV'!AV$29</f>
        <v>0</v>
      </c>
      <c r="AV6" s="416">
        <f>'4. NPV'!AW$29</f>
        <v>0</v>
      </c>
      <c r="AW6" s="416">
        <f>'4. NPV'!AX$29</f>
        <v>0</v>
      </c>
      <c r="AX6" s="416">
        <f>'4. NPV'!AY$29</f>
        <v>0</v>
      </c>
      <c r="AY6" s="416">
        <f>'4. NPV'!AZ$29</f>
        <v>0</v>
      </c>
      <c r="AZ6" s="416">
        <f>'4. NPV'!BA$29</f>
        <v>0</v>
      </c>
      <c r="BA6" s="506"/>
    </row>
    <row r="7" spans="1:53">
      <c r="B7" s="416" t="s">
        <v>291</v>
      </c>
      <c r="C7" s="416">
        <v>0</v>
      </c>
      <c r="D7" s="416">
        <v>0</v>
      </c>
      <c r="E7" s="416">
        <v>0</v>
      </c>
      <c r="F7" s="416">
        <v>0</v>
      </c>
      <c r="G7" s="416">
        <v>0</v>
      </c>
      <c r="H7" s="416">
        <v>0</v>
      </c>
      <c r="I7" s="416">
        <v>0</v>
      </c>
      <c r="J7" s="416">
        <v>0</v>
      </c>
      <c r="K7" s="416">
        <v>0</v>
      </c>
      <c r="L7" s="416">
        <v>0</v>
      </c>
      <c r="M7" s="416">
        <v>0</v>
      </c>
      <c r="N7" s="416">
        <v>0</v>
      </c>
      <c r="O7" s="416">
        <v>0</v>
      </c>
      <c r="P7" s="416">
        <v>0</v>
      </c>
      <c r="Q7" s="416">
        <v>0</v>
      </c>
      <c r="R7" s="416">
        <v>0</v>
      </c>
      <c r="S7" s="416">
        <v>0</v>
      </c>
      <c r="T7" s="416">
        <v>0</v>
      </c>
      <c r="U7" s="416">
        <v>0</v>
      </c>
      <c r="V7" s="416">
        <v>0</v>
      </c>
      <c r="W7" s="416">
        <v>0</v>
      </c>
      <c r="X7" s="416">
        <v>0</v>
      </c>
      <c r="Y7" s="416">
        <v>0</v>
      </c>
      <c r="Z7" s="416">
        <v>0</v>
      </c>
      <c r="AA7" s="416">
        <v>0</v>
      </c>
      <c r="AB7" s="416">
        <v>0</v>
      </c>
      <c r="AC7" s="416">
        <v>0</v>
      </c>
      <c r="AD7" s="416">
        <v>0</v>
      </c>
      <c r="AE7" s="416">
        <v>0</v>
      </c>
      <c r="AF7" s="416">
        <v>0</v>
      </c>
      <c r="AG7" s="416">
        <v>0</v>
      </c>
      <c r="AH7" s="416">
        <v>0</v>
      </c>
      <c r="AI7" s="416">
        <v>0</v>
      </c>
      <c r="AJ7" s="416">
        <v>0</v>
      </c>
      <c r="AK7" s="416">
        <v>0</v>
      </c>
      <c r="AL7" s="416">
        <v>0</v>
      </c>
      <c r="AM7" s="416">
        <v>0</v>
      </c>
      <c r="AN7" s="416">
        <v>0</v>
      </c>
      <c r="AO7" s="416">
        <v>0</v>
      </c>
      <c r="AP7" s="416">
        <v>0</v>
      </c>
      <c r="AQ7" s="416">
        <v>0</v>
      </c>
      <c r="AR7" s="416">
        <v>0</v>
      </c>
      <c r="AS7" s="416">
        <v>0</v>
      </c>
      <c r="AT7" s="416">
        <v>0</v>
      </c>
      <c r="AU7" s="416">
        <v>0</v>
      </c>
      <c r="AV7" s="416">
        <v>0</v>
      </c>
      <c r="AW7" s="416">
        <v>0</v>
      </c>
      <c r="AX7" s="416">
        <v>0</v>
      </c>
      <c r="AY7" s="416">
        <v>0</v>
      </c>
      <c r="AZ7" s="416">
        <v>0</v>
      </c>
      <c r="BA7" s="506"/>
    </row>
    <row r="8" spans="1:53">
      <c r="B8" s="415" t="s">
        <v>292</v>
      </c>
      <c r="C8" s="416">
        <f>('4. NPV'!D$9)-'2. Kalkyldata'!$AA$28</f>
        <v>-239999999.99999997</v>
      </c>
      <c r="D8" s="416">
        <f>('4. NPV'!E$9)</f>
        <v>0</v>
      </c>
      <c r="E8" s="416">
        <f>('4. NPV'!F$9)</f>
        <v>0</v>
      </c>
      <c r="F8" s="416">
        <f>('4. NPV'!G$9)</f>
        <v>0</v>
      </c>
      <c r="G8" s="416">
        <f>('4. NPV'!H$9)</f>
        <v>0</v>
      </c>
      <c r="H8" s="416">
        <f>('4. NPV'!I$9)</f>
        <v>0</v>
      </c>
      <c r="I8" s="416">
        <f>('4. NPV'!J$9)</f>
        <v>0</v>
      </c>
      <c r="J8" s="416">
        <f>('4. NPV'!K$9)</f>
        <v>0</v>
      </c>
      <c r="K8" s="416">
        <f>('4. NPV'!L$9)</f>
        <v>0</v>
      </c>
      <c r="L8" s="416">
        <f>('4. NPV'!M$9)</f>
        <v>0</v>
      </c>
      <c r="M8" s="416">
        <f>('4. NPV'!N$9)</f>
        <v>0</v>
      </c>
      <c r="N8" s="416">
        <f>('4. NPV'!O$9)</f>
        <v>0</v>
      </c>
      <c r="O8" s="416">
        <f>('4. NPV'!P$9)</f>
        <v>0</v>
      </c>
      <c r="P8" s="416">
        <f>('4. NPV'!Q$9)</f>
        <v>0</v>
      </c>
      <c r="Q8" s="416">
        <f>('4. NPV'!R$9)</f>
        <v>0</v>
      </c>
      <c r="R8" s="416">
        <f>('4. NPV'!S$9)</f>
        <v>0</v>
      </c>
      <c r="S8" s="416">
        <f>('4. NPV'!T$9)</f>
        <v>0</v>
      </c>
      <c r="T8" s="416">
        <f>('4. NPV'!U$9)</f>
        <v>0</v>
      </c>
      <c r="U8" s="416">
        <f>('4. NPV'!V$9)</f>
        <v>0</v>
      </c>
      <c r="V8" s="416">
        <f>('4. NPV'!W$9)</f>
        <v>0</v>
      </c>
      <c r="W8" s="416">
        <f>('4. NPV'!X$9)</f>
        <v>0</v>
      </c>
      <c r="X8" s="416">
        <f>('4. NPV'!Y$9)</f>
        <v>0</v>
      </c>
      <c r="Y8" s="416">
        <f>('4. NPV'!Z$9)</f>
        <v>0</v>
      </c>
      <c r="Z8" s="416">
        <f>('4. NPV'!AA$9)</f>
        <v>0</v>
      </c>
      <c r="AA8" s="416">
        <f>('4. NPV'!AB$9)</f>
        <v>0</v>
      </c>
      <c r="AB8" s="416">
        <f>('4. NPV'!AC$9)</f>
        <v>0</v>
      </c>
      <c r="AC8" s="416">
        <f>('4. NPV'!AD$9)</f>
        <v>0</v>
      </c>
      <c r="AD8" s="416">
        <f>('4. NPV'!AE$9)</f>
        <v>0</v>
      </c>
      <c r="AE8" s="416">
        <f>('4. NPV'!AF$9)</f>
        <v>0</v>
      </c>
      <c r="AF8" s="416">
        <f>('4. NPV'!AG$9)</f>
        <v>0</v>
      </c>
      <c r="AG8" s="416">
        <f>('4. NPV'!AH$9)</f>
        <v>0</v>
      </c>
      <c r="AH8" s="416">
        <f>('4. NPV'!AI$9)</f>
        <v>0</v>
      </c>
      <c r="AI8" s="416">
        <f>('4. NPV'!AJ$9)</f>
        <v>0</v>
      </c>
      <c r="AJ8" s="416">
        <f>('4. NPV'!AK$9)</f>
        <v>0</v>
      </c>
      <c r="AK8" s="416">
        <f>('4. NPV'!AL$9)</f>
        <v>0</v>
      </c>
      <c r="AL8" s="416">
        <f>('4. NPV'!AM$9)</f>
        <v>0</v>
      </c>
      <c r="AM8" s="416">
        <f>('4. NPV'!AN$9)</f>
        <v>0</v>
      </c>
      <c r="AN8" s="416">
        <f>('4. NPV'!AO$9)</f>
        <v>0</v>
      </c>
      <c r="AO8" s="416">
        <f>('4. NPV'!AP$9)</f>
        <v>0</v>
      </c>
      <c r="AP8" s="416">
        <f>('4. NPV'!AQ$9)</f>
        <v>0</v>
      </c>
      <c r="AQ8" s="416">
        <f>('4. NPV'!AR$9)</f>
        <v>0</v>
      </c>
      <c r="AR8" s="416">
        <f>('4. NPV'!AS$9)</f>
        <v>0</v>
      </c>
      <c r="AS8" s="416">
        <f>('4. NPV'!AT$9)</f>
        <v>0</v>
      </c>
      <c r="AT8" s="416">
        <f>('4. NPV'!AU$9)</f>
        <v>0</v>
      </c>
      <c r="AU8" s="416">
        <f>('4. NPV'!AV$9)</f>
        <v>0</v>
      </c>
      <c r="AV8" s="416">
        <f>('4. NPV'!AW$9)</f>
        <v>0</v>
      </c>
      <c r="AW8" s="416">
        <f>('4. NPV'!AX$9)</f>
        <v>0</v>
      </c>
      <c r="AX8" s="416">
        <f>('4. NPV'!AY$9)</f>
        <v>0</v>
      </c>
      <c r="AY8" s="416">
        <f>('4. NPV'!AZ$9)</f>
        <v>0</v>
      </c>
      <c r="AZ8" s="416">
        <f>('4. NPV'!BA$9)</f>
        <v>0</v>
      </c>
      <c r="BA8" s="506"/>
    </row>
    <row r="9" spans="1:53">
      <c r="B9" s="417" t="s">
        <v>293</v>
      </c>
      <c r="C9" s="418">
        <f>('5. IRR'!D$24+'5. IRR'!D$25)</f>
        <v>0</v>
      </c>
      <c r="D9" s="418">
        <f>('5. IRR'!E$24+'5. IRR'!E$25)</f>
        <v>0</v>
      </c>
      <c r="E9" s="418">
        <f>('5. IRR'!F$24+'5. IRR'!F$25)</f>
        <v>0</v>
      </c>
      <c r="F9" s="418">
        <f>('5. IRR'!G$24+'5. IRR'!G$25)</f>
        <v>0</v>
      </c>
      <c r="G9" s="418">
        <f>('5. IRR'!H$24+'5. IRR'!H$25)</f>
        <v>0</v>
      </c>
      <c r="H9" s="418">
        <f>('5. IRR'!I$24+'5. IRR'!I$25)</f>
        <v>0</v>
      </c>
      <c r="I9" s="418">
        <f>('5. IRR'!J$24+'5. IRR'!J$25)</f>
        <v>0</v>
      </c>
      <c r="J9" s="418">
        <f>('5. IRR'!K$24+'5. IRR'!K$25)</f>
        <v>0</v>
      </c>
      <c r="K9" s="418">
        <f>('5. IRR'!L$24+'5. IRR'!L$25)</f>
        <v>0</v>
      </c>
      <c r="L9" s="418">
        <f>('5. IRR'!M$24+'5. IRR'!M$25)</f>
        <v>0</v>
      </c>
      <c r="M9" s="418">
        <f>('5. IRR'!N$24+'5. IRR'!N$25)</f>
        <v>0</v>
      </c>
      <c r="N9" s="418">
        <f>('5. IRR'!O$24+'5. IRR'!O$25)</f>
        <v>0</v>
      </c>
      <c r="O9" s="418">
        <f>('5. IRR'!P$24+'5. IRR'!P$25)</f>
        <v>0</v>
      </c>
      <c r="P9" s="418">
        <f>('5. IRR'!Q$24+'5. IRR'!Q$25)</f>
        <v>0</v>
      </c>
      <c r="Q9" s="418">
        <f>('5. IRR'!R$24+'5. IRR'!R$25)</f>
        <v>0</v>
      </c>
      <c r="R9" s="418">
        <f>('5. IRR'!S$24+'5. IRR'!S$25)</f>
        <v>0</v>
      </c>
      <c r="S9" s="418">
        <f>('5. IRR'!T$24+'5. IRR'!T$25)</f>
        <v>0</v>
      </c>
      <c r="T9" s="418">
        <f>('5. IRR'!U$24+'5. IRR'!U$25)</f>
        <v>0</v>
      </c>
      <c r="U9" s="418">
        <f>('5. IRR'!V$24+'5. IRR'!V$25)</f>
        <v>0</v>
      </c>
      <c r="V9" s="418">
        <f>('5. IRR'!W$24+'5. IRR'!W$25)</f>
        <v>0</v>
      </c>
      <c r="W9" s="418">
        <f>('5. IRR'!X$24+'5. IRR'!X$25)</f>
        <v>0</v>
      </c>
      <c r="X9" s="418">
        <f>('5. IRR'!Y$24+'5. IRR'!Y$25)</f>
        <v>0</v>
      </c>
      <c r="Y9" s="418">
        <f>('5. IRR'!Z$24+'5. IRR'!Z$25)</f>
        <v>0</v>
      </c>
      <c r="Z9" s="418">
        <f>('5. IRR'!AA$24+'5. IRR'!AA$25)</f>
        <v>0</v>
      </c>
      <c r="AA9" s="418">
        <f>('5. IRR'!AB$24+'5. IRR'!AB$25)</f>
        <v>0</v>
      </c>
      <c r="AB9" s="418">
        <f>('5. IRR'!AC$24+'5. IRR'!AC$25)</f>
        <v>0</v>
      </c>
      <c r="AC9" s="418">
        <f>('5. IRR'!AD$24+'5. IRR'!AD$25)</f>
        <v>0</v>
      </c>
      <c r="AD9" s="418">
        <f>('5. IRR'!AE$24+'5. IRR'!AE$25)</f>
        <v>0</v>
      </c>
      <c r="AE9" s="418">
        <f>('5. IRR'!AF$24+'5. IRR'!AF$25)</f>
        <v>0</v>
      </c>
      <c r="AF9" s="418">
        <f>('5. IRR'!AG$24+'5. IRR'!AG$25)</f>
        <v>0</v>
      </c>
      <c r="AG9" s="418">
        <f>('5. IRR'!AH$24+'5. IRR'!AH$25)</f>
        <v>0</v>
      </c>
      <c r="AH9" s="418">
        <f>('5. IRR'!AI$24+'5. IRR'!AI$25)</f>
        <v>0</v>
      </c>
      <c r="AI9" s="418">
        <f>('5. IRR'!AJ$24+'5. IRR'!AJ$25)</f>
        <v>0</v>
      </c>
      <c r="AJ9" s="418">
        <f>('5. IRR'!AK$24+'5. IRR'!AK$25)</f>
        <v>0</v>
      </c>
      <c r="AK9" s="418">
        <f>('5. IRR'!AL$24+'5. IRR'!AL$25)</f>
        <v>0</v>
      </c>
      <c r="AL9" s="418">
        <f>('5. IRR'!AM$24+'5. IRR'!AM$25)</f>
        <v>0</v>
      </c>
      <c r="AM9" s="418">
        <f>('5. IRR'!AN$24+'5. IRR'!AN$25)</f>
        <v>0</v>
      </c>
      <c r="AN9" s="418">
        <f>('5. IRR'!AO$24+'5. IRR'!AO$25)</f>
        <v>0</v>
      </c>
      <c r="AO9" s="418">
        <f>('5. IRR'!AP$24+'5. IRR'!AP$25)</f>
        <v>0</v>
      </c>
      <c r="AP9" s="418">
        <f>('5. IRR'!AQ$24+'5. IRR'!AQ$25)</f>
        <v>0</v>
      </c>
      <c r="AQ9" s="418">
        <f>('5. IRR'!AR$24+'5. IRR'!AR$25)</f>
        <v>0</v>
      </c>
      <c r="AR9" s="418">
        <f>('5. IRR'!AS$24+'5. IRR'!AS$25)</f>
        <v>0</v>
      </c>
      <c r="AS9" s="418">
        <f>('5. IRR'!AT$24+'5. IRR'!AT$25)</f>
        <v>0</v>
      </c>
      <c r="AT9" s="418">
        <f>('5. IRR'!AU$24+'5. IRR'!AU$25)</f>
        <v>0</v>
      </c>
      <c r="AU9" s="418">
        <f>('5. IRR'!AV$24+'5. IRR'!AV$25)</f>
        <v>0</v>
      </c>
      <c r="AV9" s="418">
        <f>('5. IRR'!AW$24+'5. IRR'!AW$25)</f>
        <v>0</v>
      </c>
      <c r="AW9" s="418">
        <f>('5. IRR'!AX$24+'5. IRR'!AX$25)</f>
        <v>0</v>
      </c>
      <c r="AX9" s="418">
        <f>('5. IRR'!AY$24+'5. IRR'!AY$25)</f>
        <v>0</v>
      </c>
      <c r="AY9" s="418">
        <f>('5. IRR'!AZ$24+'5. IRR'!AZ$25)</f>
        <v>0</v>
      </c>
      <c r="AZ9" s="418">
        <f>('5. IRR'!BA$24+'5. IRR'!BA$25)</f>
        <v>0</v>
      </c>
      <c r="BA9" s="506"/>
    </row>
    <row r="10" spans="1:53">
      <c r="B10" s="467" t="s">
        <v>294</v>
      </c>
      <c r="C10" s="468">
        <f t="shared" ref="C10:AH10" ca="1" si="0">C6+C7+C8</f>
        <v>-226305499.99999997</v>
      </c>
      <c r="D10" s="468">
        <f t="shared" ca="1" si="0"/>
        <v>13871400</v>
      </c>
      <c r="E10" s="468">
        <f t="shared" ca="1" si="0"/>
        <v>14050480.140000001</v>
      </c>
      <c r="F10" s="468">
        <f t="shared" ca="1" si="0"/>
        <v>14231765.012760002</v>
      </c>
      <c r="G10" s="468">
        <f t="shared" ca="1" si="0"/>
        <v>14415279.436754644</v>
      </c>
      <c r="H10" s="468">
        <f t="shared" ca="1" si="0"/>
        <v>14601048.456961529</v>
      </c>
      <c r="I10" s="468">
        <f t="shared" ca="1" si="0"/>
        <v>14789097.345613157</v>
      </c>
      <c r="J10" s="468">
        <f t="shared" ca="1" si="0"/>
        <v>14979451.602910995</v>
      </c>
      <c r="K10" s="468">
        <f t="shared" ca="1" si="0"/>
        <v>15172136.957700187</v>
      </c>
      <c r="L10" s="468">
        <f t="shared" ca="1" si="0"/>
        <v>15367179.368103392</v>
      </c>
      <c r="M10" s="468">
        <f t="shared" ca="1" si="0"/>
        <v>15564605.022112153</v>
      </c>
      <c r="N10" s="468">
        <f t="shared" ca="1" si="0"/>
        <v>15764440.33813414</v>
      </c>
      <c r="O10" s="468">
        <f t="shared" ca="1" si="0"/>
        <v>15966711.965494689</v>
      </c>
      <c r="P10" s="468">
        <f t="shared" ca="1" si="0"/>
        <v>16171446.784890812</v>
      </c>
      <c r="Q10" s="468">
        <f t="shared" ca="1" si="0"/>
        <v>16378671.908796068</v>
      </c>
      <c r="R10" s="468">
        <f t="shared" ca="1" si="0"/>
        <v>16588414.681814335</v>
      </c>
      <c r="S10" s="468">
        <f t="shared" ca="1" si="0"/>
        <v>16800702.680980761</v>
      </c>
      <c r="T10" s="468">
        <f t="shared" ca="1" si="0"/>
        <v>17015563.716007937</v>
      </c>
      <c r="U10" s="468">
        <f t="shared" ca="1" si="0"/>
        <v>17233025.829475358</v>
      </c>
      <c r="V10" s="468">
        <f t="shared" ca="1" si="0"/>
        <v>17453117.29696019</v>
      </c>
      <c r="W10" s="468">
        <f t="shared" ca="1" si="0"/>
        <v>17675866.627107255</v>
      </c>
      <c r="X10" s="468">
        <f t="shared" si="0"/>
        <v>0</v>
      </c>
      <c r="Y10" s="468">
        <f t="shared" si="0"/>
        <v>0</v>
      </c>
      <c r="Z10" s="468">
        <f t="shared" si="0"/>
        <v>0</v>
      </c>
      <c r="AA10" s="468">
        <f t="shared" si="0"/>
        <v>0</v>
      </c>
      <c r="AB10" s="468">
        <f t="shared" si="0"/>
        <v>0</v>
      </c>
      <c r="AC10" s="468">
        <f t="shared" si="0"/>
        <v>0</v>
      </c>
      <c r="AD10" s="468">
        <f t="shared" si="0"/>
        <v>0</v>
      </c>
      <c r="AE10" s="468">
        <f t="shared" si="0"/>
        <v>0</v>
      </c>
      <c r="AF10" s="468">
        <f t="shared" si="0"/>
        <v>0</v>
      </c>
      <c r="AG10" s="468">
        <f t="shared" si="0"/>
        <v>0</v>
      </c>
      <c r="AH10" s="468">
        <f t="shared" si="0"/>
        <v>0</v>
      </c>
      <c r="AI10" s="468">
        <f t="shared" ref="AI10:AZ10" si="1">AI6+AI7+AI8</f>
        <v>0</v>
      </c>
      <c r="AJ10" s="468">
        <f t="shared" si="1"/>
        <v>0</v>
      </c>
      <c r="AK10" s="468">
        <f t="shared" si="1"/>
        <v>0</v>
      </c>
      <c r="AL10" s="468">
        <f t="shared" si="1"/>
        <v>0</v>
      </c>
      <c r="AM10" s="468">
        <f t="shared" si="1"/>
        <v>0</v>
      </c>
      <c r="AN10" s="468">
        <f t="shared" si="1"/>
        <v>0</v>
      </c>
      <c r="AO10" s="468">
        <f t="shared" si="1"/>
        <v>0</v>
      </c>
      <c r="AP10" s="468">
        <f t="shared" si="1"/>
        <v>0</v>
      </c>
      <c r="AQ10" s="468">
        <f t="shared" si="1"/>
        <v>0</v>
      </c>
      <c r="AR10" s="468">
        <f t="shared" si="1"/>
        <v>0</v>
      </c>
      <c r="AS10" s="468">
        <f t="shared" si="1"/>
        <v>0</v>
      </c>
      <c r="AT10" s="468">
        <f t="shared" si="1"/>
        <v>0</v>
      </c>
      <c r="AU10" s="468">
        <f t="shared" si="1"/>
        <v>0</v>
      </c>
      <c r="AV10" s="468">
        <f t="shared" si="1"/>
        <v>0</v>
      </c>
      <c r="AW10" s="468">
        <f t="shared" si="1"/>
        <v>0</v>
      </c>
      <c r="AX10" s="468">
        <f t="shared" si="1"/>
        <v>0</v>
      </c>
      <c r="AY10" s="468">
        <f t="shared" si="1"/>
        <v>0</v>
      </c>
      <c r="AZ10" s="468">
        <f t="shared" si="1"/>
        <v>0</v>
      </c>
      <c r="BA10" s="506"/>
    </row>
    <row r="11" spans="1:53">
      <c r="B11" s="415" t="s">
        <v>295</v>
      </c>
      <c r="C11" s="416">
        <f>-(SUM(C$8:$C$8)*'2. Kalkyldata'!$M$7)</f>
        <v>10919999.999999998</v>
      </c>
      <c r="D11" s="416">
        <f ca="1">C$13*'2. Kalkyldata'!$M$7</f>
        <v>10793760.249999998</v>
      </c>
      <c r="E11" s="416">
        <f ca="1">D$13*'2. Kalkyldata'!$M$7</f>
        <v>10653727.641374998</v>
      </c>
      <c r="F11" s="416">
        <f ca="1">E$13*'2. Kalkyldata'!$M$7</f>
        <v>10499175.402687561</v>
      </c>
      <c r="G11" s="416">
        <f ca="1">F$13*'2. Kalkyldata'!$M$7</f>
        <v>10329342.575429263</v>
      </c>
      <c r="H11" s="416">
        <f ca="1">G$13*'2. Kalkyldata'!$M$7</f>
        <v>10143432.448238958</v>
      </c>
      <c r="I11" s="416">
        <f ca="1">H$13*'2. Kalkyldata'!$M$7</f>
        <v>9940610.9198420811</v>
      </c>
      <c r="J11" s="416">
        <f ca="1">I$13*'2. Kalkyldata'!$M$7</f>
        <v>9720004.7874694988</v>
      </c>
      <c r="K11" s="416">
        <f ca="1">J$13*'2. Kalkyldata'!$M$7</f>
        <v>9480699.9573669098</v>
      </c>
      <c r="L11" s="416">
        <f ca="1">K$13*'2. Kalkyldata'!$M$7</f>
        <v>9221739.5738517456</v>
      </c>
      <c r="M11" s="416">
        <f ca="1">L$13*'2. Kalkyldata'!$M$7</f>
        <v>8942122.0632132962</v>
      </c>
      <c r="N11" s="416">
        <f ca="1">M$13*'2. Kalkyldata'!$M$7</f>
        <v>8640799.0885833967</v>
      </c>
      <c r="O11" s="416">
        <f ca="1">N$13*'2. Kalkyldata'!$M$7</f>
        <v>8316673.4117288394</v>
      </c>
      <c r="P11" s="416">
        <f ca="1">O$13*'2. Kalkyldata'!$M$7</f>
        <v>7968596.6575324927</v>
      </c>
      <c r="Q11" s="416">
        <f ca="1">P$13*'2. Kalkyldata'!$M$7</f>
        <v>7595366.9767376892</v>
      </c>
      <c r="R11" s="416">
        <f ca="1">Q$13*'2. Kalkyldata'!$M$7</f>
        <v>7195726.6023290325</v>
      </c>
      <c r="S11" s="416">
        <f ca="1">R$13*'2. Kalkyldata'!$M$7</f>
        <v>6768359.2947124513</v>
      </c>
      <c r="T11" s="416">
        <f ca="1">S$13*'2. Kalkyldata'!$M$7</f>
        <v>6311887.6706372425</v>
      </c>
      <c r="U11" s="416">
        <f ca="1">T$13*'2. Kalkyldata'!$M$7</f>
        <v>5824870.4105728762</v>
      </c>
      <c r="V11" s="416">
        <f ca="1">U$13*'2. Kalkyldata'!$M$7</f>
        <v>5305799.3390128128</v>
      </c>
      <c r="W11" s="416">
        <f ca="1">V$13*'2. Kalkyldata'!$M$7</f>
        <v>4753096.3719262071</v>
      </c>
      <c r="X11" s="416">
        <f ca="1">W$13*'2. Kalkyldata'!$M$7</f>
        <v>4165110.3253154689</v>
      </c>
      <c r="Y11" s="416">
        <f>X$13*'2. Kalkyldata'!$M$7</f>
        <v>0</v>
      </c>
      <c r="Z11" s="416">
        <f>Y$13*'2. Kalkyldata'!$M$7</f>
        <v>0</v>
      </c>
      <c r="AA11" s="416">
        <f>Z$13*'2. Kalkyldata'!$M$7</f>
        <v>0</v>
      </c>
      <c r="AB11" s="416">
        <f>AA$13*'2. Kalkyldata'!$M$7</f>
        <v>0</v>
      </c>
      <c r="AC11" s="416">
        <f>AB$13*'2. Kalkyldata'!$M$7</f>
        <v>0</v>
      </c>
      <c r="AD11" s="416">
        <f>AC$13*'2. Kalkyldata'!$M$7</f>
        <v>0</v>
      </c>
      <c r="AE11" s="416">
        <f>AD$13*'2. Kalkyldata'!$M$7</f>
        <v>0</v>
      </c>
      <c r="AF11" s="416">
        <f>AE$13*'2. Kalkyldata'!$M$7</f>
        <v>0</v>
      </c>
      <c r="AG11" s="416">
        <f>AF$13*'2. Kalkyldata'!$M$7</f>
        <v>0</v>
      </c>
      <c r="AH11" s="416">
        <f>AG$13*'2. Kalkyldata'!$M$7</f>
        <v>0</v>
      </c>
      <c r="AI11" s="416">
        <f>AH$13*'2. Kalkyldata'!$M$7</f>
        <v>0</v>
      </c>
      <c r="AJ11" s="416">
        <f>AI$13*'2. Kalkyldata'!$M$7</f>
        <v>0</v>
      </c>
      <c r="AK11" s="416">
        <f>AJ$13*'2. Kalkyldata'!$M$7</f>
        <v>0</v>
      </c>
      <c r="AL11" s="416">
        <f>AK$13*'2. Kalkyldata'!$M$7</f>
        <v>0</v>
      </c>
      <c r="AM11" s="416">
        <f>AL$13*'2. Kalkyldata'!$M$7</f>
        <v>0</v>
      </c>
      <c r="AN11" s="416">
        <f>AM$13*'2. Kalkyldata'!$M$7</f>
        <v>0</v>
      </c>
      <c r="AO11" s="416">
        <f>AN$13*'2. Kalkyldata'!$M$7</f>
        <v>0</v>
      </c>
      <c r="AP11" s="416">
        <f>AO$13*'2. Kalkyldata'!$M$7</f>
        <v>0</v>
      </c>
      <c r="AQ11" s="416">
        <f>AP$13*'2. Kalkyldata'!$M$7</f>
        <v>0</v>
      </c>
      <c r="AR11" s="416">
        <f>AQ$13*'2. Kalkyldata'!$M$7</f>
        <v>0</v>
      </c>
      <c r="AS11" s="416">
        <f>AR$13*'2. Kalkyldata'!$M$7</f>
        <v>0</v>
      </c>
      <c r="AT11" s="416">
        <f>AS$13*'2. Kalkyldata'!$M$7</f>
        <v>0</v>
      </c>
      <c r="AU11" s="416">
        <f>AT$13*'2. Kalkyldata'!$M$7</f>
        <v>0</v>
      </c>
      <c r="AV11" s="416">
        <f>AU$13*'2. Kalkyldata'!$M$7</f>
        <v>0</v>
      </c>
      <c r="AW11" s="416">
        <f>AV$13*'2. Kalkyldata'!$M$7</f>
        <v>0</v>
      </c>
      <c r="AX11" s="416">
        <f>AW$13*'2. Kalkyldata'!$M$7</f>
        <v>0</v>
      </c>
      <c r="AY11" s="416">
        <f>AX$13*'2. Kalkyldata'!$M$7</f>
        <v>0</v>
      </c>
      <c r="AZ11" s="416">
        <f>AY$13*'2. Kalkyldata'!$M$7</f>
        <v>0</v>
      </c>
      <c r="BA11" s="506"/>
    </row>
    <row r="12" spans="1:53">
      <c r="B12" s="415" t="s">
        <v>296</v>
      </c>
      <c r="C12" s="416">
        <f ca="1">C10-C11</f>
        <v>-237225499.99999997</v>
      </c>
      <c r="D12" s="416">
        <f t="shared" ref="D12:AH12" ca="1" si="2">D10-D11</f>
        <v>3077639.7500000019</v>
      </c>
      <c r="E12" s="416">
        <f t="shared" ca="1" si="2"/>
        <v>3396752.4986250028</v>
      </c>
      <c r="F12" s="416">
        <f t="shared" ca="1" si="2"/>
        <v>3732589.6100724414</v>
      </c>
      <c r="G12" s="416">
        <f t="shared" ca="1" si="2"/>
        <v>4085936.8613253813</v>
      </c>
      <c r="H12" s="416">
        <f t="shared" ca="1" si="2"/>
        <v>4457616.0087225717</v>
      </c>
      <c r="I12" s="416">
        <f t="shared" ca="1" si="2"/>
        <v>4848486.4257710762</v>
      </c>
      <c r="J12" s="416">
        <f t="shared" ca="1" si="2"/>
        <v>5259446.8154414967</v>
      </c>
      <c r="K12" s="416">
        <f t="shared" ca="1" si="2"/>
        <v>5691437.0003332775</v>
      </c>
      <c r="L12" s="416">
        <f t="shared" ca="1" si="2"/>
        <v>6145439.7942516468</v>
      </c>
      <c r="M12" s="416">
        <f t="shared" ca="1" si="2"/>
        <v>6622482.9588988572</v>
      </c>
      <c r="N12" s="416">
        <f t="shared" ca="1" si="2"/>
        <v>7123641.249550743</v>
      </c>
      <c r="O12" s="416">
        <f t="shared" ca="1" si="2"/>
        <v>7650038.5537658492</v>
      </c>
      <c r="P12" s="416">
        <f t="shared" ca="1" si="2"/>
        <v>8202850.1273583192</v>
      </c>
      <c r="Q12" s="416">
        <f t="shared" ca="1" si="2"/>
        <v>8783304.9320583791</v>
      </c>
      <c r="R12" s="416">
        <f t="shared" ca="1" si="2"/>
        <v>9392688.0794853028</v>
      </c>
      <c r="S12" s="416">
        <f t="shared" ca="1" si="2"/>
        <v>10032343.38626831</v>
      </c>
      <c r="T12" s="416">
        <f t="shared" ca="1" si="2"/>
        <v>10703676.045370694</v>
      </c>
      <c r="U12" s="416">
        <f t="shared" ca="1" si="2"/>
        <v>11408155.418902483</v>
      </c>
      <c r="V12" s="416">
        <f t="shared" ca="1" si="2"/>
        <v>12147317.957947377</v>
      </c>
      <c r="W12" s="416">
        <f t="shared" ca="1" si="2"/>
        <v>12922770.255181048</v>
      </c>
      <c r="X12" s="416">
        <f t="shared" ca="1" si="2"/>
        <v>-4165110.3253154689</v>
      </c>
      <c r="Y12" s="416">
        <f t="shared" si="2"/>
        <v>0</v>
      </c>
      <c r="Z12" s="416">
        <f t="shared" si="2"/>
        <v>0</v>
      </c>
      <c r="AA12" s="416">
        <f t="shared" si="2"/>
        <v>0</v>
      </c>
      <c r="AB12" s="416">
        <f t="shared" si="2"/>
        <v>0</v>
      </c>
      <c r="AC12" s="416">
        <f t="shared" si="2"/>
        <v>0</v>
      </c>
      <c r="AD12" s="416">
        <f t="shared" si="2"/>
        <v>0</v>
      </c>
      <c r="AE12" s="416">
        <f t="shared" si="2"/>
        <v>0</v>
      </c>
      <c r="AF12" s="416">
        <f t="shared" si="2"/>
        <v>0</v>
      </c>
      <c r="AG12" s="416">
        <f t="shared" si="2"/>
        <v>0</v>
      </c>
      <c r="AH12" s="416">
        <f t="shared" si="2"/>
        <v>0</v>
      </c>
      <c r="AI12" s="416">
        <f t="shared" ref="AI12:AZ12" si="3">AI10-AI11</f>
        <v>0</v>
      </c>
      <c r="AJ12" s="416">
        <f t="shared" si="3"/>
        <v>0</v>
      </c>
      <c r="AK12" s="416">
        <f t="shared" si="3"/>
        <v>0</v>
      </c>
      <c r="AL12" s="416">
        <f t="shared" si="3"/>
        <v>0</v>
      </c>
      <c r="AM12" s="416">
        <f t="shared" si="3"/>
        <v>0</v>
      </c>
      <c r="AN12" s="416">
        <f t="shared" si="3"/>
        <v>0</v>
      </c>
      <c r="AO12" s="416">
        <f t="shared" si="3"/>
        <v>0</v>
      </c>
      <c r="AP12" s="416">
        <f t="shared" si="3"/>
        <v>0</v>
      </c>
      <c r="AQ12" s="416">
        <f t="shared" si="3"/>
        <v>0</v>
      </c>
      <c r="AR12" s="416">
        <f t="shared" si="3"/>
        <v>0</v>
      </c>
      <c r="AS12" s="416">
        <f t="shared" si="3"/>
        <v>0</v>
      </c>
      <c r="AT12" s="416">
        <f t="shared" si="3"/>
        <v>0</v>
      </c>
      <c r="AU12" s="416">
        <f t="shared" si="3"/>
        <v>0</v>
      </c>
      <c r="AV12" s="416">
        <f t="shared" si="3"/>
        <v>0</v>
      </c>
      <c r="AW12" s="416">
        <f t="shared" si="3"/>
        <v>0</v>
      </c>
      <c r="AX12" s="416">
        <f t="shared" si="3"/>
        <v>0</v>
      </c>
      <c r="AY12" s="416">
        <f t="shared" si="3"/>
        <v>0</v>
      </c>
      <c r="AZ12" s="416">
        <f t="shared" si="3"/>
        <v>0</v>
      </c>
      <c r="BA12" s="506"/>
    </row>
    <row r="13" spans="1:53">
      <c r="A13" s="180" t="s">
        <v>297</v>
      </c>
      <c r="B13" s="469" t="s">
        <v>298</v>
      </c>
      <c r="C13" s="470">
        <f ca="1">IF(C$3="",0,C$5-C$6-C$8+-C$9+C$11)</f>
        <v>237225499.99999997</v>
      </c>
      <c r="D13" s="470">
        <f ca="1">IF(D$3="",0,C$13-D$6-D$8+-D$9+D$11)</f>
        <v>234147860.24999997</v>
      </c>
      <c r="E13" s="470">
        <f t="shared" ref="E13:AZ13" ca="1" si="4">IF(E$3="",0,D$13-E$6-E$8+-E$9+E$11)</f>
        <v>230751107.75137496</v>
      </c>
      <c r="F13" s="470">
        <f t="shared" ca="1" si="4"/>
        <v>227018518.1413025</v>
      </c>
      <c r="G13" s="470">
        <f t="shared" ca="1" si="4"/>
        <v>222932581.27997711</v>
      </c>
      <c r="H13" s="470">
        <f t="shared" ca="1" si="4"/>
        <v>218474965.27125454</v>
      </c>
      <c r="I13" s="470">
        <f t="shared" ca="1" si="4"/>
        <v>213626478.84548348</v>
      </c>
      <c r="J13" s="470">
        <f t="shared" ca="1" si="4"/>
        <v>208367032.03004199</v>
      </c>
      <c r="K13" s="470">
        <f t="shared" ca="1" si="4"/>
        <v>202675595.02970871</v>
      </c>
      <c r="L13" s="470">
        <f t="shared" ca="1" si="4"/>
        <v>196530155.23545706</v>
      </c>
      <c r="M13" s="470">
        <f t="shared" ca="1" si="4"/>
        <v>189907672.27655819</v>
      </c>
      <c r="N13" s="470">
        <f t="shared" ca="1" si="4"/>
        <v>182784031.02700746</v>
      </c>
      <c r="O13" s="470">
        <f t="shared" ca="1" si="4"/>
        <v>175133992.4732416</v>
      </c>
      <c r="P13" s="470">
        <f t="shared" ca="1" si="4"/>
        <v>166931142.34588328</v>
      </c>
      <c r="Q13" s="470">
        <f t="shared" ca="1" si="4"/>
        <v>158147837.41382489</v>
      </c>
      <c r="R13" s="470">
        <f t="shared" ca="1" si="4"/>
        <v>148755149.33433959</v>
      </c>
      <c r="S13" s="470">
        <f t="shared" ca="1" si="4"/>
        <v>138722805.94807127</v>
      </c>
      <c r="T13" s="470">
        <f t="shared" ca="1" si="4"/>
        <v>128019129.90270057</v>
      </c>
      <c r="U13" s="470">
        <f t="shared" ca="1" si="4"/>
        <v>116610974.48379809</v>
      </c>
      <c r="V13" s="470">
        <f t="shared" ca="1" si="4"/>
        <v>104463656.52585071</v>
      </c>
      <c r="W13" s="470">
        <f t="shared" ca="1" si="4"/>
        <v>91540886.270669654</v>
      </c>
      <c r="X13" s="470">
        <f t="shared" si="4"/>
        <v>0</v>
      </c>
      <c r="Y13" s="470">
        <f t="shared" si="4"/>
        <v>0</v>
      </c>
      <c r="Z13" s="470">
        <f t="shared" si="4"/>
        <v>0</v>
      </c>
      <c r="AA13" s="470">
        <f t="shared" si="4"/>
        <v>0</v>
      </c>
      <c r="AB13" s="470">
        <f t="shared" si="4"/>
        <v>0</v>
      </c>
      <c r="AC13" s="470">
        <f t="shared" si="4"/>
        <v>0</v>
      </c>
      <c r="AD13" s="470">
        <f t="shared" si="4"/>
        <v>0</v>
      </c>
      <c r="AE13" s="470">
        <f t="shared" si="4"/>
        <v>0</v>
      </c>
      <c r="AF13" s="470">
        <f t="shared" si="4"/>
        <v>0</v>
      </c>
      <c r="AG13" s="470">
        <f t="shared" si="4"/>
        <v>0</v>
      </c>
      <c r="AH13" s="470">
        <f t="shared" si="4"/>
        <v>0</v>
      </c>
      <c r="AI13" s="470">
        <f t="shared" si="4"/>
        <v>0</v>
      </c>
      <c r="AJ13" s="470">
        <f t="shared" si="4"/>
        <v>0</v>
      </c>
      <c r="AK13" s="470">
        <f t="shared" si="4"/>
        <v>0</v>
      </c>
      <c r="AL13" s="470">
        <f t="shared" si="4"/>
        <v>0</v>
      </c>
      <c r="AM13" s="470">
        <f t="shared" si="4"/>
        <v>0</v>
      </c>
      <c r="AN13" s="470">
        <f t="shared" si="4"/>
        <v>0</v>
      </c>
      <c r="AO13" s="470">
        <f t="shared" si="4"/>
        <v>0</v>
      </c>
      <c r="AP13" s="470">
        <f t="shared" si="4"/>
        <v>0</v>
      </c>
      <c r="AQ13" s="470">
        <f t="shared" si="4"/>
        <v>0</v>
      </c>
      <c r="AR13" s="470">
        <f t="shared" si="4"/>
        <v>0</v>
      </c>
      <c r="AS13" s="470">
        <f t="shared" si="4"/>
        <v>0</v>
      </c>
      <c r="AT13" s="470">
        <f t="shared" si="4"/>
        <v>0</v>
      </c>
      <c r="AU13" s="470">
        <f t="shared" si="4"/>
        <v>0</v>
      </c>
      <c r="AV13" s="470">
        <f t="shared" si="4"/>
        <v>0</v>
      </c>
      <c r="AW13" s="470">
        <f t="shared" si="4"/>
        <v>0</v>
      </c>
      <c r="AX13" s="470">
        <f t="shared" si="4"/>
        <v>0</v>
      </c>
      <c r="AY13" s="470">
        <f t="shared" si="4"/>
        <v>0</v>
      </c>
      <c r="AZ13" s="470">
        <f t="shared" si="4"/>
        <v>0</v>
      </c>
      <c r="BA13" s="506"/>
    </row>
    <row r="14" spans="1:53">
      <c r="C14" s="183"/>
      <c r="BA14" s="506"/>
    </row>
  </sheetData>
  <pageMargins left="0.23622047244094491" right="0.23622047244094491" top="1.1811023622047245" bottom="0.74803149606299213" header="0.31496062992125984" footer="0.31496062992125984"/>
  <pageSetup paperSize="9" scale="95" orientation="landscape" r:id="rId1"/>
  <headerFooter differentFirst="1">
    <firstHeader>&amp;L&amp;"Arial,Regular"&amp;8&amp;G
Objekt/projektnr.
XX/XX&amp;C&amp;"Arial,Regular"&amp;8Utfärdare:
Förnamn efternamn
Dokumentnr och namn
&amp;F
&amp;R&amp;"Arial,Regular"&amp;8&amp;D
Sida &amp;P (&amp;N)</firstHeader>
  </headerFooter>
  <colBreaks count="1" manualBreakCount="1">
    <brk id="12" max="31" man="1"/>
  </colBreaks>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sheetPr>
  <dimension ref="A38:XFD57"/>
  <sheetViews>
    <sheetView topLeftCell="A4" zoomScale="85" zoomScaleNormal="85" workbookViewId="0">
      <selection activeCell="K16" sqref="K16"/>
    </sheetView>
  </sheetViews>
  <sheetFormatPr defaultColWidth="9" defaultRowHeight="14.25"/>
  <cols>
    <col min="1" max="1" width="12.75" style="3" customWidth="1"/>
    <col min="2" max="2" width="29" style="3" customWidth="1"/>
    <col min="3" max="52" width="12.75" style="3" customWidth="1"/>
    <col min="53" max="16384" width="9" style="3"/>
  </cols>
  <sheetData>
    <row r="38" spans="2:16384">
      <c r="C38" s="5">
        <f>'3. Finansiering'!D$13</f>
        <v>2026</v>
      </c>
      <c r="D38" s="5">
        <f>'3. Finansiering'!E$13</f>
        <v>2027</v>
      </c>
      <c r="E38" s="5">
        <f>'3. Finansiering'!F$13</f>
        <v>2028</v>
      </c>
      <c r="F38" s="5">
        <f>'3. Finansiering'!G$13</f>
        <v>2029</v>
      </c>
      <c r="G38" s="5">
        <f>'3. Finansiering'!H$13</f>
        <v>2030</v>
      </c>
      <c r="H38" s="5">
        <f>'3. Finansiering'!I$13</f>
        <v>2031</v>
      </c>
      <c r="I38" s="5">
        <f>'3. Finansiering'!J$13</f>
        <v>2032</v>
      </c>
      <c r="J38" s="5">
        <f>'3. Finansiering'!K$13</f>
        <v>2033</v>
      </c>
      <c r="K38" s="5">
        <f>'3. Finansiering'!L$13</f>
        <v>2034</v>
      </c>
      <c r="L38" s="5">
        <f>'3. Finansiering'!M$13</f>
        <v>2035</v>
      </c>
      <c r="M38" s="5">
        <f>'3. Finansiering'!N$13</f>
        <v>2036</v>
      </c>
      <c r="N38" s="5">
        <f>'3. Finansiering'!O$13</f>
        <v>2037</v>
      </c>
      <c r="O38" s="5">
        <f>'3. Finansiering'!P$13</f>
        <v>2038</v>
      </c>
      <c r="P38" s="5">
        <f>'3. Finansiering'!Q$13</f>
        <v>2039</v>
      </c>
      <c r="Q38" s="5">
        <f>'3. Finansiering'!R$13</f>
        <v>2040</v>
      </c>
      <c r="R38" s="5">
        <f>'3. Finansiering'!S$13</f>
        <v>2041</v>
      </c>
      <c r="S38" s="5">
        <f>'3. Finansiering'!T$13</f>
        <v>2042</v>
      </c>
      <c r="T38" s="5">
        <f>'3. Finansiering'!U$13</f>
        <v>2043</v>
      </c>
      <c r="U38" s="5">
        <f>'3. Finansiering'!V$13</f>
        <v>2044</v>
      </c>
      <c r="V38" s="5">
        <f>'3. Finansiering'!W$13</f>
        <v>2045</v>
      </c>
      <c r="W38" s="5">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2:16384" s="4" customFormat="1">
      <c r="B39" s="4" t="s">
        <v>192</v>
      </c>
      <c r="C39" s="4">
        <f>'3. Finansiering'!D$14</f>
        <v>1</v>
      </c>
      <c r="D39" s="4">
        <f>'3. Finansiering'!E$14</f>
        <v>2</v>
      </c>
      <c r="E39" s="4">
        <f>'3. Finansiering'!F$14</f>
        <v>3</v>
      </c>
      <c r="F39" s="4">
        <f>'3. Finansiering'!G$14</f>
        <v>4</v>
      </c>
      <c r="G39" s="4">
        <f>'3. Finansiering'!H$14</f>
        <v>5</v>
      </c>
      <c r="H39" s="4">
        <f>'3. Finansiering'!I$14</f>
        <v>6</v>
      </c>
      <c r="I39" s="4">
        <f>'3. Finansiering'!J$14</f>
        <v>7</v>
      </c>
      <c r="J39" s="4">
        <f>'3. Finansiering'!K$14</f>
        <v>8</v>
      </c>
      <c r="K39" s="4">
        <f>'3. Finansiering'!L$14</f>
        <v>9</v>
      </c>
      <c r="L39" s="4">
        <f>'3. Finansiering'!M$14</f>
        <v>10</v>
      </c>
      <c r="M39" s="4">
        <f>'3. Finansiering'!N$14</f>
        <v>11</v>
      </c>
      <c r="N39" s="4">
        <f>'3. Finansiering'!O$14</f>
        <v>12</v>
      </c>
      <c r="O39" s="4">
        <f>'3. Finansiering'!P$14</f>
        <v>13</v>
      </c>
      <c r="P39" s="4">
        <f>'3. Finansiering'!Q$14</f>
        <v>14</v>
      </c>
      <c r="Q39" s="4">
        <f>'3. Finansiering'!R$14</f>
        <v>15</v>
      </c>
      <c r="R39" s="4">
        <f>'3. Finansiering'!S$14</f>
        <v>16</v>
      </c>
      <c r="S39" s="4">
        <f>'3. Finansiering'!T$14</f>
        <v>17</v>
      </c>
      <c r="T39" s="4">
        <f>'3. Finansiering'!U$14</f>
        <v>18</v>
      </c>
      <c r="U39" s="4">
        <f>'3. Finansiering'!V$14</f>
        <v>19</v>
      </c>
      <c r="V39" s="4">
        <f>'3. Finansiering'!W$14</f>
        <v>20</v>
      </c>
      <c r="W39" s="4">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2:16384" s="5" customFormat="1">
      <c r="B40" s="5" t="s">
        <v>386</v>
      </c>
      <c r="C40" s="6">
        <f ca="1">IFERROR(('4. NPV'!D$71-'4. NPV'!D$25),0)</f>
        <v>13694500</v>
      </c>
      <c r="D40" s="6">
        <f ca="1">IFERROR(('4. NPV'!E$71-'4. NPV'!E$25),0)</f>
        <v>13871400</v>
      </c>
      <c r="E40" s="6">
        <f ca="1">IFERROR(('4. NPV'!F$71-'4. NPV'!F$25),0)</f>
        <v>14050480.140000001</v>
      </c>
      <c r="F40" s="6">
        <f ca="1">IFERROR(('4. NPV'!G$71-'4. NPV'!G$25),0)</f>
        <v>14231765.012760002</v>
      </c>
      <c r="G40" s="6">
        <f ca="1">IFERROR(('4. NPV'!H$71-'4. NPV'!H$25),0)</f>
        <v>14415279.436754644</v>
      </c>
      <c r="H40" s="6">
        <f ca="1">IFERROR(('4. NPV'!I$71-'4. NPV'!I$25),0)</f>
        <v>14601048.456961529</v>
      </c>
      <c r="I40" s="6">
        <f ca="1">IFERROR(('4. NPV'!J$71-'4. NPV'!J$25),0)</f>
        <v>14789097.345613157</v>
      </c>
      <c r="J40" s="6">
        <f ca="1">IFERROR(('4. NPV'!K$71-'4. NPV'!K$25),0)</f>
        <v>14979451.602910995</v>
      </c>
      <c r="K40" s="6">
        <f ca="1">IFERROR(('4. NPV'!L$71-'4. NPV'!L$25),0)</f>
        <v>15172136.957700187</v>
      </c>
      <c r="L40" s="6">
        <f ca="1">IFERROR(('4. NPV'!M$71-'4. NPV'!M$25),0)</f>
        <v>15367179.368103392</v>
      </c>
      <c r="M40" s="6">
        <f ca="1">IFERROR(('4. NPV'!N$71-'4. NPV'!N$25),0)</f>
        <v>15564605.022112153</v>
      </c>
      <c r="N40" s="6">
        <f ca="1">IFERROR(('4. NPV'!O$71-'4. NPV'!O$25),0)</f>
        <v>15764440.33813414</v>
      </c>
      <c r="O40" s="6">
        <f ca="1">IFERROR(('4. NPV'!P$71-'4. NPV'!P$25),0)</f>
        <v>15966711.965494689</v>
      </c>
      <c r="P40" s="6">
        <f ca="1">IFERROR(('4. NPV'!Q$71-'4. NPV'!Q$25),0)</f>
        <v>16171446.784890812</v>
      </c>
      <c r="Q40" s="6">
        <f ca="1">IFERROR(('4. NPV'!R$71-'4. NPV'!R$25),0)</f>
        <v>16378671.908796068</v>
      </c>
      <c r="R40" s="6">
        <f ca="1">IFERROR(('4. NPV'!S$71-'4. NPV'!S$25),0)</f>
        <v>16588414.681814335</v>
      </c>
      <c r="S40" s="6">
        <f ca="1">IFERROR(('4. NPV'!T$71-'4. NPV'!T$25),0)</f>
        <v>16800702.680980761</v>
      </c>
      <c r="T40" s="6">
        <f ca="1">IFERROR(('4. NPV'!U$71-'4. NPV'!U$25),0)</f>
        <v>17015563.716007937</v>
      </c>
      <c r="U40" s="6">
        <f ca="1">IFERROR(('4. NPV'!V$71-'4. NPV'!V$25),0)</f>
        <v>17233025.829475358</v>
      </c>
      <c r="V40" s="6">
        <f ca="1">IFERROR(('4. NPV'!W$71-'4. NPV'!W$25),0)</f>
        <v>17453117.29696019</v>
      </c>
      <c r="W40" s="6">
        <f ca="1">IFERROR(('4. NPV'!X$71-'4. NPV'!X$25),0)</f>
        <v>17675866.627107255</v>
      </c>
      <c r="X40" s="6">
        <f>IFERROR(('4. NPV'!Y$71-'4. NPV'!Y$25),0)</f>
        <v>0</v>
      </c>
      <c r="Y40" s="6">
        <f>IFERROR(('4. NPV'!Z$71-'4. NPV'!Z$25),0)</f>
        <v>0</v>
      </c>
      <c r="Z40" s="6">
        <f>IFERROR(('4. NPV'!AA$71-'4. NPV'!AA$25),0)</f>
        <v>0</v>
      </c>
      <c r="AA40" s="6">
        <f>IFERROR(('4. NPV'!AB$71-'4. NPV'!AB$25),0)</f>
        <v>0</v>
      </c>
      <c r="AB40" s="6">
        <f>IFERROR(('4. NPV'!AC$71-'4. NPV'!AC$25),0)</f>
        <v>0</v>
      </c>
      <c r="AC40" s="6">
        <f>IFERROR(('4. NPV'!AD$71-'4. NPV'!AD$25),0)</f>
        <v>0</v>
      </c>
      <c r="AD40" s="6">
        <f>IFERROR(('4. NPV'!AE$71-'4. NPV'!AE$25),0)</f>
        <v>0</v>
      </c>
      <c r="AE40" s="6">
        <f>IFERROR(('4. NPV'!AF$71-'4. NPV'!AF$25),0)</f>
        <v>0</v>
      </c>
      <c r="AF40" s="6">
        <f>IFERROR(('4. NPV'!AG$71-'4. NPV'!AG$25),0)</f>
        <v>0</v>
      </c>
      <c r="AG40" s="6">
        <f>IFERROR(('4. NPV'!AH$71-'4. NPV'!AH$25),0)</f>
        <v>0</v>
      </c>
      <c r="AH40" s="6">
        <f>IFERROR(('4. NPV'!AI$71-'4. NPV'!AI$25),0)</f>
        <v>0</v>
      </c>
      <c r="AI40" s="6">
        <f>IFERROR(('4. NPV'!AJ$71-'4. NPV'!AJ$25),0)</f>
        <v>0</v>
      </c>
      <c r="AJ40" s="6">
        <f>IFERROR(('4. NPV'!AK$71-'4. NPV'!AK$25),0)</f>
        <v>0</v>
      </c>
      <c r="AK40" s="6">
        <f>IFERROR(('4. NPV'!AL$71-'4. NPV'!AL$25),0)</f>
        <v>0</v>
      </c>
      <c r="AL40" s="6">
        <f>IFERROR(('4. NPV'!AM$71-'4. NPV'!AM$25),0)</f>
        <v>0</v>
      </c>
      <c r="AM40" s="6">
        <f>IFERROR(('4. NPV'!AN$71-'4. NPV'!AN$25),0)</f>
        <v>0</v>
      </c>
      <c r="AN40" s="6">
        <f>IFERROR(('4. NPV'!AO$71-'4. NPV'!AO$25),0)</f>
        <v>0</v>
      </c>
      <c r="AO40" s="6">
        <f>IFERROR(('4. NPV'!AP$71-'4. NPV'!AP$25),0)</f>
        <v>0</v>
      </c>
      <c r="AP40" s="6">
        <f>IFERROR(('4. NPV'!AQ$71-'4. NPV'!AQ$25),0)</f>
        <v>0</v>
      </c>
      <c r="AQ40" s="6">
        <f>IFERROR(('4. NPV'!AR$71-'4. NPV'!AR$25),0)</f>
        <v>0</v>
      </c>
      <c r="AR40" s="6">
        <f>IFERROR(('4. NPV'!AS$71-'4. NPV'!AS$25),0)</f>
        <v>0</v>
      </c>
      <c r="AS40" s="6">
        <f>IFERROR(('4. NPV'!AT$71-'4. NPV'!AT$25),0)</f>
        <v>0</v>
      </c>
      <c r="AT40" s="6">
        <f>IFERROR(('4. NPV'!AU$71-'4. NPV'!AU$25),0)</f>
        <v>0</v>
      </c>
      <c r="AU40" s="6">
        <f>IFERROR(('4. NPV'!AV$71-'4. NPV'!AV$25),0)</f>
        <v>0</v>
      </c>
      <c r="AV40" s="6">
        <f>IFERROR(('4. NPV'!AW$71-'4. NPV'!AW$25),0)</f>
        <v>0</v>
      </c>
      <c r="AW40" s="6">
        <f>IFERROR(('4. NPV'!AX$71-'4. NPV'!AX$25),0)</f>
        <v>0</v>
      </c>
      <c r="AX40" s="6">
        <f>IFERROR(('4. NPV'!AY$71-'4. NPV'!AY$25),0)</f>
        <v>0</v>
      </c>
      <c r="AY40" s="6">
        <f>IFERROR(('4. NPV'!AZ$71-'4. NPV'!AZ$25),0)</f>
        <v>0</v>
      </c>
      <c r="AZ40" s="6">
        <f>IFERROR(('4. NPV'!BA$71-'4. NPV'!BA$25),0)</f>
        <v>0</v>
      </c>
    </row>
    <row r="41" spans="2:16384" s="5" customFormat="1">
      <c r="B41" s="5" t="s">
        <v>299</v>
      </c>
      <c r="C41" s="6">
        <f>IFERROR('4. NPV'!D$19,0)</f>
        <v>16165000</v>
      </c>
      <c r="D41" s="6">
        <f>IFERROR('4. NPV'!E$19,0)</f>
        <v>16391310</v>
      </c>
      <c r="E41" s="6">
        <f>IFERROR('4. NPV'!F$19,0)</f>
        <v>16620788.340000002</v>
      </c>
      <c r="F41" s="6">
        <f>IFERROR('4. NPV'!G$19,0)</f>
        <v>16853479.376760002</v>
      </c>
      <c r="G41" s="6">
        <f>IFERROR('4. NPV'!H$19,0)</f>
        <v>17089428.088034645</v>
      </c>
      <c r="H41" s="6">
        <f>IFERROR('4. NPV'!I$19,0)</f>
        <v>17328680.08126713</v>
      </c>
      <c r="I41" s="6">
        <f>IFERROR('4. NPV'!J$19,0)</f>
        <v>17571281.60240487</v>
      </c>
      <c r="J41" s="6">
        <f>IFERROR('4. NPV'!K$19,0)</f>
        <v>17817279.54483854</v>
      </c>
      <c r="K41" s="6">
        <f>IFERROR('4. NPV'!L$19,0)</f>
        <v>18066721.458466284</v>
      </c>
      <c r="L41" s="6">
        <f>IFERROR('4. NPV'!M$19,0)</f>
        <v>18319655.558884811</v>
      </c>
      <c r="M41" s="6">
        <f>IFERROR('4. NPV'!N$19,0)</f>
        <v>18576130.7367092</v>
      </c>
      <c r="N41" s="6">
        <f>IFERROR('4. NPV'!O$19,0)</f>
        <v>18836196.567023128</v>
      </c>
      <c r="O41" s="6">
        <f>IFERROR('4. NPV'!P$19,0)</f>
        <v>19099903.318961456</v>
      </c>
      <c r="P41" s="6">
        <f>IFERROR('4. NPV'!Q$19,0)</f>
        <v>19367301.965426914</v>
      </c>
      <c r="Q41" s="6">
        <f>IFERROR('4. NPV'!R$19,0)</f>
        <v>19638444.192942895</v>
      </c>
      <c r="R41" s="6">
        <f>IFERROR('4. NPV'!S$19,0)</f>
        <v>19913382.411644097</v>
      </c>
      <c r="S41" s="6">
        <f>IFERROR('4. NPV'!T$19,0)</f>
        <v>20192169.765407119</v>
      </c>
      <c r="T41" s="6">
        <f>IFERROR('4. NPV'!U$19,0)</f>
        <v>20474860.14212282</v>
      </c>
      <c r="U41" s="6">
        <f>IFERROR('4. NPV'!V$19,0)</f>
        <v>20761508.184112541</v>
      </c>
      <c r="V41" s="6">
        <f>IFERROR('4. NPV'!W$19,0)</f>
        <v>21052169.298690114</v>
      </c>
      <c r="W41" s="6">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2:16384" s="5" customFormat="1">
      <c r="B42" s="5" t="s">
        <v>300</v>
      </c>
      <c r="C42" s="6">
        <f ca="1">-IFERROR(('4. NPV'!D$26+'4. NPV'!D$27+'4. NPV'!D$28-'4. NPV'!D$25),0)</f>
        <v>2470500</v>
      </c>
      <c r="D42" s="6">
        <f ca="1">-IFERROR(('4. NPV'!E$26+'4. NPV'!E$27+'4. NPV'!E$28-'4. NPV'!E$25),0)</f>
        <v>2519910</v>
      </c>
      <c r="E42" s="6">
        <f ca="1">-IFERROR(('4. NPV'!F$26+'4. NPV'!F$27+'4. NPV'!F$28-'4. NPV'!F$25),0)</f>
        <v>2570308.2000000002</v>
      </c>
      <c r="F42" s="6">
        <f ca="1">-IFERROR(('4. NPV'!G$26+'4. NPV'!G$27+'4. NPV'!G$28-'4. NPV'!G$25),0)</f>
        <v>2621714.3639999996</v>
      </c>
      <c r="G42" s="6">
        <f ca="1">-IFERROR(('4. NPV'!H$26+'4. NPV'!H$27+'4. NPV'!H$28-'4. NPV'!H$25),0)</f>
        <v>2674148.6512799999</v>
      </c>
      <c r="H42" s="6">
        <f ca="1">-IFERROR(('4. NPV'!I$26+'4. NPV'!I$27+'4. NPV'!I$28-'4. NPV'!I$25),0)</f>
        <v>2727631.6243055998</v>
      </c>
      <c r="I42" s="6">
        <f ca="1">-IFERROR(('4. NPV'!J$26+'4. NPV'!J$27+'4. NPV'!J$28-'4. NPV'!J$25),0)</f>
        <v>2782184.2567917123</v>
      </c>
      <c r="J42" s="6">
        <f ca="1">-IFERROR(('4. NPV'!K$26+'4. NPV'!K$27+'4. NPV'!K$28-'4. NPV'!K$25),0)</f>
        <v>2837827.9419275457</v>
      </c>
      <c r="K42" s="6">
        <f ca="1">-IFERROR(('4. NPV'!L$26+'4. NPV'!L$27+'4. NPV'!L$28-'4. NPV'!L$25),0)</f>
        <v>2894584.5007660971</v>
      </c>
      <c r="L42" s="6">
        <f ca="1">-IFERROR(('4. NPV'!M$26+'4. NPV'!M$27+'4. NPV'!M$28-'4. NPV'!M$25),0)</f>
        <v>2952476.1907814187</v>
      </c>
      <c r="M42" s="6">
        <f ca="1">-IFERROR(('4. NPV'!N$26+'4. NPV'!N$27+'4. NPV'!N$28-'4. NPV'!N$25),0)</f>
        <v>3011525.7145970473</v>
      </c>
      <c r="N42" s="6">
        <f ca="1">-IFERROR(('4. NPV'!O$26+'4. NPV'!O$27+'4. NPV'!O$28-'4. NPV'!O$25),0)</f>
        <v>3071756.228888988</v>
      </c>
      <c r="O42" s="6">
        <f ca="1">-IFERROR(('4. NPV'!P$26+'4. NPV'!P$27+'4. NPV'!P$28-'4. NPV'!P$25),0)</f>
        <v>3133191.3534667683</v>
      </c>
      <c r="P42" s="6">
        <f ca="1">-IFERROR(('4. NPV'!Q$26+'4. NPV'!Q$27+'4. NPV'!Q$28-'4. NPV'!Q$25),0)</f>
        <v>3195855.1805361034</v>
      </c>
      <c r="Q42" s="6">
        <f ca="1">-IFERROR(('4. NPV'!R$26+'4. NPV'!R$27+'4. NPV'!R$28-'4. NPV'!R$25),0)</f>
        <v>3259772.2841468258</v>
      </c>
      <c r="R42" s="6">
        <f ca="1">-IFERROR(('4. NPV'!S$26+'4. NPV'!S$27+'4. NPV'!S$28-'4. NPV'!S$25),0)</f>
        <v>3324967.7298297612</v>
      </c>
      <c r="S42" s="6">
        <f ca="1">-IFERROR(('4. NPV'!T$26+'4. NPV'!T$27+'4. NPV'!T$28-'4. NPV'!T$25),0)</f>
        <v>3391467.0844263569</v>
      </c>
      <c r="T42" s="6">
        <f ca="1">-IFERROR(('4. NPV'!U$26+'4. NPV'!U$27+'4. NPV'!U$28-'4. NPV'!U$25),0)</f>
        <v>3459296.4261148847</v>
      </c>
      <c r="U42" s="6">
        <f ca="1">-IFERROR(('4. NPV'!V$26+'4. NPV'!V$27+'4. NPV'!V$28-'4. NPV'!V$25),0)</f>
        <v>3528482.3546371819</v>
      </c>
      <c r="V42" s="6">
        <f ca="1">-IFERROR(('4. NPV'!W$26+'4. NPV'!W$27+'4. NPV'!W$28-'4. NPV'!W$25),0)</f>
        <v>3599052.0017299252</v>
      </c>
      <c r="W42" s="6">
        <f ca="1">-IFERROR(('4.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2:16384" s="5" customFormat="1">
      <c r="B43" s="5" t="s">
        <v>301</v>
      </c>
      <c r="C43" s="6">
        <f>-'4. NPV'!D$25</f>
        <v>0</v>
      </c>
      <c r="D43" s="6">
        <f>-'4. NPV'!E$25</f>
        <v>0</v>
      </c>
      <c r="E43" s="6">
        <f>-'4. NPV'!F$25</f>
        <v>0</v>
      </c>
      <c r="F43" s="6">
        <f>-'4. NPV'!G$25</f>
        <v>0</v>
      </c>
      <c r="G43" s="6">
        <f>-'4. NPV'!H$25</f>
        <v>0</v>
      </c>
      <c r="H43" s="6">
        <f>-'4. NPV'!I$25</f>
        <v>0</v>
      </c>
      <c r="I43" s="6">
        <f>-'4. NPV'!J$25</f>
        <v>0</v>
      </c>
      <c r="J43" s="6">
        <f>-'4. NPV'!K$25</f>
        <v>0</v>
      </c>
      <c r="K43" s="6">
        <f>-'4. NPV'!L$25</f>
        <v>0</v>
      </c>
      <c r="L43" s="6">
        <f>-'4. NPV'!M$25</f>
        <v>0</v>
      </c>
      <c r="M43" s="6">
        <f>-'4. NPV'!N$25</f>
        <v>0</v>
      </c>
      <c r="N43" s="6">
        <f>-'4. NPV'!O$25</f>
        <v>0</v>
      </c>
      <c r="O43" s="6">
        <f>-'4. NPV'!P$25</f>
        <v>0</v>
      </c>
      <c r="P43" s="6">
        <f>-'4. NPV'!Q$25</f>
        <v>0</v>
      </c>
      <c r="Q43" s="6">
        <f>-'4. NPV'!R$25</f>
        <v>0</v>
      </c>
      <c r="R43" s="6">
        <f>-'4. NPV'!S$25</f>
        <v>0</v>
      </c>
      <c r="S43" s="6">
        <f>-'4. NPV'!T$25</f>
        <v>0</v>
      </c>
      <c r="T43" s="6">
        <f>-'4. NPV'!U$25</f>
        <v>0</v>
      </c>
      <c r="U43" s="6">
        <f>-'4. NPV'!V$25</f>
        <v>0</v>
      </c>
      <c r="V43" s="6">
        <f>-'4. NPV'!W$25</f>
        <v>0</v>
      </c>
      <c r="W43" s="6">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2:16384" s="5" customFormat="1">
      <c r="B44" s="7" t="s">
        <v>302</v>
      </c>
      <c r="C44" s="8">
        <f ca="1">IF(C40=0,C48,(C40/'2. Kalkyldata'!$M$11))</f>
        <v>210684615.38461539</v>
      </c>
      <c r="D44" s="8">
        <f ca="1">IF(D40=0,D48,(D40/'2. Kalkyldata'!$M$11))</f>
        <v>213406153.84615383</v>
      </c>
      <c r="E44" s="8">
        <f ca="1">IF(E40=0,E48,(E40/'2. Kalkyldata'!$M$11))</f>
        <v>216161232.92307693</v>
      </c>
      <c r="F44" s="8">
        <f ca="1">IF(F40=0,F48,(F40/'2. Kalkyldata'!$M$11))</f>
        <v>218950230.9655385</v>
      </c>
      <c r="G44" s="8">
        <f ca="1">IF(G40=0,G48,(G40/'2. Kalkyldata'!$M$11))</f>
        <v>221773529.79622528</v>
      </c>
      <c r="H44" s="8">
        <f ca="1">IF(H40=0,H48,(H40/'2. Kalkyldata'!$M$11))</f>
        <v>224631514.72248507</v>
      </c>
      <c r="I44" s="8">
        <f ca="1">IF(I40=0,I48,(I40/'2. Kalkyldata'!$M$11))</f>
        <v>227524574.54789472</v>
      </c>
      <c r="J44" s="8">
        <f ca="1">IF(J40=0,J48,(J40/'2. Kalkyldata'!$M$11))</f>
        <v>230453101.58324608</v>
      </c>
      <c r="K44" s="8">
        <f ca="1">IF(K40=0,K48,(K40/'2. Kalkyldata'!$M$11))</f>
        <v>233417491.65692595</v>
      </c>
      <c r="L44" s="8">
        <f ca="1">IF(L40=0,L48,(L40/'2. Kalkyldata'!$M$11))</f>
        <v>236418144.12466756</v>
      </c>
      <c r="M44" s="8">
        <f ca="1">IF(M40=0,M48,(M40/'2. Kalkyldata'!$M$11))</f>
        <v>239455461.87864852</v>
      </c>
      <c r="N44" s="8">
        <f ca="1">IF(N40=0,N48,(N40/'2. Kalkyldata'!$M$11))</f>
        <v>242529851.35590982</v>
      </c>
      <c r="O44" s="8">
        <f ca="1">IF(O40=0,O48,(O40/'2. Kalkyldata'!$M$11))</f>
        <v>245641722.54607213</v>
      </c>
      <c r="P44" s="8">
        <f ca="1">IF(P40=0,P48,(P40/'2. Kalkyldata'!$M$11))</f>
        <v>248791488.99832016</v>
      </c>
      <c r="Q44" s="8">
        <f ca="1">IF(Q40=0,Q48,(Q40/'2. Kalkyldata'!$M$11))</f>
        <v>251979567.8276318</v>
      </c>
      <c r="R44" s="8">
        <f ca="1">IF(R40=0,R48,(R40/'2. Kalkyldata'!$M$11))</f>
        <v>255206379.72022054</v>
      </c>
      <c r="S44" s="8">
        <f ca="1">IF(S40=0,S48,(S40/'2. Kalkyldata'!$M$11))</f>
        <v>258472348.93816555</v>
      </c>
      <c r="T44" s="8">
        <f ca="1">IF(T40=0,T48,(T40/'2. Kalkyldata'!$M$11))</f>
        <v>261777903.323199</v>
      </c>
      <c r="U44" s="8">
        <f ca="1">IF(U40=0,U48,(U40/'2. Kalkyldata'!$M$11))</f>
        <v>265123474.2996209</v>
      </c>
      <c r="V44" s="8">
        <f ca="1">IF(V40=0,V48,(V40/'2. Kalkyldata'!$M$11))</f>
        <v>268509496.87631059</v>
      </c>
      <c r="W44" s="8">
        <f ca="1">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2:16384" s="5" customFormat="1">
      <c r="B45" s="5" t="s">
        <v>166</v>
      </c>
      <c r="C45" s="6">
        <f>-'5. IRR'!D16</f>
        <v>239999999.99999997</v>
      </c>
      <c r="D45" s="6">
        <f>-'5. IRR'!E16</f>
        <v>0</v>
      </c>
      <c r="E45" s="6">
        <f>-'5. IRR'!F16</f>
        <v>0</v>
      </c>
      <c r="F45" s="6">
        <f>-'5. IRR'!G16</f>
        <v>0</v>
      </c>
      <c r="G45" s="6">
        <f>-'5. IRR'!H16</f>
        <v>0</v>
      </c>
      <c r="H45" s="6">
        <f>-'5. IRR'!I16</f>
        <v>0</v>
      </c>
      <c r="I45" s="6">
        <f>-'5. IRR'!J16</f>
        <v>0</v>
      </c>
      <c r="J45" s="6">
        <f>-'5. IRR'!K16</f>
        <v>0</v>
      </c>
      <c r="K45" s="6">
        <f>-'5. IRR'!L16</f>
        <v>0</v>
      </c>
      <c r="L45" s="6">
        <f>-'5. IRR'!M16</f>
        <v>0</v>
      </c>
      <c r="M45" s="6">
        <f>-'5. IRR'!N16</f>
        <v>0</v>
      </c>
      <c r="N45" s="6">
        <f>-'5. IRR'!O16</f>
        <v>0</v>
      </c>
      <c r="O45" s="6">
        <f>-'5. IRR'!P16</f>
        <v>0</v>
      </c>
      <c r="P45" s="6">
        <f>-'5. IRR'!Q16</f>
        <v>0</v>
      </c>
      <c r="Q45" s="6">
        <f>-'5. IRR'!R16</f>
        <v>0</v>
      </c>
      <c r="R45" s="6">
        <f>-'5. IRR'!S16</f>
        <v>0</v>
      </c>
      <c r="S45" s="6">
        <f>-'5. IRR'!T16</f>
        <v>0</v>
      </c>
      <c r="T45" s="6">
        <f>-'5. IRR'!U16</f>
        <v>0</v>
      </c>
      <c r="U45" s="6">
        <f>-'5. IRR'!V16</f>
        <v>0</v>
      </c>
      <c r="V45" s="6">
        <f>-'5. IRR'!W16</f>
        <v>0</v>
      </c>
      <c r="W45" s="6">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s="5" t="e">
        <f>-'5. IRR'!#REF!</f>
        <v>#REF!</v>
      </c>
    </row>
    <row r="46" spans="2:16384" s="5" customFormat="1">
      <c r="B46" s="5" t="s">
        <v>268</v>
      </c>
      <c r="C46" s="6">
        <f>-'5. IRR'!D$17</f>
        <v>239999999.99999997</v>
      </c>
      <c r="D46" s="6">
        <f>-'5. IRR'!E$17</f>
        <v>239999999.99999997</v>
      </c>
      <c r="E46" s="6">
        <f>-'5. IRR'!F$17</f>
        <v>239999999.99999997</v>
      </c>
      <c r="F46" s="6">
        <f>-'5. IRR'!G$17</f>
        <v>239999999.99999997</v>
      </c>
      <c r="G46" s="6">
        <f>-'5. IRR'!H$17</f>
        <v>239999999.99999997</v>
      </c>
      <c r="H46" s="6">
        <f>-'5. IRR'!I$17</f>
        <v>239999999.99999997</v>
      </c>
      <c r="I46" s="6">
        <f>-'5. IRR'!J$17</f>
        <v>239999999.99999997</v>
      </c>
      <c r="J46" s="6">
        <f>-'5. IRR'!K$17</f>
        <v>239999999.99999997</v>
      </c>
      <c r="K46" s="6">
        <f>-'5. IRR'!L$17</f>
        <v>239999999.99999997</v>
      </c>
      <c r="L46" s="6">
        <f>-'5. IRR'!M$17</f>
        <v>239999999.99999997</v>
      </c>
      <c r="M46" s="6">
        <f>-'5. IRR'!N$17</f>
        <v>239999999.99999997</v>
      </c>
      <c r="N46" s="6">
        <f>-'5. IRR'!O$17</f>
        <v>239999999.99999997</v>
      </c>
      <c r="O46" s="6">
        <f>-'5. IRR'!P$17</f>
        <v>239999999.99999997</v>
      </c>
      <c r="P46" s="6">
        <f>-'5. IRR'!Q$17</f>
        <v>239999999.99999997</v>
      </c>
      <c r="Q46" s="6">
        <f>-'5. IRR'!R$17</f>
        <v>239999999.99999997</v>
      </c>
      <c r="R46" s="6">
        <f>-'5. IRR'!S$17</f>
        <v>239999999.99999997</v>
      </c>
      <c r="S46" s="6">
        <f>-'5. IRR'!T$17</f>
        <v>239999999.99999997</v>
      </c>
      <c r="T46" s="6">
        <f>-'5. IRR'!U$17</f>
        <v>239999999.99999997</v>
      </c>
      <c r="U46" s="6">
        <f>-'5. IRR'!V$17</f>
        <v>239999999.99999997</v>
      </c>
      <c r="V46" s="6">
        <f>-'5. IRR'!W$17</f>
        <v>239999999.99999997</v>
      </c>
      <c r="W46" s="6">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2:16384" s="5" customFormat="1">
      <c r="B47" s="5" t="s">
        <v>303</v>
      </c>
      <c r="C47" s="6">
        <f ca="1">IF('6. Ack.kapitalutlägg'!C3="",0,SUM('4. NPV'!D$29:'4. NPV'!$D$29))</f>
        <v>13694500</v>
      </c>
      <c r="D47" s="6">
        <f ca="1">IF('6. Ack.kapitalutlägg'!D3="",0,SUM('4. NPV'!E$29:'4. NPV'!$D$29))</f>
        <v>27565900</v>
      </c>
      <c r="E47" s="6">
        <f ca="1">IF('6. Ack.kapitalutlägg'!E3="",0,SUM('4. NPV'!F$29:'4. NPV'!$D$29))</f>
        <v>41616380.140000001</v>
      </c>
      <c r="F47" s="6">
        <f ca="1">IF('6. Ack.kapitalutlägg'!F3="",0,SUM('4. NPV'!G$29:'4. NPV'!$D$29))</f>
        <v>55848145.152759999</v>
      </c>
      <c r="G47" s="6">
        <f ca="1">IF('6. Ack.kapitalutlägg'!G3="",0,SUM('4. NPV'!H$29:'4. NPV'!$D$29))</f>
        <v>70263424.589514643</v>
      </c>
      <c r="H47" s="6">
        <f ca="1">IF('6. Ack.kapitalutlägg'!H3="",0,SUM('4. NPV'!I$29:'4. NPV'!$D$29))</f>
        <v>84864473.04647617</v>
      </c>
      <c r="I47" s="6">
        <f ca="1">IF('6. Ack.kapitalutlägg'!I3="",0,SUM('4. NPV'!J$29:'4. NPV'!$D$29))</f>
        <v>99653570.392089322</v>
      </c>
      <c r="J47" s="6">
        <f ca="1">IF('6. Ack.kapitalutlägg'!J3="",0,SUM('4. NPV'!K$29:'4. NPV'!$D$29))</f>
        <v>114633021.99500032</v>
      </c>
      <c r="K47" s="6">
        <f ca="1">IF('6. Ack.kapitalutlägg'!K3="",0,SUM('4. NPV'!L$29:'4. NPV'!$D$29))</f>
        <v>129805158.95270051</v>
      </c>
      <c r="L47" s="6">
        <f ca="1">IF('6. Ack.kapitalutlägg'!L3="",0,SUM('4. NPV'!M$29:'4. NPV'!$D$29))</f>
        <v>145172338.32080391</v>
      </c>
      <c r="M47" s="6">
        <f ca="1">IF('6. Ack.kapitalutlägg'!M3="",0,SUM('4. NPV'!N$29:'4. NPV'!$D$29))</f>
        <v>160736943.34291607</v>
      </c>
      <c r="N47" s="6">
        <f ca="1">IF('6. Ack.kapitalutlägg'!N3="",0,SUM('4. NPV'!O$29:'4. NPV'!$D$29))</f>
        <v>176501383.68105021</v>
      </c>
      <c r="O47" s="6">
        <f ca="1">IF('6. Ack.kapitalutlägg'!O3="",0,SUM('4. NPV'!P$29:'4. NPV'!$D$29))</f>
        <v>192468095.6465449</v>
      </c>
      <c r="P47" s="6">
        <f ca="1">IF('6. Ack.kapitalutlägg'!P3="",0,SUM('4. NPV'!Q$29:'4. NPV'!$D$29))</f>
        <v>208639542.4314357</v>
      </c>
      <c r="Q47" s="6">
        <f ca="1">IF('6. Ack.kapitalutlägg'!Q3="",0,SUM('4. NPV'!R$29:'4. NPV'!$D$29))</f>
        <v>225018214.34023178</v>
      </c>
      <c r="R47" s="6">
        <f ca="1">IF('6. Ack.kapitalutlägg'!R3="",0,SUM('4. NPV'!S$29:'4. NPV'!$D$29))</f>
        <v>241606629.02204612</v>
      </c>
      <c r="S47" s="6">
        <f ca="1">IF('6. Ack.kapitalutlägg'!S3="",0,SUM('4. NPV'!T$29:'4. NPV'!$D$29))</f>
        <v>258407331.70302689</v>
      </c>
      <c r="T47" s="6">
        <f ca="1">IF('6. Ack.kapitalutlägg'!T3="",0,SUM('4. NPV'!U$29:'4. NPV'!$D$29))</f>
        <v>275422895.41903484</v>
      </c>
      <c r="U47" s="6">
        <f ca="1">IF('6. Ack.kapitalutlägg'!U3="",0,SUM('4. NPV'!V$29:'4. NPV'!$D$29))</f>
        <v>292655921.24851018</v>
      </c>
      <c r="V47" s="6">
        <f ca="1">IF('6. Ack.kapitalutlägg'!V3="",0,SUM('4. NPV'!W$29:'4. NPV'!$D$29))</f>
        <v>310109038.54547036</v>
      </c>
      <c r="W47" s="6">
        <f ca="1">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2:16384" s="4" customFormat="1">
      <c r="B48" s="4" t="s">
        <v>83</v>
      </c>
      <c r="C48" s="9">
        <f>'3. Finansiering'!D57</f>
        <v>232727272.72727269</v>
      </c>
      <c r="D48" s="9">
        <f>'3. Finansiering'!E57</f>
        <v>225454545.45454544</v>
      </c>
      <c r="E48" s="9">
        <f>'3. Finansiering'!F57</f>
        <v>218181818.18181816</v>
      </c>
      <c r="F48" s="9">
        <f>'3. Finansiering'!G57</f>
        <v>210909090.90909088</v>
      </c>
      <c r="G48" s="9">
        <f>'3. Finansiering'!H57</f>
        <v>203636363.63636363</v>
      </c>
      <c r="H48" s="9">
        <f>'3. Finansiering'!I57</f>
        <v>196363636.36363634</v>
      </c>
      <c r="I48" s="9">
        <f>'3. Finansiering'!J57</f>
        <v>189090909.09090906</v>
      </c>
      <c r="J48" s="9">
        <f>'3. Finansiering'!K57</f>
        <v>181818181.81818178</v>
      </c>
      <c r="K48" s="9">
        <f>'3. Finansiering'!L57</f>
        <v>174545454.5454545</v>
      </c>
      <c r="L48" s="9">
        <f>'3. Finansiering'!M57</f>
        <v>167272727.27272725</v>
      </c>
      <c r="M48" s="9">
        <f>'3. Finansiering'!N57</f>
        <v>160000000</v>
      </c>
      <c r="N48" s="9">
        <f>'3. Finansiering'!O57</f>
        <v>152727272.72727272</v>
      </c>
      <c r="O48" s="9">
        <f>'3. Finansiering'!P57</f>
        <v>145454545.45454544</v>
      </c>
      <c r="P48" s="9">
        <f>'3. Finansiering'!Q57</f>
        <v>138181818.18181819</v>
      </c>
      <c r="Q48" s="9">
        <f>'3. Finansiering'!R57</f>
        <v>130909090.90909092</v>
      </c>
      <c r="R48" s="9">
        <f>'3. Finansiering'!S57</f>
        <v>123636363.63636366</v>
      </c>
      <c r="S48" s="9">
        <f>'3. Finansiering'!T57</f>
        <v>116363636.36363639</v>
      </c>
      <c r="T48" s="9">
        <f>'3. Finansiering'!U57</f>
        <v>109090909.09090912</v>
      </c>
      <c r="U48" s="9">
        <f>'3. Finansiering'!V57</f>
        <v>101818181.81818184</v>
      </c>
      <c r="V48" s="9">
        <f>'3. Finansiering'!W57</f>
        <v>94545454.545454562</v>
      </c>
      <c r="W48" s="9">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row r="50" spans="1:16384" s="7" customFormat="1">
      <c r="A50" s="7" t="s">
        <v>27</v>
      </c>
      <c r="B50" s="7" t="s">
        <v>238</v>
      </c>
      <c r="C50" s="8">
        <f ca="1">IFERROR(C40/'4. NPV'!D$8,0)</f>
        <v>2245</v>
      </c>
      <c r="D50" s="8">
        <f ca="1">IFERROR(D40/'4. NPV'!E$8,0)</f>
        <v>2274</v>
      </c>
      <c r="E50" s="8">
        <f ca="1">IFERROR(E40/'4. NPV'!F$8,0)</f>
        <v>2303.3573999999999</v>
      </c>
      <c r="F50" s="8">
        <f ca="1">IFERROR(F40/'4. NPV'!G$8,0)</f>
        <v>2333.0762316000005</v>
      </c>
      <c r="G50" s="8">
        <f ca="1">IFERROR(G40/'4. NPV'!H$8,0)</f>
        <v>2363.1605634024008</v>
      </c>
      <c r="H50" s="8">
        <f ca="1">IFERROR(H40/'4. NPV'!I$8,0)</f>
        <v>2393.6145011412345</v>
      </c>
      <c r="I50" s="8">
        <f ca="1">IFERROR(I40/'4. NPV'!J$8,0)</f>
        <v>2424.4421878054354</v>
      </c>
      <c r="J50" s="8">
        <f ca="1">IFERROR(J40/'4. NPV'!K$8,0)</f>
        <v>2455.6478037559009</v>
      </c>
      <c r="K50" s="8">
        <f ca="1">IFERROR(K40/'4. NPV'!L$8,0)</f>
        <v>2487.2355668360965</v>
      </c>
      <c r="L50" s="8">
        <f ca="1">IFERROR(L40/'4. NPV'!M$8,0)</f>
        <v>2519.2097324759661</v>
      </c>
      <c r="M50" s="8">
        <f ca="1">IFERROR(M40/'4. NPV'!N$8,0)</f>
        <v>2551.5745937888778</v>
      </c>
      <c r="N50" s="8">
        <f ca="1">IFERROR(N40/'4. NPV'!O$8,0)</f>
        <v>2584.3344816613344</v>
      </c>
      <c r="O50" s="8">
        <f ca="1">IFERROR(O40/'4. NPV'!P$8,0)</f>
        <v>2617.4937648351947</v>
      </c>
      <c r="P50" s="8">
        <f ca="1">IFERROR(P40/'4. NPV'!Q$8,0)</f>
        <v>2651.0568499821002</v>
      </c>
      <c r="Q50" s="8">
        <f ca="1">IFERROR(Q40/'4. NPV'!R$8,0)</f>
        <v>2685.0281817698474</v>
      </c>
      <c r="R50" s="8">
        <f ca="1">IFERROR(R40/'4. NPV'!S$8,0)</f>
        <v>2719.4122429203831</v>
      </c>
      <c r="S50" s="8">
        <f ca="1">IFERROR(S40/'4. NPV'!T$8,0)</f>
        <v>2754.2135542591409</v>
      </c>
      <c r="T50" s="8">
        <f ca="1">IFERROR(T40/'4. NPV'!U$8,0)</f>
        <v>2789.4366747553995</v>
      </c>
      <c r="U50" s="8">
        <f ca="1">IFERROR(U40/'4. NPV'!V$8,0)</f>
        <v>2825.0862015533376</v>
      </c>
      <c r="V50" s="8">
        <f ca="1">IFERROR(V40/'4. NPV'!W$8,0)</f>
        <v>2861.1667699934737</v>
      </c>
      <c r="W50" s="8">
        <f ca="1">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 t="s">
        <v>27</v>
      </c>
      <c r="B51" s="5" t="s">
        <v>299</v>
      </c>
      <c r="C51" s="6">
        <f>IFERROR(C41/'4. NPV'!D$8,0)</f>
        <v>2650</v>
      </c>
      <c r="D51" s="6">
        <f>IFERROR(D41/'4. NPV'!E$8,0)</f>
        <v>2687.1</v>
      </c>
      <c r="E51" s="6">
        <f>IFERROR(E41/'4. NPV'!F$8,0)</f>
        <v>2724.7194000000004</v>
      </c>
      <c r="F51" s="6">
        <f>IFERROR(F41/'4. NPV'!G$8,0)</f>
        <v>2762.8654716000005</v>
      </c>
      <c r="G51" s="6">
        <f>IFERROR(G41/'4. NPV'!H$8,0)</f>
        <v>2801.5455882024007</v>
      </c>
      <c r="H51" s="6">
        <f>IFERROR(H41/'4. NPV'!I$8,0)</f>
        <v>2840.7672264372345</v>
      </c>
      <c r="I51" s="6">
        <f>IFERROR(I41/'4. NPV'!J$8,0)</f>
        <v>2880.5379676073558</v>
      </c>
      <c r="J51" s="6">
        <f>IFERROR(J41/'4. NPV'!K$8,0)</f>
        <v>2920.8654991538592</v>
      </c>
      <c r="K51" s="6">
        <f>IFERROR(K41/'4. NPV'!L$8,0)</f>
        <v>2961.7576161420138</v>
      </c>
      <c r="L51" s="6">
        <f>IFERROR(L41/'4. NPV'!M$8,0)</f>
        <v>3003.2222227680018</v>
      </c>
      <c r="M51" s="6">
        <f>IFERROR(M41/'4. NPV'!N$8,0)</f>
        <v>3045.2673338867539</v>
      </c>
      <c r="N51" s="6">
        <f>IFERROR(N41/'4. NPV'!O$8,0)</f>
        <v>3087.9010765611688</v>
      </c>
      <c r="O51" s="6">
        <f>IFERROR(O41/'4. NPV'!P$8,0)</f>
        <v>3131.1316916330256</v>
      </c>
      <c r="P51" s="6">
        <f>IFERROR(P41/'4. NPV'!Q$8,0)</f>
        <v>3174.9675353158877</v>
      </c>
      <c r="Q51" s="6">
        <f>IFERROR(Q41/'4. NPV'!R$8,0)</f>
        <v>3219.4170808103108</v>
      </c>
      <c r="R51" s="6">
        <f>IFERROR(R41/'4. NPV'!S$8,0)</f>
        <v>3264.4889199416552</v>
      </c>
      <c r="S51" s="6">
        <f>IFERROR(S41/'4. NPV'!T$8,0)</f>
        <v>3310.1917648208391</v>
      </c>
      <c r="T51" s="6">
        <f>IFERROR(T41/'4. NPV'!U$8,0)</f>
        <v>3356.5344495283312</v>
      </c>
      <c r="U51" s="6">
        <f>IFERROR(U41/'4. NPV'!V$8,0)</f>
        <v>3403.5259318217281</v>
      </c>
      <c r="V51" s="6">
        <f>IFERROR(V41/'4. NPV'!W$8,0)</f>
        <v>3451.175294867232</v>
      </c>
      <c r="W51" s="6">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 t="s">
        <v>27</v>
      </c>
      <c r="B52" s="4" t="s">
        <v>304</v>
      </c>
      <c r="C52" s="9">
        <f ca="1">IFERROR(C42/'4. NPV'!D$8,0)</f>
        <v>405</v>
      </c>
      <c r="D52" s="9">
        <f ca="1">IFERROR(D42/'4. NPV'!E$8,0)</f>
        <v>413.1</v>
      </c>
      <c r="E52" s="9">
        <f ca="1">IFERROR(E42/'4. NPV'!F$8,0)</f>
        <v>421.36200000000002</v>
      </c>
      <c r="F52" s="9">
        <f ca="1">IFERROR(F42/'4. NPV'!G$8,0)</f>
        <v>429.78923999999995</v>
      </c>
      <c r="G52" s="9">
        <f ca="1">IFERROR(G42/'4. NPV'!H$8,0)</f>
        <v>438.3850248</v>
      </c>
      <c r="H52" s="9">
        <f ca="1">IFERROR(H42/'4. NPV'!I$8,0)</f>
        <v>447.15272529599997</v>
      </c>
      <c r="I52" s="9">
        <f ca="1">IFERROR(I42/'4. NPV'!J$8,0)</f>
        <v>456.09577980192006</v>
      </c>
      <c r="J52" s="9">
        <f ca="1">IFERROR(J42/'4. NPV'!K$8,0)</f>
        <v>465.21769539795832</v>
      </c>
      <c r="K52" s="9">
        <f ca="1">IFERROR(K42/'4. NPV'!L$8,0)</f>
        <v>474.52204930591756</v>
      </c>
      <c r="L52" s="9">
        <f ca="1">IFERROR(L42/'4. NPV'!M$8,0)</f>
        <v>484.01249029203586</v>
      </c>
      <c r="M52" s="9">
        <f ca="1">IFERROR(M42/'4. NPV'!N$8,0)</f>
        <v>493.69274009787659</v>
      </c>
      <c r="N52" s="9">
        <f ca="1">IFERROR(N42/'4. NPV'!O$8,0)</f>
        <v>503.56659489983412</v>
      </c>
      <c r="O52" s="9">
        <f ca="1">IFERROR(O42/'4. NPV'!P$8,0)</f>
        <v>513.63792679783091</v>
      </c>
      <c r="P52" s="9">
        <f ca="1">IFERROR(P42/'4. NPV'!Q$8,0)</f>
        <v>523.91068533378746</v>
      </c>
      <c r="Q52" s="9">
        <f ca="1">IFERROR(Q42/'4. NPV'!R$8,0)</f>
        <v>534.38889904046323</v>
      </c>
      <c r="R52" s="9">
        <f ca="1">IFERROR(R42/'4. NPV'!S$8,0)</f>
        <v>545.0766770212723</v>
      </c>
      <c r="S52" s="9">
        <f ca="1">IFERROR(S42/'4. NPV'!T$8,0)</f>
        <v>555.97821056169789</v>
      </c>
      <c r="T52" s="9">
        <f ca="1">IFERROR(T42/'4. NPV'!U$8,0)</f>
        <v>567.09777477293187</v>
      </c>
      <c r="U52" s="9">
        <f ca="1">IFERROR(U42/'4. NPV'!V$8,0)</f>
        <v>578.43973026839046</v>
      </c>
      <c r="V52" s="9">
        <f ca="1">IFERROR(V42/'4. NPV'!W$8,0)</f>
        <v>590.00852487375823</v>
      </c>
      <c r="W52" s="9">
        <f ca="1">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B53" s="5" t="str">
        <f>'4. NPV'!B23</f>
        <v>Total Media</v>
      </c>
      <c r="C53" s="6">
        <f>IFERROR('4. NPV'!D23/'4. NPV'!D$8,0)</f>
        <v>0</v>
      </c>
      <c r="D53" s="6">
        <f>-IFERROR('4. NPV'!E23/'4. NPV'!E$8,0)</f>
        <v>0</v>
      </c>
      <c r="E53" s="6">
        <f>-IFERROR('4. NPV'!F23/'4. NPV'!F$8,0)</f>
        <v>0</v>
      </c>
      <c r="F53" s="6">
        <f>-IFERROR('4. NPV'!G23/'4. NPV'!G$8,0)</f>
        <v>0</v>
      </c>
      <c r="G53" s="6">
        <f>-IFERROR('4. NPV'!H23/'4. NPV'!H$8,0)</f>
        <v>0</v>
      </c>
      <c r="H53" s="6">
        <f>-IFERROR('4. NPV'!I23/'4. NPV'!I$8,0)</f>
        <v>0</v>
      </c>
      <c r="I53" s="6">
        <f>-IFERROR('4. NPV'!J23/'4. NPV'!J$8,0)</f>
        <v>0</v>
      </c>
      <c r="J53" s="6">
        <f>-IFERROR('4. NPV'!K23/'4. NPV'!K$8,0)</f>
        <v>0</v>
      </c>
      <c r="K53" s="6">
        <f>-IFERROR('4. NPV'!L23/'4. NPV'!L$8,0)</f>
        <v>0</v>
      </c>
      <c r="L53" s="6">
        <f>-IFERROR('4. NPV'!M23/'4. NPV'!M$8,0)</f>
        <v>0</v>
      </c>
      <c r="M53" s="6">
        <f>-IFERROR('4. NPV'!N23/'4. NPV'!N$8,0)</f>
        <v>0</v>
      </c>
      <c r="N53" s="6">
        <f>-IFERROR('4. NPV'!O23/'4. NPV'!O$8,0)</f>
        <v>0</v>
      </c>
      <c r="O53" s="6">
        <f>-IFERROR('4. NPV'!P23/'4. NPV'!P$8,0)</f>
        <v>0</v>
      </c>
      <c r="P53" s="6">
        <f>-IFERROR('4. NPV'!Q23/'4. NPV'!Q$8,0)</f>
        <v>0</v>
      </c>
      <c r="Q53" s="6">
        <f>-IFERROR('4. NPV'!R23/'4. NPV'!R$8,0)</f>
        <v>0</v>
      </c>
      <c r="R53" s="6">
        <f>-IFERROR('4. NPV'!S23/'4. NPV'!S$8,0)</f>
        <v>0</v>
      </c>
      <c r="S53" s="6">
        <f>-IFERROR('4. NPV'!T23/'4. NPV'!T$8,0)</f>
        <v>0</v>
      </c>
      <c r="T53" s="6">
        <f>-IFERROR('4. NPV'!U23/'4. NPV'!U$8,0)</f>
        <v>0</v>
      </c>
      <c r="U53" s="6">
        <f>-IFERROR('4. NPV'!V23/'4. NPV'!V$8,0)</f>
        <v>0</v>
      </c>
      <c r="V53" s="6">
        <f>-IFERROR('4. NPV'!W23/'4. NPV'!W$8,0)</f>
        <v>0</v>
      </c>
      <c r="W53" s="6">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s="5">
        <f>-IFERROR('4. NPV'!#REF!/'4. NPV'!#REF!,0)</f>
        <v>0</v>
      </c>
    </row>
    <row r="54" spans="1:16384" s="5" customFormat="1">
      <c r="B54" s="5" t="e">
        <f>'4. NPV'!#REF!</f>
        <v>#REF!</v>
      </c>
      <c r="C54" s="6">
        <f>IFERROR('4. NPV'!#REF!/'4. NPV'!D$8,0)</f>
        <v>0</v>
      </c>
      <c r="D54" s="6">
        <f>-IFERROR('4. NPV'!#REF!/'4. NPV'!E$8,0)</f>
        <v>0</v>
      </c>
      <c r="E54" s="6">
        <f>-IFERROR('4. NPV'!#REF!/'4. NPV'!F$8,0)</f>
        <v>0</v>
      </c>
      <c r="F54" s="6">
        <f>-IFERROR('4. NPV'!#REF!/'4. NPV'!G$8,0)</f>
        <v>0</v>
      </c>
      <c r="G54" s="6">
        <f>-IFERROR('4. NPV'!#REF!/'4. NPV'!H$8,0)</f>
        <v>0</v>
      </c>
      <c r="H54" s="6">
        <f>-IFERROR('4. NPV'!#REF!/'4. NPV'!I$8,0)</f>
        <v>0</v>
      </c>
      <c r="I54" s="6">
        <f>-IFERROR('4. NPV'!#REF!/'4. NPV'!J$8,0)</f>
        <v>0</v>
      </c>
      <c r="J54" s="6">
        <f>-IFERROR('4. NPV'!#REF!/'4. NPV'!K$8,0)</f>
        <v>0</v>
      </c>
      <c r="K54" s="6">
        <f>-IFERROR('4. NPV'!#REF!/'4. NPV'!L$8,0)</f>
        <v>0</v>
      </c>
      <c r="L54" s="6">
        <f>-IFERROR('4. NPV'!#REF!/'4. NPV'!M$8,0)</f>
        <v>0</v>
      </c>
      <c r="M54" s="6">
        <f>-IFERROR('4. NPV'!#REF!/'4. NPV'!N$8,0)</f>
        <v>0</v>
      </c>
      <c r="N54" s="6">
        <f>-IFERROR('4. NPV'!#REF!/'4. NPV'!O$8,0)</f>
        <v>0</v>
      </c>
      <c r="O54" s="6">
        <f>-IFERROR('4. NPV'!#REF!/'4. NPV'!P$8,0)</f>
        <v>0</v>
      </c>
      <c r="P54" s="6">
        <f>-IFERROR('4. NPV'!#REF!/'4. NPV'!Q$8,0)</f>
        <v>0</v>
      </c>
      <c r="Q54" s="6">
        <f>-IFERROR('4. NPV'!#REF!/'4. NPV'!R$8,0)</f>
        <v>0</v>
      </c>
      <c r="R54" s="6">
        <f>-IFERROR('4. NPV'!#REF!/'4. NPV'!S$8,0)</f>
        <v>0</v>
      </c>
      <c r="S54" s="6">
        <f>-IFERROR('4. NPV'!#REF!/'4. NPV'!T$8,0)</f>
        <v>0</v>
      </c>
      <c r="T54" s="6">
        <f>-IFERROR('4. NPV'!#REF!/'4. NPV'!U$8,0)</f>
        <v>0</v>
      </c>
      <c r="U54" s="6">
        <f>-IFERROR('4. NPV'!#REF!/'4. NPV'!V$8,0)</f>
        <v>0</v>
      </c>
      <c r="V54" s="6">
        <f>-IFERROR('4. NPV'!#REF!/'4. NPV'!W$8,0)</f>
        <v>0</v>
      </c>
      <c r="W54" s="6">
        <f>-IFERROR('4. NPV'!#REF!/'4. NPV'!X$8,0)</f>
        <v>0</v>
      </c>
      <c r="X54" s="6">
        <f>-IFERROR('4. NPV'!#REF!/'4. NPV'!Y$8,0)</f>
        <v>0</v>
      </c>
      <c r="Y54" s="6">
        <f>-IFERROR('4. NPV'!#REF!/'4. NPV'!Z$8,0)</f>
        <v>0</v>
      </c>
      <c r="Z54" s="6">
        <f>-IFERROR('4. NPV'!#REF!/'4. NPV'!AA$8,0)</f>
        <v>0</v>
      </c>
      <c r="AA54" s="6">
        <f>-IFERROR('4. NPV'!#REF!/'4. NPV'!AB$8,0)</f>
        <v>0</v>
      </c>
      <c r="AB54" s="6">
        <f>-IFERROR('4. NPV'!#REF!/'4. NPV'!AC$8,0)</f>
        <v>0</v>
      </c>
      <c r="AC54" s="6">
        <f>-IFERROR('4. NPV'!#REF!/'4. NPV'!AD$8,0)</f>
        <v>0</v>
      </c>
      <c r="AD54" s="6">
        <f>-IFERROR('4. NPV'!#REF!/'4. NPV'!AE$8,0)</f>
        <v>0</v>
      </c>
      <c r="AE54" s="6">
        <f>-IFERROR('4. NPV'!#REF!/'4. NPV'!AF$8,0)</f>
        <v>0</v>
      </c>
      <c r="AF54" s="6">
        <f>-IFERROR('4. NPV'!#REF!/'4. NPV'!AG$8,0)</f>
        <v>0</v>
      </c>
      <c r="AG54" s="6">
        <f>-IFERROR('4. NPV'!#REF!/'4. NPV'!AH$8,0)</f>
        <v>0</v>
      </c>
      <c r="AH54" s="6">
        <f>-IFERROR('4. NPV'!#REF!/'4. NPV'!AI$8,0)</f>
        <v>0</v>
      </c>
      <c r="AI54" s="6">
        <f>-IFERROR('4. NPV'!#REF!/'4. NPV'!AJ$8,0)</f>
        <v>0</v>
      </c>
      <c r="AJ54" s="6">
        <f>-IFERROR('4. NPV'!#REF!/'4. NPV'!AK$8,0)</f>
        <v>0</v>
      </c>
      <c r="AK54" s="6">
        <f>-IFERROR('4. NPV'!#REF!/'4. NPV'!AL$8,0)</f>
        <v>0</v>
      </c>
      <c r="AL54" s="6">
        <f>-IFERROR('4. NPV'!#REF!/'4. NPV'!AM$8,0)</f>
        <v>0</v>
      </c>
      <c r="AM54" s="6">
        <f>-IFERROR('4. NPV'!#REF!/'4. NPV'!AN$8,0)</f>
        <v>0</v>
      </c>
      <c r="AN54" s="6">
        <f>-IFERROR('4. NPV'!#REF!/'4. NPV'!AO$8,0)</f>
        <v>0</v>
      </c>
      <c r="AO54" s="6">
        <f>-IFERROR('4. NPV'!#REF!/'4. NPV'!AP$8,0)</f>
        <v>0</v>
      </c>
      <c r="AP54" s="6">
        <f>-IFERROR('4. NPV'!#REF!/'4. NPV'!AQ$8,0)</f>
        <v>0</v>
      </c>
      <c r="AQ54" s="6">
        <f>-IFERROR('4. NPV'!#REF!/'4. NPV'!AR$8,0)</f>
        <v>0</v>
      </c>
      <c r="AR54" s="6">
        <f>-IFERROR('4. NPV'!#REF!/'4. NPV'!AS$8,0)</f>
        <v>0</v>
      </c>
      <c r="AS54" s="6">
        <f>-IFERROR('4. NPV'!#REF!/'4. NPV'!AT$8,0)</f>
        <v>0</v>
      </c>
      <c r="AT54" s="6">
        <f>-IFERROR('4. NPV'!#REF!/'4. NPV'!AU$8,0)</f>
        <v>0</v>
      </c>
      <c r="AU54" s="6">
        <f>-IFERROR('4. NPV'!#REF!/'4. NPV'!AV$8,0)</f>
        <v>0</v>
      </c>
      <c r="AV54" s="6">
        <f>-IFERROR('4. NPV'!#REF!/'4. NPV'!AW$8,0)</f>
        <v>0</v>
      </c>
      <c r="AW54" s="6">
        <f>-IFERROR('4. NPV'!#REF!/'4. NPV'!AX$8,0)</f>
        <v>0</v>
      </c>
      <c r="AX54" s="6">
        <f>-IFERROR('4. NPV'!#REF!/'4. NPV'!AY$8,0)</f>
        <v>0</v>
      </c>
      <c r="AY54" s="6">
        <f>-IFERROR('4. NPV'!#REF!/'4. NPV'!AZ$8,0)</f>
        <v>0</v>
      </c>
      <c r="AZ54" s="6">
        <f>-IFERROR('4. NPV'!#REF!/'4. NPV'!BA$8,0)</f>
        <v>0</v>
      </c>
      <c r="BA54" s="6">
        <f>-IFERROR('4. NPV'!#REF!/'4. NPV'!BB$8,0)</f>
        <v>0</v>
      </c>
      <c r="BB54" s="5">
        <f>-IFERROR('4. NPV'!#REF!/'4. NPV'!BC$8,0)</f>
        <v>0</v>
      </c>
      <c r="BC54" s="5">
        <f>-IFERROR('4. NPV'!#REF!/'4. NPV'!BD$8,0)</f>
        <v>0</v>
      </c>
      <c r="BD54" s="5">
        <f>-IFERROR('4. NPV'!#REF!/'4. NPV'!BE$8,0)</f>
        <v>0</v>
      </c>
      <c r="BE54" s="5">
        <f>-IFERROR('4. NPV'!#REF!/'4. NPV'!BF$8,0)</f>
        <v>0</v>
      </c>
      <c r="BF54" s="5">
        <f>-IFERROR('4. NPV'!#REF!/'4. NPV'!BG$8,0)</f>
        <v>0</v>
      </c>
      <c r="BG54" s="5">
        <f>-IFERROR('4. NPV'!#REF!/'4. NPV'!BH$8,0)</f>
        <v>0</v>
      </c>
      <c r="BH54" s="5">
        <f>-IFERROR('4. NPV'!#REF!/'4. NPV'!BI$8,0)</f>
        <v>0</v>
      </c>
      <c r="BI54" s="5">
        <f>-IFERROR('4. NPV'!#REF!/'4. NPV'!BJ$8,0)</f>
        <v>0</v>
      </c>
      <c r="BJ54" s="5">
        <f>-IFERROR('4. NPV'!#REF!/'4. NPV'!BK$8,0)</f>
        <v>0</v>
      </c>
      <c r="BK54" s="5">
        <f>-IFERROR('4. NPV'!#REF!/'4. NPV'!BL$8,0)</f>
        <v>0</v>
      </c>
      <c r="BL54" s="5">
        <f>-IFERROR('4. NPV'!#REF!/'4. NPV'!BM$8,0)</f>
        <v>0</v>
      </c>
      <c r="BM54" s="5">
        <f>-IFERROR('4. NPV'!#REF!/'4. NPV'!BN$8,0)</f>
        <v>0</v>
      </c>
      <c r="BN54" s="5">
        <f>-IFERROR('4. NPV'!#REF!/'4. NPV'!BO$8,0)</f>
        <v>0</v>
      </c>
      <c r="BO54" s="5">
        <f>-IFERROR('4. NPV'!#REF!/'4. NPV'!BP$8,0)</f>
        <v>0</v>
      </c>
      <c r="BP54" s="5">
        <f>-IFERROR('4. NPV'!#REF!/'4. NPV'!BQ$8,0)</f>
        <v>0</v>
      </c>
      <c r="BQ54" s="5">
        <f>-IFERROR('4. NPV'!#REF!/'4. NPV'!BR$8,0)</f>
        <v>0</v>
      </c>
      <c r="BR54" s="5">
        <f>-IFERROR('4. NPV'!#REF!/'4. NPV'!BS$8,0)</f>
        <v>0</v>
      </c>
      <c r="BS54" s="5">
        <f>-IFERROR('4. NPV'!#REF!/'4. NPV'!BT$8,0)</f>
        <v>0</v>
      </c>
      <c r="BT54" s="5">
        <f>-IFERROR('4. NPV'!#REF!/'4. NPV'!BU$8,0)</f>
        <v>0</v>
      </c>
      <c r="BU54" s="5">
        <f>-IFERROR('4. NPV'!#REF!/'4. NPV'!BV$8,0)</f>
        <v>0</v>
      </c>
      <c r="BV54" s="5">
        <f>-IFERROR('4. NPV'!#REF!/'4. NPV'!BW$8,0)</f>
        <v>0</v>
      </c>
      <c r="BW54" s="5">
        <f>-IFERROR('4. NPV'!#REF!/'4. NPV'!BX$8,0)</f>
        <v>0</v>
      </c>
      <c r="BX54" s="5">
        <f>-IFERROR('4. NPV'!#REF!/'4. NPV'!BY$8,0)</f>
        <v>0</v>
      </c>
      <c r="BY54" s="5">
        <f>-IFERROR('4. NPV'!#REF!/'4. NPV'!BZ$8,0)</f>
        <v>0</v>
      </c>
      <c r="BZ54" s="5">
        <f>-IFERROR('4. NPV'!#REF!/'4. NPV'!CA$8,0)</f>
        <v>0</v>
      </c>
      <c r="CA54" s="5">
        <f>-IFERROR('4. NPV'!#REF!/'4. NPV'!CB$8,0)</f>
        <v>0</v>
      </c>
      <c r="CB54" s="5">
        <f>-IFERROR('4. NPV'!#REF!/'4. NPV'!CC$8,0)</f>
        <v>0</v>
      </c>
      <c r="CC54" s="5">
        <f>-IFERROR('4. NPV'!#REF!/'4. NPV'!CD$8,0)</f>
        <v>0</v>
      </c>
      <c r="CD54" s="5">
        <f>-IFERROR('4. NPV'!#REF!/'4. NPV'!CE$8,0)</f>
        <v>0</v>
      </c>
      <c r="CE54" s="5">
        <f>-IFERROR('4. NPV'!#REF!/'4. NPV'!CF$8,0)</f>
        <v>0</v>
      </c>
      <c r="CF54" s="5">
        <f>-IFERROR('4. NPV'!#REF!/'4. NPV'!CG$8,0)</f>
        <v>0</v>
      </c>
      <c r="CG54" s="5">
        <f>-IFERROR('4. NPV'!#REF!/'4. NPV'!CH$8,0)</f>
        <v>0</v>
      </c>
      <c r="CH54" s="5">
        <f>-IFERROR('4. NPV'!#REF!/'4. NPV'!CI$8,0)</f>
        <v>0</v>
      </c>
      <c r="CI54" s="5">
        <f>-IFERROR('4. NPV'!#REF!/'4. NPV'!CJ$8,0)</f>
        <v>0</v>
      </c>
      <c r="CJ54" s="5">
        <f>-IFERROR('4. NPV'!#REF!/'4. NPV'!CK$8,0)</f>
        <v>0</v>
      </c>
      <c r="CK54" s="5">
        <f>-IFERROR('4. NPV'!#REF!/'4. NPV'!CL$8,0)</f>
        <v>0</v>
      </c>
      <c r="CL54" s="5">
        <f>-IFERROR('4. NPV'!#REF!/'4. NPV'!CM$8,0)</f>
        <v>0</v>
      </c>
      <c r="CM54" s="5">
        <f>-IFERROR('4. NPV'!#REF!/'4. NPV'!CN$8,0)</f>
        <v>0</v>
      </c>
      <c r="CN54" s="5">
        <f>-IFERROR('4. NPV'!#REF!/'4. NPV'!CO$8,0)</f>
        <v>0</v>
      </c>
      <c r="CO54" s="5">
        <f>-IFERROR('4. NPV'!#REF!/'4. NPV'!CP$8,0)</f>
        <v>0</v>
      </c>
      <c r="CP54" s="5">
        <f>-IFERROR('4. NPV'!#REF!/'4. NPV'!CQ$8,0)</f>
        <v>0</v>
      </c>
      <c r="CQ54" s="5">
        <f>-IFERROR('4. NPV'!#REF!/'4. NPV'!CR$8,0)</f>
        <v>0</v>
      </c>
      <c r="CR54" s="5">
        <f>-IFERROR('4. NPV'!#REF!/'4. NPV'!CS$8,0)</f>
        <v>0</v>
      </c>
      <c r="CS54" s="5">
        <f>-IFERROR('4. NPV'!#REF!/'4. NPV'!CT$8,0)</f>
        <v>0</v>
      </c>
      <c r="CT54" s="5">
        <f>-IFERROR('4. NPV'!#REF!/'4. NPV'!CU$8,0)</f>
        <v>0</v>
      </c>
      <c r="CU54" s="5">
        <f>-IFERROR('4. NPV'!#REF!/'4. NPV'!CV$8,0)</f>
        <v>0</v>
      </c>
      <c r="CV54" s="5">
        <f>-IFERROR('4. NPV'!#REF!/'4. NPV'!CW$8,0)</f>
        <v>0</v>
      </c>
      <c r="CW54" s="5">
        <f>-IFERROR('4. NPV'!#REF!/'4. NPV'!CX$8,0)</f>
        <v>0</v>
      </c>
      <c r="CX54" s="5">
        <f>-IFERROR('4. NPV'!#REF!/'4. NPV'!CY$8,0)</f>
        <v>0</v>
      </c>
      <c r="CY54" s="5">
        <f>-IFERROR('4. NPV'!#REF!/'4. NPV'!CZ$8,0)</f>
        <v>0</v>
      </c>
      <c r="CZ54" s="5">
        <f>-IFERROR('4. NPV'!#REF!/'4. NPV'!DA$8,0)</f>
        <v>0</v>
      </c>
      <c r="DA54" s="5">
        <f>-IFERROR('4. NPV'!#REF!/'4. NPV'!DB$8,0)</f>
        <v>0</v>
      </c>
      <c r="DB54" s="5">
        <f>-IFERROR('4. NPV'!#REF!/'4. NPV'!DC$8,0)</f>
        <v>0</v>
      </c>
      <c r="DC54" s="5">
        <f>-IFERROR('4. NPV'!#REF!/'4. NPV'!DD$8,0)</f>
        <v>0</v>
      </c>
      <c r="DD54" s="5">
        <f>-IFERROR('4. NPV'!#REF!/'4. NPV'!DE$8,0)</f>
        <v>0</v>
      </c>
      <c r="DE54" s="5">
        <f>-IFERROR('4. NPV'!#REF!/'4. NPV'!DF$8,0)</f>
        <v>0</v>
      </c>
      <c r="DF54" s="5">
        <f>-IFERROR('4. NPV'!#REF!/'4. NPV'!DG$8,0)</f>
        <v>0</v>
      </c>
      <c r="DG54" s="5">
        <f>-IFERROR('4. NPV'!#REF!/'4. NPV'!DH$8,0)</f>
        <v>0</v>
      </c>
      <c r="DH54" s="5">
        <f>-IFERROR('4. NPV'!#REF!/'4. NPV'!DI$8,0)</f>
        <v>0</v>
      </c>
      <c r="DI54" s="5">
        <f>-IFERROR('4. NPV'!#REF!/'4. NPV'!DJ$8,0)</f>
        <v>0</v>
      </c>
      <c r="DJ54" s="5">
        <f>-IFERROR('4. NPV'!#REF!/'4. NPV'!DK$8,0)</f>
        <v>0</v>
      </c>
      <c r="DK54" s="5">
        <f>-IFERROR('4. NPV'!#REF!/'4. NPV'!DL$8,0)</f>
        <v>0</v>
      </c>
      <c r="DL54" s="5">
        <f>-IFERROR('4. NPV'!#REF!/'4. NPV'!DM$8,0)</f>
        <v>0</v>
      </c>
      <c r="DM54" s="5">
        <f>-IFERROR('4. NPV'!#REF!/'4. NPV'!DN$8,0)</f>
        <v>0</v>
      </c>
      <c r="DN54" s="5">
        <f>-IFERROR('4. NPV'!#REF!/'4. NPV'!DO$8,0)</f>
        <v>0</v>
      </c>
      <c r="DO54" s="5">
        <f>-IFERROR('4. NPV'!#REF!/'4. NPV'!DP$8,0)</f>
        <v>0</v>
      </c>
      <c r="DP54" s="5">
        <f>-IFERROR('4. NPV'!#REF!/'4. NPV'!DQ$8,0)</f>
        <v>0</v>
      </c>
      <c r="DQ54" s="5">
        <f>-IFERROR('4. NPV'!#REF!/'4. NPV'!DR$8,0)</f>
        <v>0</v>
      </c>
      <c r="DR54" s="5">
        <f>-IFERROR('4. NPV'!#REF!/'4. NPV'!DS$8,0)</f>
        <v>0</v>
      </c>
      <c r="DS54" s="5">
        <f>-IFERROR('4. NPV'!#REF!/'4. NPV'!DT$8,0)</f>
        <v>0</v>
      </c>
      <c r="DT54" s="5">
        <f>-IFERROR('4. NPV'!#REF!/'4. NPV'!DU$8,0)</f>
        <v>0</v>
      </c>
      <c r="DU54" s="5">
        <f>-IFERROR('4. NPV'!#REF!/'4. NPV'!DV$8,0)</f>
        <v>0</v>
      </c>
      <c r="DV54" s="5">
        <f>-IFERROR('4. NPV'!#REF!/'4. NPV'!DW$8,0)</f>
        <v>0</v>
      </c>
      <c r="DW54" s="5">
        <f>-IFERROR('4. NPV'!#REF!/'4. NPV'!DX$8,0)</f>
        <v>0</v>
      </c>
      <c r="DX54" s="5">
        <f>-IFERROR('4. NPV'!#REF!/'4. NPV'!DY$8,0)</f>
        <v>0</v>
      </c>
      <c r="DY54" s="5">
        <f>-IFERROR('4. NPV'!#REF!/'4. NPV'!DZ$8,0)</f>
        <v>0</v>
      </c>
      <c r="DZ54" s="5">
        <f>-IFERROR('4. NPV'!#REF!/'4. NPV'!EA$8,0)</f>
        <v>0</v>
      </c>
      <c r="EA54" s="5">
        <f>-IFERROR('4. NPV'!#REF!/'4. NPV'!EB$8,0)</f>
        <v>0</v>
      </c>
      <c r="EB54" s="5">
        <f>-IFERROR('4. NPV'!#REF!/'4. NPV'!EC$8,0)</f>
        <v>0</v>
      </c>
      <c r="EC54" s="5">
        <f>-IFERROR('4. NPV'!#REF!/'4. NPV'!ED$8,0)</f>
        <v>0</v>
      </c>
      <c r="ED54" s="5">
        <f>-IFERROR('4. NPV'!#REF!/'4. NPV'!EE$8,0)</f>
        <v>0</v>
      </c>
      <c r="EE54" s="5">
        <f>-IFERROR('4. NPV'!#REF!/'4. NPV'!EF$8,0)</f>
        <v>0</v>
      </c>
      <c r="EF54" s="5">
        <f>-IFERROR('4. NPV'!#REF!/'4. NPV'!EG$8,0)</f>
        <v>0</v>
      </c>
      <c r="EG54" s="5">
        <f>-IFERROR('4. NPV'!#REF!/'4. NPV'!EH$8,0)</f>
        <v>0</v>
      </c>
      <c r="EH54" s="5">
        <f>-IFERROR('4. NPV'!#REF!/'4. NPV'!EI$8,0)</f>
        <v>0</v>
      </c>
      <c r="EI54" s="5">
        <f>-IFERROR('4. NPV'!#REF!/'4. NPV'!EJ$8,0)</f>
        <v>0</v>
      </c>
      <c r="EJ54" s="5">
        <f>-IFERROR('4. NPV'!#REF!/'4. NPV'!EK$8,0)</f>
        <v>0</v>
      </c>
      <c r="EK54" s="5">
        <f>-IFERROR('4. NPV'!#REF!/'4. NPV'!EL$8,0)</f>
        <v>0</v>
      </c>
      <c r="EL54" s="5">
        <f>-IFERROR('4. NPV'!#REF!/'4. NPV'!EM$8,0)</f>
        <v>0</v>
      </c>
      <c r="EM54" s="5">
        <f>-IFERROR('4. NPV'!#REF!/'4. NPV'!EN$8,0)</f>
        <v>0</v>
      </c>
      <c r="EN54" s="5">
        <f>-IFERROR('4. NPV'!#REF!/'4. NPV'!EO$8,0)</f>
        <v>0</v>
      </c>
      <c r="EO54" s="5">
        <f>-IFERROR('4. NPV'!#REF!/'4. NPV'!EP$8,0)</f>
        <v>0</v>
      </c>
      <c r="EP54" s="5">
        <f>-IFERROR('4. NPV'!#REF!/'4. NPV'!EQ$8,0)</f>
        <v>0</v>
      </c>
      <c r="EQ54" s="5">
        <f>-IFERROR('4. NPV'!#REF!/'4. NPV'!ER$8,0)</f>
        <v>0</v>
      </c>
      <c r="ER54" s="5">
        <f>-IFERROR('4. NPV'!#REF!/'4. NPV'!ES$8,0)</f>
        <v>0</v>
      </c>
      <c r="ES54" s="5">
        <f>-IFERROR('4. NPV'!#REF!/'4. NPV'!ET$8,0)</f>
        <v>0</v>
      </c>
      <c r="ET54" s="5">
        <f>-IFERROR('4. NPV'!#REF!/'4. NPV'!EU$8,0)</f>
        <v>0</v>
      </c>
      <c r="EU54" s="5">
        <f>-IFERROR('4. NPV'!#REF!/'4. NPV'!EV$8,0)</f>
        <v>0</v>
      </c>
      <c r="EV54" s="5">
        <f>-IFERROR('4. NPV'!#REF!/'4. NPV'!EW$8,0)</f>
        <v>0</v>
      </c>
      <c r="EW54" s="5">
        <f>-IFERROR('4. NPV'!#REF!/'4. NPV'!EX$8,0)</f>
        <v>0</v>
      </c>
      <c r="EX54" s="5">
        <f>-IFERROR('4. NPV'!#REF!/'4. NPV'!EY$8,0)</f>
        <v>0</v>
      </c>
      <c r="EY54" s="5">
        <f>-IFERROR('4. NPV'!#REF!/'4. NPV'!EZ$8,0)</f>
        <v>0</v>
      </c>
      <c r="EZ54" s="5">
        <f>-IFERROR('4. NPV'!#REF!/'4. NPV'!FA$8,0)</f>
        <v>0</v>
      </c>
      <c r="FA54" s="5">
        <f>-IFERROR('4. NPV'!#REF!/'4. NPV'!FB$8,0)</f>
        <v>0</v>
      </c>
      <c r="FB54" s="5">
        <f>-IFERROR('4. NPV'!#REF!/'4. NPV'!FC$8,0)</f>
        <v>0</v>
      </c>
      <c r="FC54" s="5">
        <f>-IFERROR('4. NPV'!#REF!/'4. NPV'!FD$8,0)</f>
        <v>0</v>
      </c>
      <c r="FD54" s="5">
        <f>-IFERROR('4. NPV'!#REF!/'4. NPV'!FE$8,0)</f>
        <v>0</v>
      </c>
      <c r="FE54" s="5">
        <f>-IFERROR('4. NPV'!#REF!/'4. NPV'!FF$8,0)</f>
        <v>0</v>
      </c>
      <c r="FF54" s="5">
        <f>-IFERROR('4. NPV'!#REF!/'4. NPV'!FG$8,0)</f>
        <v>0</v>
      </c>
      <c r="FG54" s="5">
        <f>-IFERROR('4. NPV'!#REF!/'4. NPV'!FH$8,0)</f>
        <v>0</v>
      </c>
      <c r="FH54" s="5">
        <f>-IFERROR('4. NPV'!#REF!/'4. NPV'!FI$8,0)</f>
        <v>0</v>
      </c>
      <c r="FI54" s="5">
        <f>-IFERROR('4. NPV'!#REF!/'4. NPV'!FJ$8,0)</f>
        <v>0</v>
      </c>
      <c r="FJ54" s="5">
        <f>-IFERROR('4. NPV'!#REF!/'4. NPV'!FK$8,0)</f>
        <v>0</v>
      </c>
      <c r="FK54" s="5">
        <f>-IFERROR('4. NPV'!#REF!/'4. NPV'!FL$8,0)</f>
        <v>0</v>
      </c>
      <c r="FL54" s="5">
        <f>-IFERROR('4. NPV'!#REF!/'4. NPV'!FM$8,0)</f>
        <v>0</v>
      </c>
      <c r="FM54" s="5">
        <f>-IFERROR('4. NPV'!#REF!/'4. NPV'!FN$8,0)</f>
        <v>0</v>
      </c>
      <c r="FN54" s="5">
        <f>-IFERROR('4. NPV'!#REF!/'4. NPV'!FO$8,0)</f>
        <v>0</v>
      </c>
      <c r="FO54" s="5">
        <f>-IFERROR('4. NPV'!#REF!/'4. NPV'!FP$8,0)</f>
        <v>0</v>
      </c>
      <c r="FP54" s="5">
        <f>-IFERROR('4. NPV'!#REF!/'4. NPV'!FQ$8,0)</f>
        <v>0</v>
      </c>
      <c r="FQ54" s="5">
        <f>-IFERROR('4. NPV'!#REF!/'4. NPV'!FR$8,0)</f>
        <v>0</v>
      </c>
      <c r="FR54" s="5">
        <f>-IFERROR('4. NPV'!#REF!/'4. NPV'!FS$8,0)</f>
        <v>0</v>
      </c>
      <c r="FS54" s="5">
        <f>-IFERROR('4. NPV'!#REF!/'4. NPV'!FT$8,0)</f>
        <v>0</v>
      </c>
      <c r="FT54" s="5">
        <f>-IFERROR('4. NPV'!#REF!/'4. NPV'!FU$8,0)</f>
        <v>0</v>
      </c>
      <c r="FU54" s="5">
        <f>-IFERROR('4. NPV'!#REF!/'4. NPV'!FV$8,0)</f>
        <v>0</v>
      </c>
      <c r="FV54" s="5">
        <f>-IFERROR('4. NPV'!#REF!/'4. NPV'!FW$8,0)</f>
        <v>0</v>
      </c>
      <c r="FW54" s="5">
        <f>-IFERROR('4. NPV'!#REF!/'4. NPV'!FX$8,0)</f>
        <v>0</v>
      </c>
      <c r="FX54" s="5">
        <f>-IFERROR('4. NPV'!#REF!/'4. NPV'!FY$8,0)</f>
        <v>0</v>
      </c>
      <c r="FY54" s="5">
        <f>-IFERROR('4. NPV'!#REF!/'4. NPV'!FZ$8,0)</f>
        <v>0</v>
      </c>
      <c r="FZ54" s="5">
        <f>-IFERROR('4. NPV'!#REF!/'4. NPV'!GA$8,0)</f>
        <v>0</v>
      </c>
      <c r="GA54" s="5">
        <f>-IFERROR('4. NPV'!#REF!/'4. NPV'!GB$8,0)</f>
        <v>0</v>
      </c>
      <c r="GB54" s="5">
        <f>-IFERROR('4. NPV'!#REF!/'4. NPV'!GC$8,0)</f>
        <v>0</v>
      </c>
      <c r="GC54" s="5">
        <f>-IFERROR('4. NPV'!#REF!/'4. NPV'!GD$8,0)</f>
        <v>0</v>
      </c>
      <c r="GD54" s="5">
        <f>-IFERROR('4. NPV'!#REF!/'4. NPV'!GE$8,0)</f>
        <v>0</v>
      </c>
      <c r="GE54" s="5">
        <f>-IFERROR('4. NPV'!#REF!/'4. NPV'!GF$8,0)</f>
        <v>0</v>
      </c>
      <c r="GF54" s="5">
        <f>-IFERROR('4. NPV'!#REF!/'4. NPV'!GG$8,0)</f>
        <v>0</v>
      </c>
      <c r="GG54" s="5">
        <f>-IFERROR('4. NPV'!#REF!/'4. NPV'!GH$8,0)</f>
        <v>0</v>
      </c>
      <c r="GH54" s="5">
        <f>-IFERROR('4. NPV'!#REF!/'4. NPV'!GI$8,0)</f>
        <v>0</v>
      </c>
      <c r="GI54" s="5">
        <f>-IFERROR('4. NPV'!#REF!/'4. NPV'!GJ$8,0)</f>
        <v>0</v>
      </c>
      <c r="GJ54" s="5">
        <f>-IFERROR('4. NPV'!#REF!/'4. NPV'!GK$8,0)</f>
        <v>0</v>
      </c>
      <c r="GK54" s="5">
        <f>-IFERROR('4. NPV'!#REF!/'4. NPV'!GL$8,0)</f>
        <v>0</v>
      </c>
      <c r="GL54" s="5">
        <f>-IFERROR('4. NPV'!#REF!/'4. NPV'!GM$8,0)</f>
        <v>0</v>
      </c>
      <c r="GM54" s="5">
        <f>-IFERROR('4. NPV'!#REF!/'4. NPV'!GN$8,0)</f>
        <v>0</v>
      </c>
      <c r="GN54" s="5">
        <f>-IFERROR('4. NPV'!#REF!/'4. NPV'!GO$8,0)</f>
        <v>0</v>
      </c>
      <c r="GO54" s="5">
        <f>-IFERROR('4. NPV'!#REF!/'4. NPV'!GP$8,0)</f>
        <v>0</v>
      </c>
      <c r="GP54" s="5">
        <f>-IFERROR('4. NPV'!#REF!/'4. NPV'!GQ$8,0)</f>
        <v>0</v>
      </c>
      <c r="GQ54" s="5">
        <f>-IFERROR('4. NPV'!#REF!/'4. NPV'!GR$8,0)</f>
        <v>0</v>
      </c>
      <c r="GR54" s="5">
        <f>-IFERROR('4. NPV'!#REF!/'4. NPV'!GS$8,0)</f>
        <v>0</v>
      </c>
      <c r="GS54" s="5">
        <f>-IFERROR('4. NPV'!#REF!/'4. NPV'!GT$8,0)</f>
        <v>0</v>
      </c>
      <c r="GT54" s="5">
        <f>-IFERROR('4. NPV'!#REF!/'4. NPV'!GU$8,0)</f>
        <v>0</v>
      </c>
      <c r="GU54" s="5">
        <f>-IFERROR('4. NPV'!#REF!/'4. NPV'!GV$8,0)</f>
        <v>0</v>
      </c>
      <c r="GV54" s="5">
        <f>-IFERROR('4. NPV'!#REF!/'4. NPV'!GW$8,0)</f>
        <v>0</v>
      </c>
      <c r="GW54" s="5">
        <f>-IFERROR('4. NPV'!#REF!/'4. NPV'!GX$8,0)</f>
        <v>0</v>
      </c>
      <c r="GX54" s="5">
        <f>-IFERROR('4. NPV'!#REF!/'4. NPV'!GY$8,0)</f>
        <v>0</v>
      </c>
      <c r="GY54" s="5">
        <f>-IFERROR('4. NPV'!#REF!/'4. NPV'!GZ$8,0)</f>
        <v>0</v>
      </c>
      <c r="GZ54" s="5">
        <f>-IFERROR('4. NPV'!#REF!/'4. NPV'!HA$8,0)</f>
        <v>0</v>
      </c>
      <c r="HA54" s="5">
        <f>-IFERROR('4. NPV'!#REF!/'4. NPV'!HB$8,0)</f>
        <v>0</v>
      </c>
      <c r="HB54" s="5">
        <f>-IFERROR('4. NPV'!#REF!/'4. NPV'!HC$8,0)</f>
        <v>0</v>
      </c>
      <c r="HC54" s="5">
        <f>-IFERROR('4. NPV'!#REF!/'4. NPV'!HD$8,0)</f>
        <v>0</v>
      </c>
      <c r="HD54" s="5">
        <f>-IFERROR('4. NPV'!#REF!/'4. NPV'!HE$8,0)</f>
        <v>0</v>
      </c>
      <c r="HE54" s="5">
        <f>-IFERROR('4. NPV'!#REF!/'4. NPV'!HF$8,0)</f>
        <v>0</v>
      </c>
      <c r="HF54" s="5">
        <f>-IFERROR('4. NPV'!#REF!/'4. NPV'!HG$8,0)</f>
        <v>0</v>
      </c>
      <c r="HG54" s="5">
        <f>-IFERROR('4. NPV'!#REF!/'4. NPV'!HH$8,0)</f>
        <v>0</v>
      </c>
      <c r="HH54" s="5">
        <f>-IFERROR('4. NPV'!#REF!/'4. NPV'!HI$8,0)</f>
        <v>0</v>
      </c>
      <c r="HI54" s="5">
        <f>-IFERROR('4. NPV'!#REF!/'4. NPV'!HJ$8,0)</f>
        <v>0</v>
      </c>
      <c r="HJ54" s="5">
        <f>-IFERROR('4. NPV'!#REF!/'4. NPV'!HK$8,0)</f>
        <v>0</v>
      </c>
      <c r="HK54" s="5">
        <f>-IFERROR('4. NPV'!#REF!/'4. NPV'!HL$8,0)</f>
        <v>0</v>
      </c>
      <c r="HL54" s="5">
        <f>-IFERROR('4. NPV'!#REF!/'4. NPV'!HM$8,0)</f>
        <v>0</v>
      </c>
      <c r="HM54" s="5">
        <f>-IFERROR('4. NPV'!#REF!/'4. NPV'!HN$8,0)</f>
        <v>0</v>
      </c>
      <c r="HN54" s="5">
        <f>-IFERROR('4. NPV'!#REF!/'4. NPV'!HO$8,0)</f>
        <v>0</v>
      </c>
      <c r="HO54" s="5">
        <f>-IFERROR('4. NPV'!#REF!/'4. NPV'!HP$8,0)</f>
        <v>0</v>
      </c>
      <c r="HP54" s="5">
        <f>-IFERROR('4. NPV'!#REF!/'4. NPV'!HQ$8,0)</f>
        <v>0</v>
      </c>
      <c r="HQ54" s="5">
        <f>-IFERROR('4. NPV'!#REF!/'4. NPV'!HR$8,0)</f>
        <v>0</v>
      </c>
      <c r="HR54" s="5">
        <f>-IFERROR('4. NPV'!#REF!/'4. NPV'!HS$8,0)</f>
        <v>0</v>
      </c>
      <c r="HS54" s="5">
        <f>-IFERROR('4. NPV'!#REF!/'4. NPV'!HT$8,0)</f>
        <v>0</v>
      </c>
      <c r="HT54" s="5">
        <f>-IFERROR('4. NPV'!#REF!/'4. NPV'!HU$8,0)</f>
        <v>0</v>
      </c>
      <c r="HU54" s="5">
        <f>-IFERROR('4. NPV'!#REF!/'4. NPV'!HV$8,0)</f>
        <v>0</v>
      </c>
      <c r="HV54" s="5">
        <f>-IFERROR('4. NPV'!#REF!/'4. NPV'!HW$8,0)</f>
        <v>0</v>
      </c>
      <c r="HW54" s="5">
        <f>-IFERROR('4. NPV'!#REF!/'4. NPV'!HX$8,0)</f>
        <v>0</v>
      </c>
      <c r="HX54" s="5">
        <f>-IFERROR('4. NPV'!#REF!/'4. NPV'!HY$8,0)</f>
        <v>0</v>
      </c>
      <c r="HY54" s="5">
        <f>-IFERROR('4. NPV'!#REF!/'4. NPV'!HZ$8,0)</f>
        <v>0</v>
      </c>
      <c r="HZ54" s="5">
        <f>-IFERROR('4. NPV'!#REF!/'4. NPV'!IA$8,0)</f>
        <v>0</v>
      </c>
      <c r="IA54" s="5">
        <f>-IFERROR('4. NPV'!#REF!/'4. NPV'!IB$8,0)</f>
        <v>0</v>
      </c>
      <c r="IB54" s="5">
        <f>-IFERROR('4. NPV'!#REF!/'4. NPV'!IC$8,0)</f>
        <v>0</v>
      </c>
      <c r="IC54" s="5">
        <f>-IFERROR('4. NPV'!#REF!/'4. NPV'!ID$8,0)</f>
        <v>0</v>
      </c>
      <c r="ID54" s="5">
        <f>-IFERROR('4. NPV'!#REF!/'4. NPV'!IE$8,0)</f>
        <v>0</v>
      </c>
      <c r="IE54" s="5">
        <f>-IFERROR('4. NPV'!#REF!/'4. NPV'!IF$8,0)</f>
        <v>0</v>
      </c>
      <c r="IF54" s="5">
        <f>-IFERROR('4. NPV'!#REF!/'4. NPV'!IG$8,0)</f>
        <v>0</v>
      </c>
      <c r="IG54" s="5">
        <f>-IFERROR('4. NPV'!#REF!/'4. NPV'!IH$8,0)</f>
        <v>0</v>
      </c>
      <c r="IH54" s="5">
        <f>-IFERROR('4. NPV'!#REF!/'4. NPV'!II$8,0)</f>
        <v>0</v>
      </c>
      <c r="II54" s="5">
        <f>-IFERROR('4. NPV'!#REF!/'4. NPV'!IJ$8,0)</f>
        <v>0</v>
      </c>
      <c r="IJ54" s="5">
        <f>-IFERROR('4. NPV'!#REF!/'4. NPV'!IK$8,0)</f>
        <v>0</v>
      </c>
      <c r="IK54" s="5">
        <f>-IFERROR('4. NPV'!#REF!/'4. NPV'!IL$8,0)</f>
        <v>0</v>
      </c>
      <c r="IL54" s="5">
        <f>-IFERROR('4. NPV'!#REF!/'4. NPV'!IM$8,0)</f>
        <v>0</v>
      </c>
      <c r="IM54" s="5">
        <f>-IFERROR('4. NPV'!#REF!/'4. NPV'!IN$8,0)</f>
        <v>0</v>
      </c>
      <c r="IN54" s="5">
        <f>-IFERROR('4. NPV'!#REF!/'4. NPV'!IO$8,0)</f>
        <v>0</v>
      </c>
      <c r="IO54" s="5">
        <f>-IFERROR('4. NPV'!#REF!/'4. NPV'!IP$8,0)</f>
        <v>0</v>
      </c>
      <c r="IP54" s="5">
        <f>-IFERROR('4. NPV'!#REF!/'4. NPV'!IQ$8,0)</f>
        <v>0</v>
      </c>
      <c r="IQ54" s="5">
        <f>-IFERROR('4. NPV'!#REF!/'4. NPV'!IR$8,0)</f>
        <v>0</v>
      </c>
      <c r="IR54" s="5">
        <f>-IFERROR('4. NPV'!#REF!/'4. NPV'!IS$8,0)</f>
        <v>0</v>
      </c>
      <c r="IS54" s="5">
        <f>-IFERROR('4. NPV'!#REF!/'4. NPV'!IT$8,0)</f>
        <v>0</v>
      </c>
      <c r="IT54" s="5">
        <f>-IFERROR('4. NPV'!#REF!/'4. NPV'!IU$8,0)</f>
        <v>0</v>
      </c>
      <c r="IU54" s="5">
        <f>-IFERROR('4. NPV'!#REF!/'4. NPV'!IV$8,0)</f>
        <v>0</v>
      </c>
      <c r="IV54" s="5">
        <f>-IFERROR('4. NPV'!#REF!/'4. NPV'!IW$8,0)</f>
        <v>0</v>
      </c>
      <c r="IW54" s="5">
        <f>-IFERROR('4. NPV'!#REF!/'4. NPV'!IX$8,0)</f>
        <v>0</v>
      </c>
      <c r="IX54" s="5">
        <f>-IFERROR('4. NPV'!#REF!/'4. NPV'!IY$8,0)</f>
        <v>0</v>
      </c>
      <c r="IY54" s="5">
        <f>-IFERROR('4. NPV'!#REF!/'4. NPV'!IZ$8,0)</f>
        <v>0</v>
      </c>
      <c r="IZ54" s="5">
        <f>-IFERROR('4. NPV'!#REF!/'4. NPV'!JA$8,0)</f>
        <v>0</v>
      </c>
      <c r="JA54" s="5">
        <f>-IFERROR('4. NPV'!#REF!/'4. NPV'!JB$8,0)</f>
        <v>0</v>
      </c>
      <c r="JB54" s="5">
        <f>-IFERROR('4. NPV'!#REF!/'4. NPV'!JC$8,0)</f>
        <v>0</v>
      </c>
      <c r="JC54" s="5">
        <f>-IFERROR('4. NPV'!#REF!/'4. NPV'!JD$8,0)</f>
        <v>0</v>
      </c>
      <c r="JD54" s="5">
        <f>-IFERROR('4. NPV'!#REF!/'4. NPV'!JE$8,0)</f>
        <v>0</v>
      </c>
      <c r="JE54" s="5">
        <f>-IFERROR('4. NPV'!#REF!/'4. NPV'!JF$8,0)</f>
        <v>0</v>
      </c>
      <c r="JF54" s="5">
        <f>-IFERROR('4. NPV'!#REF!/'4. NPV'!JG$8,0)</f>
        <v>0</v>
      </c>
      <c r="JG54" s="5">
        <f>-IFERROR('4. NPV'!#REF!/'4. NPV'!JH$8,0)</f>
        <v>0</v>
      </c>
      <c r="JH54" s="5">
        <f>-IFERROR('4. NPV'!#REF!/'4. NPV'!JI$8,0)</f>
        <v>0</v>
      </c>
      <c r="JI54" s="5">
        <f>-IFERROR('4. NPV'!#REF!/'4. NPV'!JJ$8,0)</f>
        <v>0</v>
      </c>
      <c r="JJ54" s="5">
        <f>-IFERROR('4. NPV'!#REF!/'4. NPV'!JK$8,0)</f>
        <v>0</v>
      </c>
      <c r="JK54" s="5">
        <f>-IFERROR('4. NPV'!#REF!/'4. NPV'!JL$8,0)</f>
        <v>0</v>
      </c>
      <c r="JL54" s="5">
        <f>-IFERROR('4. NPV'!#REF!/'4. NPV'!JM$8,0)</f>
        <v>0</v>
      </c>
      <c r="JM54" s="5">
        <f>-IFERROR('4. NPV'!#REF!/'4. NPV'!JN$8,0)</f>
        <v>0</v>
      </c>
      <c r="JN54" s="5">
        <f>-IFERROR('4. NPV'!#REF!/'4. NPV'!JO$8,0)</f>
        <v>0</v>
      </c>
      <c r="JO54" s="5">
        <f>-IFERROR('4. NPV'!#REF!/'4. NPV'!JP$8,0)</f>
        <v>0</v>
      </c>
      <c r="JP54" s="5">
        <f>-IFERROR('4. NPV'!#REF!/'4. NPV'!JQ$8,0)</f>
        <v>0</v>
      </c>
      <c r="JQ54" s="5">
        <f>-IFERROR('4. NPV'!#REF!/'4. NPV'!JR$8,0)</f>
        <v>0</v>
      </c>
      <c r="JR54" s="5">
        <f>-IFERROR('4. NPV'!#REF!/'4. NPV'!JS$8,0)</f>
        <v>0</v>
      </c>
      <c r="JS54" s="5">
        <f>-IFERROR('4. NPV'!#REF!/'4. NPV'!JT$8,0)</f>
        <v>0</v>
      </c>
      <c r="JT54" s="5">
        <f>-IFERROR('4. NPV'!#REF!/'4. NPV'!JU$8,0)</f>
        <v>0</v>
      </c>
      <c r="JU54" s="5">
        <f>-IFERROR('4. NPV'!#REF!/'4. NPV'!JV$8,0)</f>
        <v>0</v>
      </c>
      <c r="JV54" s="5">
        <f>-IFERROR('4. NPV'!#REF!/'4. NPV'!JW$8,0)</f>
        <v>0</v>
      </c>
      <c r="JW54" s="5">
        <f>-IFERROR('4. NPV'!#REF!/'4. NPV'!JX$8,0)</f>
        <v>0</v>
      </c>
      <c r="JX54" s="5">
        <f>-IFERROR('4. NPV'!#REF!/'4. NPV'!JY$8,0)</f>
        <v>0</v>
      </c>
      <c r="JY54" s="5">
        <f>-IFERROR('4. NPV'!#REF!/'4. NPV'!JZ$8,0)</f>
        <v>0</v>
      </c>
      <c r="JZ54" s="5">
        <f>-IFERROR('4. NPV'!#REF!/'4. NPV'!KA$8,0)</f>
        <v>0</v>
      </c>
      <c r="KA54" s="5">
        <f>-IFERROR('4. NPV'!#REF!/'4. NPV'!KB$8,0)</f>
        <v>0</v>
      </c>
      <c r="KB54" s="5">
        <f>-IFERROR('4. NPV'!#REF!/'4. NPV'!KC$8,0)</f>
        <v>0</v>
      </c>
      <c r="KC54" s="5">
        <f>-IFERROR('4. NPV'!#REF!/'4. NPV'!KD$8,0)</f>
        <v>0</v>
      </c>
      <c r="KD54" s="5">
        <f>-IFERROR('4. NPV'!#REF!/'4. NPV'!KE$8,0)</f>
        <v>0</v>
      </c>
      <c r="KE54" s="5">
        <f>-IFERROR('4. NPV'!#REF!/'4. NPV'!KF$8,0)</f>
        <v>0</v>
      </c>
      <c r="KF54" s="5">
        <f>-IFERROR('4. NPV'!#REF!/'4. NPV'!KG$8,0)</f>
        <v>0</v>
      </c>
      <c r="KG54" s="5">
        <f>-IFERROR('4. NPV'!#REF!/'4. NPV'!KH$8,0)</f>
        <v>0</v>
      </c>
      <c r="KH54" s="5">
        <f>-IFERROR('4. NPV'!#REF!/'4. NPV'!KI$8,0)</f>
        <v>0</v>
      </c>
      <c r="KI54" s="5">
        <f>-IFERROR('4. NPV'!#REF!/'4. NPV'!KJ$8,0)</f>
        <v>0</v>
      </c>
      <c r="KJ54" s="5">
        <f>-IFERROR('4. NPV'!#REF!/'4. NPV'!KK$8,0)</f>
        <v>0</v>
      </c>
      <c r="KK54" s="5">
        <f>-IFERROR('4. NPV'!#REF!/'4. NPV'!KL$8,0)</f>
        <v>0</v>
      </c>
      <c r="KL54" s="5">
        <f>-IFERROR('4. NPV'!#REF!/'4. NPV'!KM$8,0)</f>
        <v>0</v>
      </c>
      <c r="KM54" s="5">
        <f>-IFERROR('4. NPV'!#REF!/'4. NPV'!KN$8,0)</f>
        <v>0</v>
      </c>
      <c r="KN54" s="5">
        <f>-IFERROR('4. NPV'!#REF!/'4. NPV'!KO$8,0)</f>
        <v>0</v>
      </c>
      <c r="KO54" s="5">
        <f>-IFERROR('4. NPV'!#REF!/'4. NPV'!KP$8,0)</f>
        <v>0</v>
      </c>
      <c r="KP54" s="5">
        <f>-IFERROR('4. NPV'!#REF!/'4. NPV'!KQ$8,0)</f>
        <v>0</v>
      </c>
      <c r="KQ54" s="5">
        <f>-IFERROR('4. NPV'!#REF!/'4. NPV'!KR$8,0)</f>
        <v>0</v>
      </c>
      <c r="KR54" s="5">
        <f>-IFERROR('4. NPV'!#REF!/'4. NPV'!KS$8,0)</f>
        <v>0</v>
      </c>
      <c r="KS54" s="5">
        <f>-IFERROR('4. NPV'!#REF!/'4. NPV'!KT$8,0)</f>
        <v>0</v>
      </c>
      <c r="KT54" s="5">
        <f>-IFERROR('4. NPV'!#REF!/'4. NPV'!KU$8,0)</f>
        <v>0</v>
      </c>
      <c r="KU54" s="5">
        <f>-IFERROR('4. NPV'!#REF!/'4. NPV'!KV$8,0)</f>
        <v>0</v>
      </c>
      <c r="KV54" s="5">
        <f>-IFERROR('4. NPV'!#REF!/'4. NPV'!KW$8,0)</f>
        <v>0</v>
      </c>
      <c r="KW54" s="5">
        <f>-IFERROR('4. NPV'!#REF!/'4. NPV'!KX$8,0)</f>
        <v>0</v>
      </c>
      <c r="KX54" s="5">
        <f>-IFERROR('4. NPV'!#REF!/'4. NPV'!KY$8,0)</f>
        <v>0</v>
      </c>
      <c r="KY54" s="5">
        <f>-IFERROR('4. NPV'!#REF!/'4. NPV'!KZ$8,0)</f>
        <v>0</v>
      </c>
      <c r="KZ54" s="5">
        <f>-IFERROR('4. NPV'!#REF!/'4. NPV'!LA$8,0)</f>
        <v>0</v>
      </c>
      <c r="LA54" s="5">
        <f>-IFERROR('4. NPV'!#REF!/'4. NPV'!LB$8,0)</f>
        <v>0</v>
      </c>
      <c r="LB54" s="5">
        <f>-IFERROR('4. NPV'!#REF!/'4. NPV'!LC$8,0)</f>
        <v>0</v>
      </c>
      <c r="LC54" s="5">
        <f>-IFERROR('4. NPV'!#REF!/'4. NPV'!LD$8,0)</f>
        <v>0</v>
      </c>
      <c r="LD54" s="5">
        <f>-IFERROR('4. NPV'!#REF!/'4. NPV'!LE$8,0)</f>
        <v>0</v>
      </c>
      <c r="LE54" s="5">
        <f>-IFERROR('4. NPV'!#REF!/'4. NPV'!LF$8,0)</f>
        <v>0</v>
      </c>
      <c r="LF54" s="5">
        <f>-IFERROR('4. NPV'!#REF!/'4. NPV'!LG$8,0)</f>
        <v>0</v>
      </c>
      <c r="LG54" s="5">
        <f>-IFERROR('4. NPV'!#REF!/'4. NPV'!LH$8,0)</f>
        <v>0</v>
      </c>
      <c r="LH54" s="5">
        <f>-IFERROR('4. NPV'!#REF!/'4. NPV'!LI$8,0)</f>
        <v>0</v>
      </c>
      <c r="LI54" s="5">
        <f>-IFERROR('4. NPV'!#REF!/'4. NPV'!LJ$8,0)</f>
        <v>0</v>
      </c>
      <c r="LJ54" s="5">
        <f>-IFERROR('4. NPV'!#REF!/'4. NPV'!LK$8,0)</f>
        <v>0</v>
      </c>
      <c r="LK54" s="5">
        <f>-IFERROR('4. NPV'!#REF!/'4. NPV'!LL$8,0)</f>
        <v>0</v>
      </c>
      <c r="LL54" s="5">
        <f>-IFERROR('4. NPV'!#REF!/'4. NPV'!LM$8,0)</f>
        <v>0</v>
      </c>
      <c r="LM54" s="5">
        <f>-IFERROR('4. NPV'!#REF!/'4. NPV'!LN$8,0)</f>
        <v>0</v>
      </c>
      <c r="LN54" s="5">
        <f>-IFERROR('4. NPV'!#REF!/'4. NPV'!LO$8,0)</f>
        <v>0</v>
      </c>
      <c r="LO54" s="5">
        <f>-IFERROR('4. NPV'!#REF!/'4. NPV'!LP$8,0)</f>
        <v>0</v>
      </c>
      <c r="LP54" s="5">
        <f>-IFERROR('4. NPV'!#REF!/'4. NPV'!LQ$8,0)</f>
        <v>0</v>
      </c>
      <c r="LQ54" s="5">
        <f>-IFERROR('4. NPV'!#REF!/'4. NPV'!LR$8,0)</f>
        <v>0</v>
      </c>
      <c r="LR54" s="5">
        <f>-IFERROR('4. NPV'!#REF!/'4. NPV'!LS$8,0)</f>
        <v>0</v>
      </c>
      <c r="LS54" s="5">
        <f>-IFERROR('4. NPV'!#REF!/'4. NPV'!LT$8,0)</f>
        <v>0</v>
      </c>
      <c r="LT54" s="5">
        <f>-IFERROR('4. NPV'!#REF!/'4. NPV'!LU$8,0)</f>
        <v>0</v>
      </c>
      <c r="LU54" s="5">
        <f>-IFERROR('4. NPV'!#REF!/'4. NPV'!LV$8,0)</f>
        <v>0</v>
      </c>
      <c r="LV54" s="5">
        <f>-IFERROR('4. NPV'!#REF!/'4. NPV'!LW$8,0)</f>
        <v>0</v>
      </c>
      <c r="LW54" s="5">
        <f>-IFERROR('4. NPV'!#REF!/'4. NPV'!LX$8,0)</f>
        <v>0</v>
      </c>
      <c r="LX54" s="5">
        <f>-IFERROR('4. NPV'!#REF!/'4. NPV'!LY$8,0)</f>
        <v>0</v>
      </c>
      <c r="LY54" s="5">
        <f>-IFERROR('4. NPV'!#REF!/'4. NPV'!LZ$8,0)</f>
        <v>0</v>
      </c>
      <c r="LZ54" s="5">
        <f>-IFERROR('4. NPV'!#REF!/'4. NPV'!MA$8,0)</f>
        <v>0</v>
      </c>
      <c r="MA54" s="5">
        <f>-IFERROR('4. NPV'!#REF!/'4. NPV'!MB$8,0)</f>
        <v>0</v>
      </c>
      <c r="MB54" s="5">
        <f>-IFERROR('4. NPV'!#REF!/'4. NPV'!MC$8,0)</f>
        <v>0</v>
      </c>
      <c r="MC54" s="5">
        <f>-IFERROR('4. NPV'!#REF!/'4. NPV'!MD$8,0)</f>
        <v>0</v>
      </c>
      <c r="MD54" s="5">
        <f>-IFERROR('4. NPV'!#REF!/'4. NPV'!ME$8,0)</f>
        <v>0</v>
      </c>
      <c r="ME54" s="5">
        <f>-IFERROR('4. NPV'!#REF!/'4. NPV'!MF$8,0)</f>
        <v>0</v>
      </c>
      <c r="MF54" s="5">
        <f>-IFERROR('4. NPV'!#REF!/'4. NPV'!MG$8,0)</f>
        <v>0</v>
      </c>
      <c r="MG54" s="5">
        <f>-IFERROR('4. NPV'!#REF!/'4. NPV'!MH$8,0)</f>
        <v>0</v>
      </c>
      <c r="MH54" s="5">
        <f>-IFERROR('4. NPV'!#REF!/'4. NPV'!MI$8,0)</f>
        <v>0</v>
      </c>
      <c r="MI54" s="5">
        <f>-IFERROR('4. NPV'!#REF!/'4. NPV'!MJ$8,0)</f>
        <v>0</v>
      </c>
      <c r="MJ54" s="5">
        <f>-IFERROR('4. NPV'!#REF!/'4. NPV'!MK$8,0)</f>
        <v>0</v>
      </c>
      <c r="MK54" s="5">
        <f>-IFERROR('4. NPV'!#REF!/'4. NPV'!ML$8,0)</f>
        <v>0</v>
      </c>
      <c r="ML54" s="5">
        <f>-IFERROR('4. NPV'!#REF!/'4. NPV'!MM$8,0)</f>
        <v>0</v>
      </c>
      <c r="MM54" s="5">
        <f>-IFERROR('4. NPV'!#REF!/'4. NPV'!MN$8,0)</f>
        <v>0</v>
      </c>
      <c r="MN54" s="5">
        <f>-IFERROR('4. NPV'!#REF!/'4. NPV'!MO$8,0)</f>
        <v>0</v>
      </c>
      <c r="MO54" s="5">
        <f>-IFERROR('4. NPV'!#REF!/'4. NPV'!MP$8,0)</f>
        <v>0</v>
      </c>
      <c r="MP54" s="5">
        <f>-IFERROR('4. NPV'!#REF!/'4. NPV'!MQ$8,0)</f>
        <v>0</v>
      </c>
      <c r="MQ54" s="5">
        <f>-IFERROR('4. NPV'!#REF!/'4. NPV'!MR$8,0)</f>
        <v>0</v>
      </c>
      <c r="MR54" s="5">
        <f>-IFERROR('4. NPV'!#REF!/'4. NPV'!MS$8,0)</f>
        <v>0</v>
      </c>
      <c r="MS54" s="5">
        <f>-IFERROR('4. NPV'!#REF!/'4. NPV'!MT$8,0)</f>
        <v>0</v>
      </c>
      <c r="MT54" s="5">
        <f>-IFERROR('4. NPV'!#REF!/'4. NPV'!MU$8,0)</f>
        <v>0</v>
      </c>
      <c r="MU54" s="5">
        <f>-IFERROR('4. NPV'!#REF!/'4. NPV'!MV$8,0)</f>
        <v>0</v>
      </c>
      <c r="MV54" s="5">
        <f>-IFERROR('4. NPV'!#REF!/'4. NPV'!MW$8,0)</f>
        <v>0</v>
      </c>
      <c r="MW54" s="5">
        <f>-IFERROR('4. NPV'!#REF!/'4. NPV'!MX$8,0)</f>
        <v>0</v>
      </c>
      <c r="MX54" s="5">
        <f>-IFERROR('4. NPV'!#REF!/'4. NPV'!MY$8,0)</f>
        <v>0</v>
      </c>
      <c r="MY54" s="5">
        <f>-IFERROR('4. NPV'!#REF!/'4. NPV'!MZ$8,0)</f>
        <v>0</v>
      </c>
      <c r="MZ54" s="5">
        <f>-IFERROR('4. NPV'!#REF!/'4. NPV'!NA$8,0)</f>
        <v>0</v>
      </c>
      <c r="NA54" s="5">
        <f>-IFERROR('4. NPV'!#REF!/'4. NPV'!NB$8,0)</f>
        <v>0</v>
      </c>
      <c r="NB54" s="5">
        <f>-IFERROR('4. NPV'!#REF!/'4. NPV'!NC$8,0)</f>
        <v>0</v>
      </c>
      <c r="NC54" s="5">
        <f>-IFERROR('4. NPV'!#REF!/'4. NPV'!ND$8,0)</f>
        <v>0</v>
      </c>
      <c r="ND54" s="5">
        <f>-IFERROR('4. NPV'!#REF!/'4. NPV'!NE$8,0)</f>
        <v>0</v>
      </c>
      <c r="NE54" s="5">
        <f>-IFERROR('4. NPV'!#REF!/'4. NPV'!NF$8,0)</f>
        <v>0</v>
      </c>
      <c r="NF54" s="5">
        <f>-IFERROR('4. NPV'!#REF!/'4. NPV'!NG$8,0)</f>
        <v>0</v>
      </c>
      <c r="NG54" s="5">
        <f>-IFERROR('4. NPV'!#REF!/'4. NPV'!NH$8,0)</f>
        <v>0</v>
      </c>
      <c r="NH54" s="5">
        <f>-IFERROR('4. NPV'!#REF!/'4. NPV'!NI$8,0)</f>
        <v>0</v>
      </c>
      <c r="NI54" s="5">
        <f>-IFERROR('4. NPV'!#REF!/'4. NPV'!NJ$8,0)</f>
        <v>0</v>
      </c>
      <c r="NJ54" s="5">
        <f>-IFERROR('4. NPV'!#REF!/'4. NPV'!NK$8,0)</f>
        <v>0</v>
      </c>
      <c r="NK54" s="5">
        <f>-IFERROR('4. NPV'!#REF!/'4. NPV'!NL$8,0)</f>
        <v>0</v>
      </c>
      <c r="NL54" s="5">
        <f>-IFERROR('4. NPV'!#REF!/'4. NPV'!NM$8,0)</f>
        <v>0</v>
      </c>
      <c r="NM54" s="5">
        <f>-IFERROR('4. NPV'!#REF!/'4. NPV'!NN$8,0)</f>
        <v>0</v>
      </c>
      <c r="NN54" s="5">
        <f>-IFERROR('4. NPV'!#REF!/'4. NPV'!NO$8,0)</f>
        <v>0</v>
      </c>
      <c r="NO54" s="5">
        <f>-IFERROR('4. NPV'!#REF!/'4. NPV'!NP$8,0)</f>
        <v>0</v>
      </c>
      <c r="NP54" s="5">
        <f>-IFERROR('4. NPV'!#REF!/'4. NPV'!NQ$8,0)</f>
        <v>0</v>
      </c>
      <c r="NQ54" s="5">
        <f>-IFERROR('4. NPV'!#REF!/'4. NPV'!NR$8,0)</f>
        <v>0</v>
      </c>
      <c r="NR54" s="5">
        <f>-IFERROR('4. NPV'!#REF!/'4. NPV'!NS$8,0)</f>
        <v>0</v>
      </c>
      <c r="NS54" s="5">
        <f>-IFERROR('4. NPV'!#REF!/'4. NPV'!NT$8,0)</f>
        <v>0</v>
      </c>
      <c r="NT54" s="5">
        <f>-IFERROR('4. NPV'!#REF!/'4. NPV'!NU$8,0)</f>
        <v>0</v>
      </c>
      <c r="NU54" s="5">
        <f>-IFERROR('4. NPV'!#REF!/'4. NPV'!NV$8,0)</f>
        <v>0</v>
      </c>
      <c r="NV54" s="5">
        <f>-IFERROR('4. NPV'!#REF!/'4. NPV'!NW$8,0)</f>
        <v>0</v>
      </c>
      <c r="NW54" s="5">
        <f>-IFERROR('4. NPV'!#REF!/'4. NPV'!NX$8,0)</f>
        <v>0</v>
      </c>
      <c r="NX54" s="5">
        <f>-IFERROR('4. NPV'!#REF!/'4. NPV'!NY$8,0)</f>
        <v>0</v>
      </c>
      <c r="NY54" s="5">
        <f>-IFERROR('4. NPV'!#REF!/'4. NPV'!NZ$8,0)</f>
        <v>0</v>
      </c>
      <c r="NZ54" s="5">
        <f>-IFERROR('4. NPV'!#REF!/'4. NPV'!OA$8,0)</f>
        <v>0</v>
      </c>
      <c r="OA54" s="5">
        <f>-IFERROR('4. NPV'!#REF!/'4. NPV'!OB$8,0)</f>
        <v>0</v>
      </c>
      <c r="OB54" s="5">
        <f>-IFERROR('4. NPV'!#REF!/'4. NPV'!OC$8,0)</f>
        <v>0</v>
      </c>
      <c r="OC54" s="5">
        <f>-IFERROR('4. NPV'!#REF!/'4. NPV'!OD$8,0)</f>
        <v>0</v>
      </c>
      <c r="OD54" s="5">
        <f>-IFERROR('4. NPV'!#REF!/'4. NPV'!OE$8,0)</f>
        <v>0</v>
      </c>
      <c r="OE54" s="5">
        <f>-IFERROR('4. NPV'!#REF!/'4. NPV'!OF$8,0)</f>
        <v>0</v>
      </c>
      <c r="OF54" s="5">
        <f>-IFERROR('4. NPV'!#REF!/'4. NPV'!OG$8,0)</f>
        <v>0</v>
      </c>
      <c r="OG54" s="5">
        <f>-IFERROR('4. NPV'!#REF!/'4. NPV'!OH$8,0)</f>
        <v>0</v>
      </c>
      <c r="OH54" s="5">
        <f>-IFERROR('4. NPV'!#REF!/'4. NPV'!OI$8,0)</f>
        <v>0</v>
      </c>
      <c r="OI54" s="5">
        <f>-IFERROR('4. NPV'!#REF!/'4. NPV'!OJ$8,0)</f>
        <v>0</v>
      </c>
      <c r="OJ54" s="5">
        <f>-IFERROR('4. NPV'!#REF!/'4. NPV'!OK$8,0)</f>
        <v>0</v>
      </c>
      <c r="OK54" s="5">
        <f>-IFERROR('4. NPV'!#REF!/'4. NPV'!OL$8,0)</f>
        <v>0</v>
      </c>
      <c r="OL54" s="5">
        <f>-IFERROR('4. NPV'!#REF!/'4. NPV'!OM$8,0)</f>
        <v>0</v>
      </c>
      <c r="OM54" s="5">
        <f>-IFERROR('4. NPV'!#REF!/'4. NPV'!ON$8,0)</f>
        <v>0</v>
      </c>
      <c r="ON54" s="5">
        <f>-IFERROR('4. NPV'!#REF!/'4. NPV'!OO$8,0)</f>
        <v>0</v>
      </c>
      <c r="OO54" s="5">
        <f>-IFERROR('4. NPV'!#REF!/'4. NPV'!OP$8,0)</f>
        <v>0</v>
      </c>
      <c r="OP54" s="5">
        <f>-IFERROR('4. NPV'!#REF!/'4. NPV'!OQ$8,0)</f>
        <v>0</v>
      </c>
      <c r="OQ54" s="5">
        <f>-IFERROR('4. NPV'!#REF!/'4. NPV'!OR$8,0)</f>
        <v>0</v>
      </c>
      <c r="OR54" s="5">
        <f>-IFERROR('4. NPV'!#REF!/'4. NPV'!OS$8,0)</f>
        <v>0</v>
      </c>
      <c r="OS54" s="5">
        <f>-IFERROR('4. NPV'!#REF!/'4. NPV'!OT$8,0)</f>
        <v>0</v>
      </c>
      <c r="OT54" s="5">
        <f>-IFERROR('4. NPV'!#REF!/'4. NPV'!OU$8,0)</f>
        <v>0</v>
      </c>
      <c r="OU54" s="5">
        <f>-IFERROR('4. NPV'!#REF!/'4. NPV'!OV$8,0)</f>
        <v>0</v>
      </c>
      <c r="OV54" s="5">
        <f>-IFERROR('4. NPV'!#REF!/'4. NPV'!OW$8,0)</f>
        <v>0</v>
      </c>
      <c r="OW54" s="5">
        <f>-IFERROR('4. NPV'!#REF!/'4. NPV'!OX$8,0)</f>
        <v>0</v>
      </c>
      <c r="OX54" s="5">
        <f>-IFERROR('4. NPV'!#REF!/'4. NPV'!OY$8,0)</f>
        <v>0</v>
      </c>
      <c r="OY54" s="5">
        <f>-IFERROR('4. NPV'!#REF!/'4. NPV'!OZ$8,0)</f>
        <v>0</v>
      </c>
      <c r="OZ54" s="5">
        <f>-IFERROR('4. NPV'!#REF!/'4. NPV'!PA$8,0)</f>
        <v>0</v>
      </c>
      <c r="PA54" s="5">
        <f>-IFERROR('4. NPV'!#REF!/'4. NPV'!PB$8,0)</f>
        <v>0</v>
      </c>
      <c r="PB54" s="5">
        <f>-IFERROR('4. NPV'!#REF!/'4. NPV'!PC$8,0)</f>
        <v>0</v>
      </c>
      <c r="PC54" s="5">
        <f>-IFERROR('4. NPV'!#REF!/'4. NPV'!PD$8,0)</f>
        <v>0</v>
      </c>
      <c r="PD54" s="5">
        <f>-IFERROR('4. NPV'!#REF!/'4. NPV'!PE$8,0)</f>
        <v>0</v>
      </c>
      <c r="PE54" s="5">
        <f>-IFERROR('4. NPV'!#REF!/'4. NPV'!PF$8,0)</f>
        <v>0</v>
      </c>
      <c r="PF54" s="5">
        <f>-IFERROR('4. NPV'!#REF!/'4. NPV'!PG$8,0)</f>
        <v>0</v>
      </c>
      <c r="PG54" s="5">
        <f>-IFERROR('4. NPV'!#REF!/'4. NPV'!PH$8,0)</f>
        <v>0</v>
      </c>
      <c r="PH54" s="5">
        <f>-IFERROR('4. NPV'!#REF!/'4. NPV'!PI$8,0)</f>
        <v>0</v>
      </c>
      <c r="PI54" s="5">
        <f>-IFERROR('4. NPV'!#REF!/'4. NPV'!PJ$8,0)</f>
        <v>0</v>
      </c>
      <c r="PJ54" s="5">
        <f>-IFERROR('4. NPV'!#REF!/'4. NPV'!PK$8,0)</f>
        <v>0</v>
      </c>
      <c r="PK54" s="5">
        <f>-IFERROR('4. NPV'!#REF!/'4. NPV'!PL$8,0)</f>
        <v>0</v>
      </c>
      <c r="PL54" s="5">
        <f>-IFERROR('4. NPV'!#REF!/'4. NPV'!PM$8,0)</f>
        <v>0</v>
      </c>
      <c r="PM54" s="5">
        <f>-IFERROR('4. NPV'!#REF!/'4. NPV'!PN$8,0)</f>
        <v>0</v>
      </c>
      <c r="PN54" s="5">
        <f>-IFERROR('4. NPV'!#REF!/'4. NPV'!PO$8,0)</f>
        <v>0</v>
      </c>
      <c r="PO54" s="5">
        <f>-IFERROR('4. NPV'!#REF!/'4. NPV'!PP$8,0)</f>
        <v>0</v>
      </c>
      <c r="PP54" s="5">
        <f>-IFERROR('4. NPV'!#REF!/'4. NPV'!PQ$8,0)</f>
        <v>0</v>
      </c>
      <c r="PQ54" s="5">
        <f>-IFERROR('4. NPV'!#REF!/'4. NPV'!PR$8,0)</f>
        <v>0</v>
      </c>
      <c r="PR54" s="5">
        <f>-IFERROR('4. NPV'!#REF!/'4. NPV'!PS$8,0)</f>
        <v>0</v>
      </c>
      <c r="PS54" s="5">
        <f>-IFERROR('4. NPV'!#REF!/'4. NPV'!PT$8,0)</f>
        <v>0</v>
      </c>
      <c r="PT54" s="5">
        <f>-IFERROR('4. NPV'!#REF!/'4. NPV'!PU$8,0)</f>
        <v>0</v>
      </c>
      <c r="PU54" s="5">
        <f>-IFERROR('4. NPV'!#REF!/'4. NPV'!PV$8,0)</f>
        <v>0</v>
      </c>
      <c r="PV54" s="5">
        <f>-IFERROR('4. NPV'!#REF!/'4. NPV'!PW$8,0)</f>
        <v>0</v>
      </c>
      <c r="PW54" s="5">
        <f>-IFERROR('4. NPV'!#REF!/'4. NPV'!PX$8,0)</f>
        <v>0</v>
      </c>
      <c r="PX54" s="5">
        <f>-IFERROR('4. NPV'!#REF!/'4. NPV'!PY$8,0)</f>
        <v>0</v>
      </c>
      <c r="PY54" s="5">
        <f>-IFERROR('4. NPV'!#REF!/'4. NPV'!PZ$8,0)</f>
        <v>0</v>
      </c>
      <c r="PZ54" s="5">
        <f>-IFERROR('4. NPV'!#REF!/'4. NPV'!QA$8,0)</f>
        <v>0</v>
      </c>
      <c r="QA54" s="5">
        <f>-IFERROR('4. NPV'!#REF!/'4. NPV'!QB$8,0)</f>
        <v>0</v>
      </c>
      <c r="QB54" s="5">
        <f>-IFERROR('4. NPV'!#REF!/'4. NPV'!QC$8,0)</f>
        <v>0</v>
      </c>
      <c r="QC54" s="5">
        <f>-IFERROR('4. NPV'!#REF!/'4. NPV'!QD$8,0)</f>
        <v>0</v>
      </c>
      <c r="QD54" s="5">
        <f>-IFERROR('4. NPV'!#REF!/'4. NPV'!QE$8,0)</f>
        <v>0</v>
      </c>
      <c r="QE54" s="5">
        <f>-IFERROR('4. NPV'!#REF!/'4. NPV'!QF$8,0)</f>
        <v>0</v>
      </c>
      <c r="QF54" s="5">
        <f>-IFERROR('4. NPV'!#REF!/'4. NPV'!QG$8,0)</f>
        <v>0</v>
      </c>
      <c r="QG54" s="5">
        <f>-IFERROR('4. NPV'!#REF!/'4. NPV'!QH$8,0)</f>
        <v>0</v>
      </c>
      <c r="QH54" s="5">
        <f>-IFERROR('4. NPV'!#REF!/'4. NPV'!QI$8,0)</f>
        <v>0</v>
      </c>
      <c r="QI54" s="5">
        <f>-IFERROR('4. NPV'!#REF!/'4. NPV'!QJ$8,0)</f>
        <v>0</v>
      </c>
      <c r="QJ54" s="5">
        <f>-IFERROR('4. NPV'!#REF!/'4. NPV'!QK$8,0)</f>
        <v>0</v>
      </c>
      <c r="QK54" s="5">
        <f>-IFERROR('4. NPV'!#REF!/'4. NPV'!QL$8,0)</f>
        <v>0</v>
      </c>
      <c r="QL54" s="5">
        <f>-IFERROR('4. NPV'!#REF!/'4. NPV'!QM$8,0)</f>
        <v>0</v>
      </c>
      <c r="QM54" s="5">
        <f>-IFERROR('4. NPV'!#REF!/'4. NPV'!QN$8,0)</f>
        <v>0</v>
      </c>
      <c r="QN54" s="5">
        <f>-IFERROR('4. NPV'!#REF!/'4. NPV'!QO$8,0)</f>
        <v>0</v>
      </c>
      <c r="QO54" s="5">
        <f>-IFERROR('4. NPV'!#REF!/'4. NPV'!QP$8,0)</f>
        <v>0</v>
      </c>
      <c r="QP54" s="5">
        <f>-IFERROR('4. NPV'!#REF!/'4. NPV'!QQ$8,0)</f>
        <v>0</v>
      </c>
      <c r="QQ54" s="5">
        <f>-IFERROR('4. NPV'!#REF!/'4. NPV'!QR$8,0)</f>
        <v>0</v>
      </c>
      <c r="QR54" s="5">
        <f>-IFERROR('4. NPV'!#REF!/'4. NPV'!QS$8,0)</f>
        <v>0</v>
      </c>
      <c r="QS54" s="5">
        <f>-IFERROR('4. NPV'!#REF!/'4. NPV'!QT$8,0)</f>
        <v>0</v>
      </c>
      <c r="QT54" s="5">
        <f>-IFERROR('4. NPV'!#REF!/'4. NPV'!QU$8,0)</f>
        <v>0</v>
      </c>
      <c r="QU54" s="5">
        <f>-IFERROR('4. NPV'!#REF!/'4. NPV'!QV$8,0)</f>
        <v>0</v>
      </c>
      <c r="QV54" s="5">
        <f>-IFERROR('4. NPV'!#REF!/'4. NPV'!QW$8,0)</f>
        <v>0</v>
      </c>
      <c r="QW54" s="5">
        <f>-IFERROR('4. NPV'!#REF!/'4. NPV'!QX$8,0)</f>
        <v>0</v>
      </c>
      <c r="QX54" s="5">
        <f>-IFERROR('4. NPV'!#REF!/'4. NPV'!QY$8,0)</f>
        <v>0</v>
      </c>
      <c r="QY54" s="5">
        <f>-IFERROR('4. NPV'!#REF!/'4. NPV'!QZ$8,0)</f>
        <v>0</v>
      </c>
      <c r="QZ54" s="5">
        <f>-IFERROR('4. NPV'!#REF!/'4. NPV'!RA$8,0)</f>
        <v>0</v>
      </c>
      <c r="RA54" s="5">
        <f>-IFERROR('4. NPV'!#REF!/'4. NPV'!RB$8,0)</f>
        <v>0</v>
      </c>
      <c r="RB54" s="5">
        <f>-IFERROR('4. NPV'!#REF!/'4. NPV'!RC$8,0)</f>
        <v>0</v>
      </c>
      <c r="RC54" s="5">
        <f>-IFERROR('4. NPV'!#REF!/'4. NPV'!RD$8,0)</f>
        <v>0</v>
      </c>
      <c r="RD54" s="5">
        <f>-IFERROR('4. NPV'!#REF!/'4. NPV'!RE$8,0)</f>
        <v>0</v>
      </c>
      <c r="RE54" s="5">
        <f>-IFERROR('4. NPV'!#REF!/'4. NPV'!RF$8,0)</f>
        <v>0</v>
      </c>
      <c r="RF54" s="5">
        <f>-IFERROR('4. NPV'!#REF!/'4. NPV'!RG$8,0)</f>
        <v>0</v>
      </c>
      <c r="RG54" s="5">
        <f>-IFERROR('4. NPV'!#REF!/'4. NPV'!RH$8,0)</f>
        <v>0</v>
      </c>
      <c r="RH54" s="5">
        <f>-IFERROR('4. NPV'!#REF!/'4. NPV'!RI$8,0)</f>
        <v>0</v>
      </c>
      <c r="RI54" s="5">
        <f>-IFERROR('4. NPV'!#REF!/'4. NPV'!RJ$8,0)</f>
        <v>0</v>
      </c>
      <c r="RJ54" s="5">
        <f>-IFERROR('4. NPV'!#REF!/'4. NPV'!RK$8,0)</f>
        <v>0</v>
      </c>
      <c r="RK54" s="5">
        <f>-IFERROR('4. NPV'!#REF!/'4. NPV'!RL$8,0)</f>
        <v>0</v>
      </c>
      <c r="RL54" s="5">
        <f>-IFERROR('4. NPV'!#REF!/'4. NPV'!RM$8,0)</f>
        <v>0</v>
      </c>
      <c r="RM54" s="5">
        <f>-IFERROR('4. NPV'!#REF!/'4. NPV'!RN$8,0)</f>
        <v>0</v>
      </c>
      <c r="RN54" s="5">
        <f>-IFERROR('4. NPV'!#REF!/'4. NPV'!RO$8,0)</f>
        <v>0</v>
      </c>
      <c r="RO54" s="5">
        <f>-IFERROR('4. NPV'!#REF!/'4. NPV'!RP$8,0)</f>
        <v>0</v>
      </c>
      <c r="RP54" s="5">
        <f>-IFERROR('4. NPV'!#REF!/'4. NPV'!RQ$8,0)</f>
        <v>0</v>
      </c>
      <c r="RQ54" s="5">
        <f>-IFERROR('4. NPV'!#REF!/'4. NPV'!RR$8,0)</f>
        <v>0</v>
      </c>
      <c r="RR54" s="5">
        <f>-IFERROR('4. NPV'!#REF!/'4. NPV'!RS$8,0)</f>
        <v>0</v>
      </c>
      <c r="RS54" s="5">
        <f>-IFERROR('4. NPV'!#REF!/'4. NPV'!RT$8,0)</f>
        <v>0</v>
      </c>
      <c r="RT54" s="5">
        <f>-IFERROR('4. NPV'!#REF!/'4. NPV'!RU$8,0)</f>
        <v>0</v>
      </c>
      <c r="RU54" s="5">
        <f>-IFERROR('4. NPV'!#REF!/'4. NPV'!RV$8,0)</f>
        <v>0</v>
      </c>
      <c r="RV54" s="5">
        <f>-IFERROR('4. NPV'!#REF!/'4. NPV'!RW$8,0)</f>
        <v>0</v>
      </c>
      <c r="RW54" s="5">
        <f>-IFERROR('4. NPV'!#REF!/'4. NPV'!RX$8,0)</f>
        <v>0</v>
      </c>
      <c r="RX54" s="5">
        <f>-IFERROR('4. NPV'!#REF!/'4. NPV'!RY$8,0)</f>
        <v>0</v>
      </c>
      <c r="RY54" s="5">
        <f>-IFERROR('4. NPV'!#REF!/'4. NPV'!RZ$8,0)</f>
        <v>0</v>
      </c>
      <c r="RZ54" s="5">
        <f>-IFERROR('4. NPV'!#REF!/'4. NPV'!SA$8,0)</f>
        <v>0</v>
      </c>
      <c r="SA54" s="5">
        <f>-IFERROR('4. NPV'!#REF!/'4. NPV'!SB$8,0)</f>
        <v>0</v>
      </c>
      <c r="SB54" s="5">
        <f>-IFERROR('4. NPV'!#REF!/'4. NPV'!SC$8,0)</f>
        <v>0</v>
      </c>
      <c r="SC54" s="5">
        <f>-IFERROR('4. NPV'!#REF!/'4. NPV'!SD$8,0)</f>
        <v>0</v>
      </c>
      <c r="SD54" s="5">
        <f>-IFERROR('4. NPV'!#REF!/'4. NPV'!SE$8,0)</f>
        <v>0</v>
      </c>
      <c r="SE54" s="5">
        <f>-IFERROR('4. NPV'!#REF!/'4. NPV'!SF$8,0)</f>
        <v>0</v>
      </c>
      <c r="SF54" s="5">
        <f>-IFERROR('4. NPV'!#REF!/'4. NPV'!SG$8,0)</f>
        <v>0</v>
      </c>
      <c r="SG54" s="5">
        <f>-IFERROR('4. NPV'!#REF!/'4. NPV'!SH$8,0)</f>
        <v>0</v>
      </c>
      <c r="SH54" s="5">
        <f>-IFERROR('4. NPV'!#REF!/'4. NPV'!SI$8,0)</f>
        <v>0</v>
      </c>
      <c r="SI54" s="5">
        <f>-IFERROR('4. NPV'!#REF!/'4. NPV'!SJ$8,0)</f>
        <v>0</v>
      </c>
      <c r="SJ54" s="5">
        <f>-IFERROR('4. NPV'!#REF!/'4. NPV'!SK$8,0)</f>
        <v>0</v>
      </c>
      <c r="SK54" s="5">
        <f>-IFERROR('4. NPV'!#REF!/'4. NPV'!SL$8,0)</f>
        <v>0</v>
      </c>
      <c r="SL54" s="5">
        <f>-IFERROR('4. NPV'!#REF!/'4. NPV'!SM$8,0)</f>
        <v>0</v>
      </c>
      <c r="SM54" s="5">
        <f>-IFERROR('4. NPV'!#REF!/'4. NPV'!SN$8,0)</f>
        <v>0</v>
      </c>
      <c r="SN54" s="5">
        <f>-IFERROR('4. NPV'!#REF!/'4. NPV'!SO$8,0)</f>
        <v>0</v>
      </c>
      <c r="SO54" s="5">
        <f>-IFERROR('4. NPV'!#REF!/'4. NPV'!SP$8,0)</f>
        <v>0</v>
      </c>
      <c r="SP54" s="5">
        <f>-IFERROR('4. NPV'!#REF!/'4. NPV'!SQ$8,0)</f>
        <v>0</v>
      </c>
      <c r="SQ54" s="5">
        <f>-IFERROR('4. NPV'!#REF!/'4. NPV'!SR$8,0)</f>
        <v>0</v>
      </c>
      <c r="SR54" s="5">
        <f>-IFERROR('4. NPV'!#REF!/'4. NPV'!SS$8,0)</f>
        <v>0</v>
      </c>
      <c r="SS54" s="5">
        <f>-IFERROR('4. NPV'!#REF!/'4. NPV'!ST$8,0)</f>
        <v>0</v>
      </c>
      <c r="ST54" s="5">
        <f>-IFERROR('4. NPV'!#REF!/'4. NPV'!SU$8,0)</f>
        <v>0</v>
      </c>
      <c r="SU54" s="5">
        <f>-IFERROR('4. NPV'!#REF!/'4. NPV'!SV$8,0)</f>
        <v>0</v>
      </c>
      <c r="SV54" s="5">
        <f>-IFERROR('4. NPV'!#REF!/'4. NPV'!SW$8,0)</f>
        <v>0</v>
      </c>
      <c r="SW54" s="5">
        <f>-IFERROR('4. NPV'!#REF!/'4. NPV'!SX$8,0)</f>
        <v>0</v>
      </c>
      <c r="SX54" s="5">
        <f>-IFERROR('4. NPV'!#REF!/'4. NPV'!SY$8,0)</f>
        <v>0</v>
      </c>
      <c r="SY54" s="5">
        <f>-IFERROR('4. NPV'!#REF!/'4. NPV'!SZ$8,0)</f>
        <v>0</v>
      </c>
      <c r="SZ54" s="5">
        <f>-IFERROR('4. NPV'!#REF!/'4. NPV'!TA$8,0)</f>
        <v>0</v>
      </c>
      <c r="TA54" s="5">
        <f>-IFERROR('4. NPV'!#REF!/'4. NPV'!TB$8,0)</f>
        <v>0</v>
      </c>
      <c r="TB54" s="5">
        <f>-IFERROR('4. NPV'!#REF!/'4. NPV'!TC$8,0)</f>
        <v>0</v>
      </c>
      <c r="TC54" s="5">
        <f>-IFERROR('4. NPV'!#REF!/'4. NPV'!TD$8,0)</f>
        <v>0</v>
      </c>
      <c r="TD54" s="5">
        <f>-IFERROR('4. NPV'!#REF!/'4. NPV'!TE$8,0)</f>
        <v>0</v>
      </c>
      <c r="TE54" s="5">
        <f>-IFERROR('4. NPV'!#REF!/'4. NPV'!TF$8,0)</f>
        <v>0</v>
      </c>
      <c r="TF54" s="5">
        <f>-IFERROR('4. NPV'!#REF!/'4. NPV'!TG$8,0)</f>
        <v>0</v>
      </c>
      <c r="TG54" s="5">
        <f>-IFERROR('4. NPV'!#REF!/'4. NPV'!TH$8,0)</f>
        <v>0</v>
      </c>
      <c r="TH54" s="5">
        <f>-IFERROR('4. NPV'!#REF!/'4. NPV'!TI$8,0)</f>
        <v>0</v>
      </c>
      <c r="TI54" s="5">
        <f>-IFERROR('4. NPV'!#REF!/'4. NPV'!TJ$8,0)</f>
        <v>0</v>
      </c>
      <c r="TJ54" s="5">
        <f>-IFERROR('4. NPV'!#REF!/'4. NPV'!TK$8,0)</f>
        <v>0</v>
      </c>
      <c r="TK54" s="5">
        <f>-IFERROR('4. NPV'!#REF!/'4. NPV'!TL$8,0)</f>
        <v>0</v>
      </c>
      <c r="TL54" s="5">
        <f>-IFERROR('4. NPV'!#REF!/'4. NPV'!TM$8,0)</f>
        <v>0</v>
      </c>
      <c r="TM54" s="5">
        <f>-IFERROR('4. NPV'!#REF!/'4. NPV'!TN$8,0)</f>
        <v>0</v>
      </c>
      <c r="TN54" s="5">
        <f>-IFERROR('4. NPV'!#REF!/'4. NPV'!TO$8,0)</f>
        <v>0</v>
      </c>
      <c r="TO54" s="5">
        <f>-IFERROR('4. NPV'!#REF!/'4. NPV'!TP$8,0)</f>
        <v>0</v>
      </c>
      <c r="TP54" s="5">
        <f>-IFERROR('4. NPV'!#REF!/'4. NPV'!TQ$8,0)</f>
        <v>0</v>
      </c>
      <c r="TQ54" s="5">
        <f>-IFERROR('4. NPV'!#REF!/'4. NPV'!TR$8,0)</f>
        <v>0</v>
      </c>
      <c r="TR54" s="5">
        <f>-IFERROR('4. NPV'!#REF!/'4. NPV'!TS$8,0)</f>
        <v>0</v>
      </c>
      <c r="TS54" s="5">
        <f>-IFERROR('4. NPV'!#REF!/'4. NPV'!TT$8,0)</f>
        <v>0</v>
      </c>
      <c r="TT54" s="5">
        <f>-IFERROR('4. NPV'!#REF!/'4. NPV'!TU$8,0)</f>
        <v>0</v>
      </c>
      <c r="TU54" s="5">
        <f>-IFERROR('4. NPV'!#REF!/'4. NPV'!TV$8,0)</f>
        <v>0</v>
      </c>
      <c r="TV54" s="5">
        <f>-IFERROR('4. NPV'!#REF!/'4. NPV'!TW$8,0)</f>
        <v>0</v>
      </c>
      <c r="TW54" s="5">
        <f>-IFERROR('4. NPV'!#REF!/'4. NPV'!TX$8,0)</f>
        <v>0</v>
      </c>
      <c r="TX54" s="5">
        <f>-IFERROR('4. NPV'!#REF!/'4. NPV'!TY$8,0)</f>
        <v>0</v>
      </c>
      <c r="TY54" s="5">
        <f>-IFERROR('4. NPV'!#REF!/'4. NPV'!TZ$8,0)</f>
        <v>0</v>
      </c>
      <c r="TZ54" s="5">
        <f>-IFERROR('4. NPV'!#REF!/'4. NPV'!UA$8,0)</f>
        <v>0</v>
      </c>
      <c r="UA54" s="5">
        <f>-IFERROR('4. NPV'!#REF!/'4. NPV'!UB$8,0)</f>
        <v>0</v>
      </c>
      <c r="UB54" s="5">
        <f>-IFERROR('4. NPV'!#REF!/'4. NPV'!UC$8,0)</f>
        <v>0</v>
      </c>
      <c r="UC54" s="5">
        <f>-IFERROR('4. NPV'!#REF!/'4. NPV'!UD$8,0)</f>
        <v>0</v>
      </c>
      <c r="UD54" s="5">
        <f>-IFERROR('4. NPV'!#REF!/'4. NPV'!UE$8,0)</f>
        <v>0</v>
      </c>
      <c r="UE54" s="5">
        <f>-IFERROR('4. NPV'!#REF!/'4. NPV'!UF$8,0)</f>
        <v>0</v>
      </c>
      <c r="UF54" s="5">
        <f>-IFERROR('4. NPV'!#REF!/'4. NPV'!UG$8,0)</f>
        <v>0</v>
      </c>
      <c r="UG54" s="5">
        <f>-IFERROR('4. NPV'!#REF!/'4. NPV'!UH$8,0)</f>
        <v>0</v>
      </c>
      <c r="UH54" s="5">
        <f>-IFERROR('4. NPV'!#REF!/'4. NPV'!UI$8,0)</f>
        <v>0</v>
      </c>
      <c r="UI54" s="5">
        <f>-IFERROR('4. NPV'!#REF!/'4. NPV'!UJ$8,0)</f>
        <v>0</v>
      </c>
      <c r="UJ54" s="5">
        <f>-IFERROR('4. NPV'!#REF!/'4. NPV'!UK$8,0)</f>
        <v>0</v>
      </c>
      <c r="UK54" s="5">
        <f>-IFERROR('4. NPV'!#REF!/'4. NPV'!UL$8,0)</f>
        <v>0</v>
      </c>
      <c r="UL54" s="5">
        <f>-IFERROR('4. NPV'!#REF!/'4. NPV'!UM$8,0)</f>
        <v>0</v>
      </c>
      <c r="UM54" s="5">
        <f>-IFERROR('4. NPV'!#REF!/'4. NPV'!UN$8,0)</f>
        <v>0</v>
      </c>
      <c r="UN54" s="5">
        <f>-IFERROR('4. NPV'!#REF!/'4. NPV'!UO$8,0)</f>
        <v>0</v>
      </c>
      <c r="UO54" s="5">
        <f>-IFERROR('4. NPV'!#REF!/'4. NPV'!UP$8,0)</f>
        <v>0</v>
      </c>
      <c r="UP54" s="5">
        <f>-IFERROR('4. NPV'!#REF!/'4. NPV'!UQ$8,0)</f>
        <v>0</v>
      </c>
      <c r="UQ54" s="5">
        <f>-IFERROR('4. NPV'!#REF!/'4. NPV'!UR$8,0)</f>
        <v>0</v>
      </c>
      <c r="UR54" s="5">
        <f>-IFERROR('4. NPV'!#REF!/'4. NPV'!US$8,0)</f>
        <v>0</v>
      </c>
      <c r="US54" s="5">
        <f>-IFERROR('4. NPV'!#REF!/'4. NPV'!UT$8,0)</f>
        <v>0</v>
      </c>
      <c r="UT54" s="5">
        <f>-IFERROR('4. NPV'!#REF!/'4. NPV'!UU$8,0)</f>
        <v>0</v>
      </c>
      <c r="UU54" s="5">
        <f>-IFERROR('4. NPV'!#REF!/'4. NPV'!UV$8,0)</f>
        <v>0</v>
      </c>
      <c r="UV54" s="5">
        <f>-IFERROR('4. NPV'!#REF!/'4. NPV'!UW$8,0)</f>
        <v>0</v>
      </c>
      <c r="UW54" s="5">
        <f>-IFERROR('4. NPV'!#REF!/'4. NPV'!UX$8,0)</f>
        <v>0</v>
      </c>
      <c r="UX54" s="5">
        <f>-IFERROR('4. NPV'!#REF!/'4. NPV'!UY$8,0)</f>
        <v>0</v>
      </c>
      <c r="UY54" s="5">
        <f>-IFERROR('4. NPV'!#REF!/'4. NPV'!UZ$8,0)</f>
        <v>0</v>
      </c>
      <c r="UZ54" s="5">
        <f>-IFERROR('4. NPV'!#REF!/'4. NPV'!VA$8,0)</f>
        <v>0</v>
      </c>
      <c r="VA54" s="5">
        <f>-IFERROR('4. NPV'!#REF!/'4. NPV'!VB$8,0)</f>
        <v>0</v>
      </c>
      <c r="VB54" s="5">
        <f>-IFERROR('4. NPV'!#REF!/'4. NPV'!VC$8,0)</f>
        <v>0</v>
      </c>
      <c r="VC54" s="5">
        <f>-IFERROR('4. NPV'!#REF!/'4. NPV'!VD$8,0)</f>
        <v>0</v>
      </c>
      <c r="VD54" s="5">
        <f>-IFERROR('4. NPV'!#REF!/'4. NPV'!VE$8,0)</f>
        <v>0</v>
      </c>
      <c r="VE54" s="5">
        <f>-IFERROR('4. NPV'!#REF!/'4. NPV'!VF$8,0)</f>
        <v>0</v>
      </c>
      <c r="VF54" s="5">
        <f>-IFERROR('4. NPV'!#REF!/'4. NPV'!VG$8,0)</f>
        <v>0</v>
      </c>
      <c r="VG54" s="5">
        <f>-IFERROR('4. NPV'!#REF!/'4. NPV'!VH$8,0)</f>
        <v>0</v>
      </c>
      <c r="VH54" s="5">
        <f>-IFERROR('4. NPV'!#REF!/'4. NPV'!VI$8,0)</f>
        <v>0</v>
      </c>
      <c r="VI54" s="5">
        <f>-IFERROR('4. NPV'!#REF!/'4. NPV'!VJ$8,0)</f>
        <v>0</v>
      </c>
      <c r="VJ54" s="5">
        <f>-IFERROR('4. NPV'!#REF!/'4. NPV'!VK$8,0)</f>
        <v>0</v>
      </c>
      <c r="VK54" s="5">
        <f>-IFERROR('4. NPV'!#REF!/'4. NPV'!VL$8,0)</f>
        <v>0</v>
      </c>
      <c r="VL54" s="5">
        <f>-IFERROR('4. NPV'!#REF!/'4. NPV'!VM$8,0)</f>
        <v>0</v>
      </c>
      <c r="VM54" s="5">
        <f>-IFERROR('4. NPV'!#REF!/'4. NPV'!VN$8,0)</f>
        <v>0</v>
      </c>
      <c r="VN54" s="5">
        <f>-IFERROR('4. NPV'!#REF!/'4. NPV'!VO$8,0)</f>
        <v>0</v>
      </c>
      <c r="VO54" s="5">
        <f>-IFERROR('4. NPV'!#REF!/'4. NPV'!VP$8,0)</f>
        <v>0</v>
      </c>
      <c r="VP54" s="5">
        <f>-IFERROR('4. NPV'!#REF!/'4. NPV'!VQ$8,0)</f>
        <v>0</v>
      </c>
      <c r="VQ54" s="5">
        <f>-IFERROR('4. NPV'!#REF!/'4. NPV'!VR$8,0)</f>
        <v>0</v>
      </c>
      <c r="VR54" s="5">
        <f>-IFERROR('4. NPV'!#REF!/'4. NPV'!VS$8,0)</f>
        <v>0</v>
      </c>
      <c r="VS54" s="5">
        <f>-IFERROR('4. NPV'!#REF!/'4. NPV'!VT$8,0)</f>
        <v>0</v>
      </c>
      <c r="VT54" s="5">
        <f>-IFERROR('4. NPV'!#REF!/'4. NPV'!VU$8,0)</f>
        <v>0</v>
      </c>
      <c r="VU54" s="5">
        <f>-IFERROR('4. NPV'!#REF!/'4. NPV'!VV$8,0)</f>
        <v>0</v>
      </c>
      <c r="VV54" s="5">
        <f>-IFERROR('4. NPV'!#REF!/'4. NPV'!VW$8,0)</f>
        <v>0</v>
      </c>
      <c r="VW54" s="5">
        <f>-IFERROR('4. NPV'!#REF!/'4. NPV'!VX$8,0)</f>
        <v>0</v>
      </c>
      <c r="VX54" s="5">
        <f>-IFERROR('4. NPV'!#REF!/'4. NPV'!VY$8,0)</f>
        <v>0</v>
      </c>
      <c r="VY54" s="5">
        <f>-IFERROR('4. NPV'!#REF!/'4. NPV'!VZ$8,0)</f>
        <v>0</v>
      </c>
      <c r="VZ54" s="5">
        <f>-IFERROR('4. NPV'!#REF!/'4. NPV'!WA$8,0)</f>
        <v>0</v>
      </c>
      <c r="WA54" s="5">
        <f>-IFERROR('4. NPV'!#REF!/'4. NPV'!WB$8,0)</f>
        <v>0</v>
      </c>
      <c r="WB54" s="5">
        <f>-IFERROR('4. NPV'!#REF!/'4. NPV'!WC$8,0)</f>
        <v>0</v>
      </c>
      <c r="WC54" s="5">
        <f>-IFERROR('4. NPV'!#REF!/'4. NPV'!WD$8,0)</f>
        <v>0</v>
      </c>
      <c r="WD54" s="5">
        <f>-IFERROR('4. NPV'!#REF!/'4. NPV'!WE$8,0)</f>
        <v>0</v>
      </c>
      <c r="WE54" s="5">
        <f>-IFERROR('4. NPV'!#REF!/'4. NPV'!WF$8,0)</f>
        <v>0</v>
      </c>
      <c r="WF54" s="5">
        <f>-IFERROR('4. NPV'!#REF!/'4. NPV'!WG$8,0)</f>
        <v>0</v>
      </c>
      <c r="WG54" s="5">
        <f>-IFERROR('4. NPV'!#REF!/'4. NPV'!WH$8,0)</f>
        <v>0</v>
      </c>
      <c r="WH54" s="5">
        <f>-IFERROR('4. NPV'!#REF!/'4. NPV'!WI$8,0)</f>
        <v>0</v>
      </c>
      <c r="WI54" s="5">
        <f>-IFERROR('4. NPV'!#REF!/'4. NPV'!WJ$8,0)</f>
        <v>0</v>
      </c>
      <c r="WJ54" s="5">
        <f>-IFERROR('4. NPV'!#REF!/'4. NPV'!WK$8,0)</f>
        <v>0</v>
      </c>
      <c r="WK54" s="5">
        <f>-IFERROR('4. NPV'!#REF!/'4. NPV'!WL$8,0)</f>
        <v>0</v>
      </c>
      <c r="WL54" s="5">
        <f>-IFERROR('4. NPV'!#REF!/'4. NPV'!WM$8,0)</f>
        <v>0</v>
      </c>
      <c r="WM54" s="5">
        <f>-IFERROR('4. NPV'!#REF!/'4. NPV'!WN$8,0)</f>
        <v>0</v>
      </c>
      <c r="WN54" s="5">
        <f>-IFERROR('4. NPV'!#REF!/'4. NPV'!WO$8,0)</f>
        <v>0</v>
      </c>
      <c r="WO54" s="5">
        <f>-IFERROR('4. NPV'!#REF!/'4. NPV'!WP$8,0)</f>
        <v>0</v>
      </c>
      <c r="WP54" s="5">
        <f>-IFERROR('4. NPV'!#REF!/'4. NPV'!WQ$8,0)</f>
        <v>0</v>
      </c>
      <c r="WQ54" s="5">
        <f>-IFERROR('4. NPV'!#REF!/'4. NPV'!WR$8,0)</f>
        <v>0</v>
      </c>
      <c r="WR54" s="5">
        <f>-IFERROR('4. NPV'!#REF!/'4. NPV'!WS$8,0)</f>
        <v>0</v>
      </c>
      <c r="WS54" s="5">
        <f>-IFERROR('4. NPV'!#REF!/'4. NPV'!WT$8,0)</f>
        <v>0</v>
      </c>
      <c r="WT54" s="5">
        <f>-IFERROR('4. NPV'!#REF!/'4. NPV'!WU$8,0)</f>
        <v>0</v>
      </c>
      <c r="WU54" s="5">
        <f>-IFERROR('4. NPV'!#REF!/'4. NPV'!WV$8,0)</f>
        <v>0</v>
      </c>
      <c r="WV54" s="5">
        <f>-IFERROR('4. NPV'!#REF!/'4. NPV'!WW$8,0)</f>
        <v>0</v>
      </c>
      <c r="WW54" s="5">
        <f>-IFERROR('4. NPV'!#REF!/'4. NPV'!WX$8,0)</f>
        <v>0</v>
      </c>
      <c r="WX54" s="5">
        <f>-IFERROR('4. NPV'!#REF!/'4. NPV'!WY$8,0)</f>
        <v>0</v>
      </c>
      <c r="WY54" s="5">
        <f>-IFERROR('4. NPV'!#REF!/'4. NPV'!WZ$8,0)</f>
        <v>0</v>
      </c>
      <c r="WZ54" s="5">
        <f>-IFERROR('4. NPV'!#REF!/'4. NPV'!XA$8,0)</f>
        <v>0</v>
      </c>
      <c r="XA54" s="5">
        <f>-IFERROR('4. NPV'!#REF!/'4. NPV'!XB$8,0)</f>
        <v>0</v>
      </c>
      <c r="XB54" s="5">
        <f>-IFERROR('4. NPV'!#REF!/'4. NPV'!XC$8,0)</f>
        <v>0</v>
      </c>
      <c r="XC54" s="5">
        <f>-IFERROR('4. NPV'!#REF!/'4. NPV'!XD$8,0)</f>
        <v>0</v>
      </c>
      <c r="XD54" s="5">
        <f>-IFERROR('4. NPV'!#REF!/'4. NPV'!XE$8,0)</f>
        <v>0</v>
      </c>
      <c r="XE54" s="5">
        <f>-IFERROR('4. NPV'!#REF!/'4. NPV'!XF$8,0)</f>
        <v>0</v>
      </c>
      <c r="XF54" s="5">
        <f>-IFERROR('4. NPV'!#REF!/'4. NPV'!XG$8,0)</f>
        <v>0</v>
      </c>
      <c r="XG54" s="5">
        <f>-IFERROR('4. NPV'!#REF!/'4. NPV'!XH$8,0)</f>
        <v>0</v>
      </c>
      <c r="XH54" s="5">
        <f>-IFERROR('4. NPV'!#REF!/'4. NPV'!XI$8,0)</f>
        <v>0</v>
      </c>
      <c r="XI54" s="5">
        <f>-IFERROR('4. NPV'!#REF!/'4. NPV'!XJ$8,0)</f>
        <v>0</v>
      </c>
      <c r="XJ54" s="5">
        <f>-IFERROR('4. NPV'!#REF!/'4. NPV'!XK$8,0)</f>
        <v>0</v>
      </c>
      <c r="XK54" s="5">
        <f>-IFERROR('4. NPV'!#REF!/'4. NPV'!XL$8,0)</f>
        <v>0</v>
      </c>
      <c r="XL54" s="5">
        <f>-IFERROR('4. NPV'!#REF!/'4. NPV'!XM$8,0)</f>
        <v>0</v>
      </c>
      <c r="XM54" s="5">
        <f>-IFERROR('4. NPV'!#REF!/'4. NPV'!XN$8,0)</f>
        <v>0</v>
      </c>
      <c r="XN54" s="5">
        <f>-IFERROR('4. NPV'!#REF!/'4. NPV'!XO$8,0)</f>
        <v>0</v>
      </c>
      <c r="XO54" s="5">
        <f>-IFERROR('4. NPV'!#REF!/'4. NPV'!XP$8,0)</f>
        <v>0</v>
      </c>
      <c r="XP54" s="5">
        <f>-IFERROR('4. NPV'!#REF!/'4. NPV'!XQ$8,0)</f>
        <v>0</v>
      </c>
      <c r="XQ54" s="5">
        <f>-IFERROR('4. NPV'!#REF!/'4. NPV'!XR$8,0)</f>
        <v>0</v>
      </c>
      <c r="XR54" s="5">
        <f>-IFERROR('4. NPV'!#REF!/'4. NPV'!XS$8,0)</f>
        <v>0</v>
      </c>
      <c r="XS54" s="5">
        <f>-IFERROR('4. NPV'!#REF!/'4. NPV'!XT$8,0)</f>
        <v>0</v>
      </c>
      <c r="XT54" s="5">
        <f>-IFERROR('4. NPV'!#REF!/'4. NPV'!XU$8,0)</f>
        <v>0</v>
      </c>
      <c r="XU54" s="5">
        <f>-IFERROR('4. NPV'!#REF!/'4. NPV'!XV$8,0)</f>
        <v>0</v>
      </c>
      <c r="XV54" s="5">
        <f>-IFERROR('4. NPV'!#REF!/'4. NPV'!XW$8,0)</f>
        <v>0</v>
      </c>
      <c r="XW54" s="5">
        <f>-IFERROR('4. NPV'!#REF!/'4. NPV'!XX$8,0)</f>
        <v>0</v>
      </c>
      <c r="XX54" s="5">
        <f>-IFERROR('4. NPV'!#REF!/'4. NPV'!XY$8,0)</f>
        <v>0</v>
      </c>
      <c r="XY54" s="5">
        <f>-IFERROR('4. NPV'!#REF!/'4. NPV'!XZ$8,0)</f>
        <v>0</v>
      </c>
      <c r="XZ54" s="5">
        <f>-IFERROR('4. NPV'!#REF!/'4. NPV'!YA$8,0)</f>
        <v>0</v>
      </c>
      <c r="YA54" s="5">
        <f>-IFERROR('4. NPV'!#REF!/'4. NPV'!YB$8,0)</f>
        <v>0</v>
      </c>
      <c r="YB54" s="5">
        <f>-IFERROR('4. NPV'!#REF!/'4. NPV'!YC$8,0)</f>
        <v>0</v>
      </c>
      <c r="YC54" s="5">
        <f>-IFERROR('4. NPV'!#REF!/'4. NPV'!YD$8,0)</f>
        <v>0</v>
      </c>
      <c r="YD54" s="5">
        <f>-IFERROR('4. NPV'!#REF!/'4. NPV'!YE$8,0)</f>
        <v>0</v>
      </c>
      <c r="YE54" s="5">
        <f>-IFERROR('4. NPV'!#REF!/'4. NPV'!YF$8,0)</f>
        <v>0</v>
      </c>
      <c r="YF54" s="5">
        <f>-IFERROR('4. NPV'!#REF!/'4. NPV'!YG$8,0)</f>
        <v>0</v>
      </c>
      <c r="YG54" s="5">
        <f>-IFERROR('4. NPV'!#REF!/'4. NPV'!YH$8,0)</f>
        <v>0</v>
      </c>
      <c r="YH54" s="5">
        <f>-IFERROR('4. NPV'!#REF!/'4. NPV'!YI$8,0)</f>
        <v>0</v>
      </c>
      <c r="YI54" s="5">
        <f>-IFERROR('4. NPV'!#REF!/'4. NPV'!YJ$8,0)</f>
        <v>0</v>
      </c>
      <c r="YJ54" s="5">
        <f>-IFERROR('4. NPV'!#REF!/'4. NPV'!YK$8,0)</f>
        <v>0</v>
      </c>
      <c r="YK54" s="5">
        <f>-IFERROR('4. NPV'!#REF!/'4. NPV'!YL$8,0)</f>
        <v>0</v>
      </c>
      <c r="YL54" s="5">
        <f>-IFERROR('4. NPV'!#REF!/'4. NPV'!YM$8,0)</f>
        <v>0</v>
      </c>
      <c r="YM54" s="5">
        <f>-IFERROR('4. NPV'!#REF!/'4. NPV'!YN$8,0)</f>
        <v>0</v>
      </c>
      <c r="YN54" s="5">
        <f>-IFERROR('4. NPV'!#REF!/'4. NPV'!YO$8,0)</f>
        <v>0</v>
      </c>
      <c r="YO54" s="5">
        <f>-IFERROR('4. NPV'!#REF!/'4. NPV'!YP$8,0)</f>
        <v>0</v>
      </c>
      <c r="YP54" s="5">
        <f>-IFERROR('4. NPV'!#REF!/'4. NPV'!YQ$8,0)</f>
        <v>0</v>
      </c>
      <c r="YQ54" s="5">
        <f>-IFERROR('4. NPV'!#REF!/'4. NPV'!YR$8,0)</f>
        <v>0</v>
      </c>
      <c r="YR54" s="5">
        <f>-IFERROR('4. NPV'!#REF!/'4. NPV'!YS$8,0)</f>
        <v>0</v>
      </c>
      <c r="YS54" s="5">
        <f>-IFERROR('4. NPV'!#REF!/'4. NPV'!YT$8,0)</f>
        <v>0</v>
      </c>
      <c r="YT54" s="5">
        <f>-IFERROR('4. NPV'!#REF!/'4. NPV'!YU$8,0)</f>
        <v>0</v>
      </c>
      <c r="YU54" s="5">
        <f>-IFERROR('4. NPV'!#REF!/'4. NPV'!YV$8,0)</f>
        <v>0</v>
      </c>
      <c r="YV54" s="5">
        <f>-IFERROR('4. NPV'!#REF!/'4. NPV'!YW$8,0)</f>
        <v>0</v>
      </c>
      <c r="YW54" s="5">
        <f>-IFERROR('4. NPV'!#REF!/'4. NPV'!YX$8,0)</f>
        <v>0</v>
      </c>
      <c r="YX54" s="5">
        <f>-IFERROR('4. NPV'!#REF!/'4. NPV'!YY$8,0)</f>
        <v>0</v>
      </c>
      <c r="YY54" s="5">
        <f>-IFERROR('4. NPV'!#REF!/'4. NPV'!YZ$8,0)</f>
        <v>0</v>
      </c>
      <c r="YZ54" s="5">
        <f>-IFERROR('4. NPV'!#REF!/'4. NPV'!ZA$8,0)</f>
        <v>0</v>
      </c>
      <c r="ZA54" s="5">
        <f>-IFERROR('4. NPV'!#REF!/'4. NPV'!ZB$8,0)</f>
        <v>0</v>
      </c>
      <c r="ZB54" s="5">
        <f>-IFERROR('4. NPV'!#REF!/'4. NPV'!ZC$8,0)</f>
        <v>0</v>
      </c>
      <c r="ZC54" s="5">
        <f>-IFERROR('4. NPV'!#REF!/'4. NPV'!ZD$8,0)</f>
        <v>0</v>
      </c>
      <c r="ZD54" s="5">
        <f>-IFERROR('4. NPV'!#REF!/'4. NPV'!ZE$8,0)</f>
        <v>0</v>
      </c>
      <c r="ZE54" s="5">
        <f>-IFERROR('4. NPV'!#REF!/'4. NPV'!ZF$8,0)</f>
        <v>0</v>
      </c>
      <c r="ZF54" s="5">
        <f>-IFERROR('4. NPV'!#REF!/'4. NPV'!ZG$8,0)</f>
        <v>0</v>
      </c>
      <c r="ZG54" s="5">
        <f>-IFERROR('4. NPV'!#REF!/'4. NPV'!ZH$8,0)</f>
        <v>0</v>
      </c>
      <c r="ZH54" s="5">
        <f>-IFERROR('4. NPV'!#REF!/'4. NPV'!ZI$8,0)</f>
        <v>0</v>
      </c>
      <c r="ZI54" s="5">
        <f>-IFERROR('4. NPV'!#REF!/'4. NPV'!ZJ$8,0)</f>
        <v>0</v>
      </c>
      <c r="ZJ54" s="5">
        <f>-IFERROR('4. NPV'!#REF!/'4. NPV'!ZK$8,0)</f>
        <v>0</v>
      </c>
      <c r="ZK54" s="5">
        <f>-IFERROR('4. NPV'!#REF!/'4. NPV'!ZL$8,0)</f>
        <v>0</v>
      </c>
      <c r="ZL54" s="5">
        <f>-IFERROR('4. NPV'!#REF!/'4. NPV'!ZM$8,0)</f>
        <v>0</v>
      </c>
      <c r="ZM54" s="5">
        <f>-IFERROR('4. NPV'!#REF!/'4. NPV'!ZN$8,0)</f>
        <v>0</v>
      </c>
      <c r="ZN54" s="5">
        <f>-IFERROR('4. NPV'!#REF!/'4. NPV'!ZO$8,0)</f>
        <v>0</v>
      </c>
      <c r="ZO54" s="5">
        <f>-IFERROR('4. NPV'!#REF!/'4. NPV'!ZP$8,0)</f>
        <v>0</v>
      </c>
      <c r="ZP54" s="5">
        <f>-IFERROR('4. NPV'!#REF!/'4. NPV'!ZQ$8,0)</f>
        <v>0</v>
      </c>
      <c r="ZQ54" s="5">
        <f>-IFERROR('4. NPV'!#REF!/'4. NPV'!ZR$8,0)</f>
        <v>0</v>
      </c>
      <c r="ZR54" s="5">
        <f>-IFERROR('4. NPV'!#REF!/'4. NPV'!ZS$8,0)</f>
        <v>0</v>
      </c>
      <c r="ZS54" s="5">
        <f>-IFERROR('4. NPV'!#REF!/'4. NPV'!ZT$8,0)</f>
        <v>0</v>
      </c>
      <c r="ZT54" s="5">
        <f>-IFERROR('4. NPV'!#REF!/'4. NPV'!ZU$8,0)</f>
        <v>0</v>
      </c>
      <c r="ZU54" s="5">
        <f>-IFERROR('4. NPV'!#REF!/'4. NPV'!ZV$8,0)</f>
        <v>0</v>
      </c>
      <c r="ZV54" s="5">
        <f>-IFERROR('4. NPV'!#REF!/'4. NPV'!ZW$8,0)</f>
        <v>0</v>
      </c>
      <c r="ZW54" s="5">
        <f>-IFERROR('4. NPV'!#REF!/'4. NPV'!ZX$8,0)</f>
        <v>0</v>
      </c>
      <c r="ZX54" s="5">
        <f>-IFERROR('4. NPV'!#REF!/'4. NPV'!ZY$8,0)</f>
        <v>0</v>
      </c>
      <c r="ZY54" s="5">
        <f>-IFERROR('4. NPV'!#REF!/'4. NPV'!ZZ$8,0)</f>
        <v>0</v>
      </c>
      <c r="ZZ54" s="5">
        <f>-IFERROR('4. NPV'!#REF!/'4. NPV'!AAA$8,0)</f>
        <v>0</v>
      </c>
      <c r="AAA54" s="5">
        <f>-IFERROR('4. NPV'!#REF!/'4. NPV'!AAB$8,0)</f>
        <v>0</v>
      </c>
      <c r="AAB54" s="5">
        <f>-IFERROR('4. NPV'!#REF!/'4. NPV'!AAC$8,0)</f>
        <v>0</v>
      </c>
      <c r="AAC54" s="5">
        <f>-IFERROR('4. NPV'!#REF!/'4. NPV'!AAD$8,0)</f>
        <v>0</v>
      </c>
      <c r="AAD54" s="5">
        <f>-IFERROR('4. NPV'!#REF!/'4. NPV'!AAE$8,0)</f>
        <v>0</v>
      </c>
      <c r="AAE54" s="5">
        <f>-IFERROR('4. NPV'!#REF!/'4. NPV'!AAF$8,0)</f>
        <v>0</v>
      </c>
      <c r="AAF54" s="5">
        <f>-IFERROR('4. NPV'!#REF!/'4. NPV'!AAG$8,0)</f>
        <v>0</v>
      </c>
      <c r="AAG54" s="5">
        <f>-IFERROR('4. NPV'!#REF!/'4. NPV'!AAH$8,0)</f>
        <v>0</v>
      </c>
      <c r="AAH54" s="5">
        <f>-IFERROR('4. NPV'!#REF!/'4. NPV'!AAI$8,0)</f>
        <v>0</v>
      </c>
      <c r="AAI54" s="5">
        <f>-IFERROR('4. NPV'!#REF!/'4. NPV'!AAJ$8,0)</f>
        <v>0</v>
      </c>
      <c r="AAJ54" s="5">
        <f>-IFERROR('4. NPV'!#REF!/'4. NPV'!AAK$8,0)</f>
        <v>0</v>
      </c>
      <c r="AAK54" s="5">
        <f>-IFERROR('4. NPV'!#REF!/'4. NPV'!AAL$8,0)</f>
        <v>0</v>
      </c>
      <c r="AAL54" s="5">
        <f>-IFERROR('4. NPV'!#REF!/'4. NPV'!AAM$8,0)</f>
        <v>0</v>
      </c>
      <c r="AAM54" s="5">
        <f>-IFERROR('4. NPV'!#REF!/'4. NPV'!AAN$8,0)</f>
        <v>0</v>
      </c>
      <c r="AAN54" s="5">
        <f>-IFERROR('4. NPV'!#REF!/'4. NPV'!AAO$8,0)</f>
        <v>0</v>
      </c>
      <c r="AAO54" s="5">
        <f>-IFERROR('4. NPV'!#REF!/'4. NPV'!AAP$8,0)</f>
        <v>0</v>
      </c>
      <c r="AAP54" s="5">
        <f>-IFERROR('4. NPV'!#REF!/'4. NPV'!AAQ$8,0)</f>
        <v>0</v>
      </c>
      <c r="AAQ54" s="5">
        <f>-IFERROR('4. NPV'!#REF!/'4. NPV'!AAR$8,0)</f>
        <v>0</v>
      </c>
      <c r="AAR54" s="5">
        <f>-IFERROR('4. NPV'!#REF!/'4. NPV'!AAS$8,0)</f>
        <v>0</v>
      </c>
      <c r="AAS54" s="5">
        <f>-IFERROR('4. NPV'!#REF!/'4. NPV'!AAT$8,0)</f>
        <v>0</v>
      </c>
      <c r="AAT54" s="5">
        <f>-IFERROR('4. NPV'!#REF!/'4. NPV'!AAU$8,0)</f>
        <v>0</v>
      </c>
      <c r="AAU54" s="5">
        <f>-IFERROR('4. NPV'!#REF!/'4. NPV'!AAV$8,0)</f>
        <v>0</v>
      </c>
      <c r="AAV54" s="5">
        <f>-IFERROR('4. NPV'!#REF!/'4. NPV'!AAW$8,0)</f>
        <v>0</v>
      </c>
      <c r="AAW54" s="5">
        <f>-IFERROR('4. NPV'!#REF!/'4. NPV'!AAX$8,0)</f>
        <v>0</v>
      </c>
      <c r="AAX54" s="5">
        <f>-IFERROR('4. NPV'!#REF!/'4. NPV'!AAY$8,0)</f>
        <v>0</v>
      </c>
      <c r="AAY54" s="5">
        <f>-IFERROR('4. NPV'!#REF!/'4. NPV'!AAZ$8,0)</f>
        <v>0</v>
      </c>
      <c r="AAZ54" s="5">
        <f>-IFERROR('4. NPV'!#REF!/'4. NPV'!ABA$8,0)</f>
        <v>0</v>
      </c>
      <c r="ABA54" s="5">
        <f>-IFERROR('4. NPV'!#REF!/'4. NPV'!ABB$8,0)</f>
        <v>0</v>
      </c>
      <c r="ABB54" s="5">
        <f>-IFERROR('4. NPV'!#REF!/'4. NPV'!ABC$8,0)</f>
        <v>0</v>
      </c>
      <c r="ABC54" s="5">
        <f>-IFERROR('4. NPV'!#REF!/'4. NPV'!ABD$8,0)</f>
        <v>0</v>
      </c>
      <c r="ABD54" s="5">
        <f>-IFERROR('4. NPV'!#REF!/'4. NPV'!ABE$8,0)</f>
        <v>0</v>
      </c>
      <c r="ABE54" s="5">
        <f>-IFERROR('4. NPV'!#REF!/'4. NPV'!ABF$8,0)</f>
        <v>0</v>
      </c>
      <c r="ABF54" s="5">
        <f>-IFERROR('4. NPV'!#REF!/'4. NPV'!ABG$8,0)</f>
        <v>0</v>
      </c>
      <c r="ABG54" s="5">
        <f>-IFERROR('4. NPV'!#REF!/'4. NPV'!ABH$8,0)</f>
        <v>0</v>
      </c>
      <c r="ABH54" s="5">
        <f>-IFERROR('4. NPV'!#REF!/'4. NPV'!ABI$8,0)</f>
        <v>0</v>
      </c>
      <c r="ABI54" s="5">
        <f>-IFERROR('4. NPV'!#REF!/'4. NPV'!ABJ$8,0)</f>
        <v>0</v>
      </c>
      <c r="ABJ54" s="5">
        <f>-IFERROR('4. NPV'!#REF!/'4. NPV'!ABK$8,0)</f>
        <v>0</v>
      </c>
      <c r="ABK54" s="5">
        <f>-IFERROR('4. NPV'!#REF!/'4. NPV'!ABL$8,0)</f>
        <v>0</v>
      </c>
      <c r="ABL54" s="5">
        <f>-IFERROR('4. NPV'!#REF!/'4. NPV'!ABM$8,0)</f>
        <v>0</v>
      </c>
      <c r="ABM54" s="5">
        <f>-IFERROR('4. NPV'!#REF!/'4. NPV'!ABN$8,0)</f>
        <v>0</v>
      </c>
      <c r="ABN54" s="5">
        <f>-IFERROR('4. NPV'!#REF!/'4. NPV'!ABO$8,0)</f>
        <v>0</v>
      </c>
      <c r="ABO54" s="5">
        <f>-IFERROR('4. NPV'!#REF!/'4. NPV'!ABP$8,0)</f>
        <v>0</v>
      </c>
      <c r="ABP54" s="5">
        <f>-IFERROR('4. NPV'!#REF!/'4. NPV'!ABQ$8,0)</f>
        <v>0</v>
      </c>
      <c r="ABQ54" s="5">
        <f>-IFERROR('4. NPV'!#REF!/'4. NPV'!ABR$8,0)</f>
        <v>0</v>
      </c>
      <c r="ABR54" s="5">
        <f>-IFERROR('4. NPV'!#REF!/'4. NPV'!ABS$8,0)</f>
        <v>0</v>
      </c>
      <c r="ABS54" s="5">
        <f>-IFERROR('4. NPV'!#REF!/'4. NPV'!ABT$8,0)</f>
        <v>0</v>
      </c>
      <c r="ABT54" s="5">
        <f>-IFERROR('4. NPV'!#REF!/'4. NPV'!ABU$8,0)</f>
        <v>0</v>
      </c>
      <c r="ABU54" s="5">
        <f>-IFERROR('4. NPV'!#REF!/'4. NPV'!ABV$8,0)</f>
        <v>0</v>
      </c>
      <c r="ABV54" s="5">
        <f>-IFERROR('4. NPV'!#REF!/'4. NPV'!ABW$8,0)</f>
        <v>0</v>
      </c>
      <c r="ABW54" s="5">
        <f>-IFERROR('4. NPV'!#REF!/'4. NPV'!ABX$8,0)</f>
        <v>0</v>
      </c>
      <c r="ABX54" s="5">
        <f>-IFERROR('4. NPV'!#REF!/'4. NPV'!ABY$8,0)</f>
        <v>0</v>
      </c>
      <c r="ABY54" s="5">
        <f>-IFERROR('4. NPV'!#REF!/'4. NPV'!ABZ$8,0)</f>
        <v>0</v>
      </c>
      <c r="ABZ54" s="5">
        <f>-IFERROR('4. NPV'!#REF!/'4. NPV'!ACA$8,0)</f>
        <v>0</v>
      </c>
      <c r="ACA54" s="5">
        <f>-IFERROR('4. NPV'!#REF!/'4. NPV'!ACB$8,0)</f>
        <v>0</v>
      </c>
      <c r="ACB54" s="5">
        <f>-IFERROR('4. NPV'!#REF!/'4. NPV'!ACC$8,0)</f>
        <v>0</v>
      </c>
      <c r="ACC54" s="5">
        <f>-IFERROR('4. NPV'!#REF!/'4. NPV'!ACD$8,0)</f>
        <v>0</v>
      </c>
      <c r="ACD54" s="5">
        <f>-IFERROR('4. NPV'!#REF!/'4. NPV'!ACE$8,0)</f>
        <v>0</v>
      </c>
      <c r="ACE54" s="5">
        <f>-IFERROR('4. NPV'!#REF!/'4. NPV'!ACF$8,0)</f>
        <v>0</v>
      </c>
      <c r="ACF54" s="5">
        <f>-IFERROR('4. NPV'!#REF!/'4. NPV'!ACG$8,0)</f>
        <v>0</v>
      </c>
      <c r="ACG54" s="5">
        <f>-IFERROR('4. NPV'!#REF!/'4. NPV'!ACH$8,0)</f>
        <v>0</v>
      </c>
      <c r="ACH54" s="5">
        <f>-IFERROR('4. NPV'!#REF!/'4. NPV'!ACI$8,0)</f>
        <v>0</v>
      </c>
      <c r="ACI54" s="5">
        <f>-IFERROR('4. NPV'!#REF!/'4. NPV'!ACJ$8,0)</f>
        <v>0</v>
      </c>
      <c r="ACJ54" s="5">
        <f>-IFERROR('4. NPV'!#REF!/'4. NPV'!ACK$8,0)</f>
        <v>0</v>
      </c>
      <c r="ACK54" s="5">
        <f>-IFERROR('4. NPV'!#REF!/'4. NPV'!ACL$8,0)</f>
        <v>0</v>
      </c>
      <c r="ACL54" s="5">
        <f>-IFERROR('4. NPV'!#REF!/'4. NPV'!ACM$8,0)</f>
        <v>0</v>
      </c>
      <c r="ACM54" s="5">
        <f>-IFERROR('4. NPV'!#REF!/'4. NPV'!ACN$8,0)</f>
        <v>0</v>
      </c>
      <c r="ACN54" s="5">
        <f>-IFERROR('4. NPV'!#REF!/'4. NPV'!ACO$8,0)</f>
        <v>0</v>
      </c>
      <c r="ACO54" s="5">
        <f>-IFERROR('4. NPV'!#REF!/'4. NPV'!ACP$8,0)</f>
        <v>0</v>
      </c>
      <c r="ACP54" s="5">
        <f>-IFERROR('4. NPV'!#REF!/'4. NPV'!ACQ$8,0)</f>
        <v>0</v>
      </c>
      <c r="ACQ54" s="5">
        <f>-IFERROR('4. NPV'!#REF!/'4. NPV'!ACR$8,0)</f>
        <v>0</v>
      </c>
      <c r="ACR54" s="5">
        <f>-IFERROR('4. NPV'!#REF!/'4. NPV'!ACS$8,0)</f>
        <v>0</v>
      </c>
      <c r="ACS54" s="5">
        <f>-IFERROR('4. NPV'!#REF!/'4. NPV'!ACT$8,0)</f>
        <v>0</v>
      </c>
      <c r="ACT54" s="5">
        <f>-IFERROR('4. NPV'!#REF!/'4. NPV'!ACU$8,0)</f>
        <v>0</v>
      </c>
      <c r="ACU54" s="5">
        <f>-IFERROR('4. NPV'!#REF!/'4. NPV'!ACV$8,0)</f>
        <v>0</v>
      </c>
      <c r="ACV54" s="5">
        <f>-IFERROR('4. NPV'!#REF!/'4. NPV'!ACW$8,0)</f>
        <v>0</v>
      </c>
      <c r="ACW54" s="5">
        <f>-IFERROR('4. NPV'!#REF!/'4. NPV'!ACX$8,0)</f>
        <v>0</v>
      </c>
      <c r="ACX54" s="5">
        <f>-IFERROR('4. NPV'!#REF!/'4. NPV'!ACY$8,0)</f>
        <v>0</v>
      </c>
      <c r="ACY54" s="5">
        <f>-IFERROR('4. NPV'!#REF!/'4. NPV'!ACZ$8,0)</f>
        <v>0</v>
      </c>
      <c r="ACZ54" s="5">
        <f>-IFERROR('4. NPV'!#REF!/'4. NPV'!ADA$8,0)</f>
        <v>0</v>
      </c>
      <c r="ADA54" s="5">
        <f>-IFERROR('4. NPV'!#REF!/'4. NPV'!ADB$8,0)</f>
        <v>0</v>
      </c>
      <c r="ADB54" s="5">
        <f>-IFERROR('4. NPV'!#REF!/'4. NPV'!ADC$8,0)</f>
        <v>0</v>
      </c>
      <c r="ADC54" s="5">
        <f>-IFERROR('4. NPV'!#REF!/'4. NPV'!ADD$8,0)</f>
        <v>0</v>
      </c>
      <c r="ADD54" s="5">
        <f>-IFERROR('4. NPV'!#REF!/'4. NPV'!ADE$8,0)</f>
        <v>0</v>
      </c>
      <c r="ADE54" s="5">
        <f>-IFERROR('4. NPV'!#REF!/'4. NPV'!ADF$8,0)</f>
        <v>0</v>
      </c>
      <c r="ADF54" s="5">
        <f>-IFERROR('4. NPV'!#REF!/'4. NPV'!ADG$8,0)</f>
        <v>0</v>
      </c>
      <c r="ADG54" s="5">
        <f>-IFERROR('4. NPV'!#REF!/'4. NPV'!ADH$8,0)</f>
        <v>0</v>
      </c>
      <c r="ADH54" s="5">
        <f>-IFERROR('4. NPV'!#REF!/'4. NPV'!ADI$8,0)</f>
        <v>0</v>
      </c>
      <c r="ADI54" s="5">
        <f>-IFERROR('4. NPV'!#REF!/'4. NPV'!ADJ$8,0)</f>
        <v>0</v>
      </c>
      <c r="ADJ54" s="5">
        <f>-IFERROR('4. NPV'!#REF!/'4. NPV'!ADK$8,0)</f>
        <v>0</v>
      </c>
      <c r="ADK54" s="5">
        <f>-IFERROR('4. NPV'!#REF!/'4. NPV'!ADL$8,0)</f>
        <v>0</v>
      </c>
      <c r="ADL54" s="5">
        <f>-IFERROR('4. NPV'!#REF!/'4. NPV'!ADM$8,0)</f>
        <v>0</v>
      </c>
      <c r="ADM54" s="5">
        <f>-IFERROR('4. NPV'!#REF!/'4. NPV'!ADN$8,0)</f>
        <v>0</v>
      </c>
      <c r="ADN54" s="5">
        <f>-IFERROR('4. NPV'!#REF!/'4. NPV'!ADO$8,0)</f>
        <v>0</v>
      </c>
      <c r="ADO54" s="5">
        <f>-IFERROR('4. NPV'!#REF!/'4. NPV'!ADP$8,0)</f>
        <v>0</v>
      </c>
      <c r="ADP54" s="5">
        <f>-IFERROR('4. NPV'!#REF!/'4. NPV'!ADQ$8,0)</f>
        <v>0</v>
      </c>
      <c r="ADQ54" s="5">
        <f>-IFERROR('4. NPV'!#REF!/'4. NPV'!ADR$8,0)</f>
        <v>0</v>
      </c>
      <c r="ADR54" s="5">
        <f>-IFERROR('4. NPV'!#REF!/'4. NPV'!ADS$8,0)</f>
        <v>0</v>
      </c>
      <c r="ADS54" s="5">
        <f>-IFERROR('4. NPV'!#REF!/'4. NPV'!ADT$8,0)</f>
        <v>0</v>
      </c>
      <c r="ADT54" s="5">
        <f>-IFERROR('4. NPV'!#REF!/'4. NPV'!ADU$8,0)</f>
        <v>0</v>
      </c>
      <c r="ADU54" s="5">
        <f>-IFERROR('4. NPV'!#REF!/'4. NPV'!ADV$8,0)</f>
        <v>0</v>
      </c>
      <c r="ADV54" s="5">
        <f>-IFERROR('4. NPV'!#REF!/'4. NPV'!ADW$8,0)</f>
        <v>0</v>
      </c>
      <c r="ADW54" s="5">
        <f>-IFERROR('4. NPV'!#REF!/'4. NPV'!ADX$8,0)</f>
        <v>0</v>
      </c>
      <c r="ADX54" s="5">
        <f>-IFERROR('4. NPV'!#REF!/'4. NPV'!ADY$8,0)</f>
        <v>0</v>
      </c>
      <c r="ADY54" s="5">
        <f>-IFERROR('4. NPV'!#REF!/'4. NPV'!ADZ$8,0)</f>
        <v>0</v>
      </c>
      <c r="ADZ54" s="5">
        <f>-IFERROR('4. NPV'!#REF!/'4. NPV'!AEA$8,0)</f>
        <v>0</v>
      </c>
      <c r="AEA54" s="5">
        <f>-IFERROR('4. NPV'!#REF!/'4. NPV'!AEB$8,0)</f>
        <v>0</v>
      </c>
      <c r="AEB54" s="5">
        <f>-IFERROR('4. NPV'!#REF!/'4. NPV'!AEC$8,0)</f>
        <v>0</v>
      </c>
      <c r="AEC54" s="5">
        <f>-IFERROR('4. NPV'!#REF!/'4. NPV'!AED$8,0)</f>
        <v>0</v>
      </c>
      <c r="AED54" s="5">
        <f>-IFERROR('4. NPV'!#REF!/'4. NPV'!AEE$8,0)</f>
        <v>0</v>
      </c>
      <c r="AEE54" s="5">
        <f>-IFERROR('4. NPV'!#REF!/'4. NPV'!AEF$8,0)</f>
        <v>0</v>
      </c>
      <c r="AEF54" s="5">
        <f>-IFERROR('4. NPV'!#REF!/'4. NPV'!AEG$8,0)</f>
        <v>0</v>
      </c>
      <c r="AEG54" s="5">
        <f>-IFERROR('4. NPV'!#REF!/'4. NPV'!AEH$8,0)</f>
        <v>0</v>
      </c>
      <c r="AEH54" s="5">
        <f>-IFERROR('4. NPV'!#REF!/'4. NPV'!AEI$8,0)</f>
        <v>0</v>
      </c>
      <c r="AEI54" s="5">
        <f>-IFERROR('4. NPV'!#REF!/'4. NPV'!AEJ$8,0)</f>
        <v>0</v>
      </c>
      <c r="AEJ54" s="5">
        <f>-IFERROR('4. NPV'!#REF!/'4. NPV'!AEK$8,0)</f>
        <v>0</v>
      </c>
      <c r="AEK54" s="5">
        <f>-IFERROR('4. NPV'!#REF!/'4. NPV'!AEL$8,0)</f>
        <v>0</v>
      </c>
      <c r="AEL54" s="5">
        <f>-IFERROR('4. NPV'!#REF!/'4. NPV'!AEM$8,0)</f>
        <v>0</v>
      </c>
      <c r="AEM54" s="5">
        <f>-IFERROR('4. NPV'!#REF!/'4. NPV'!AEN$8,0)</f>
        <v>0</v>
      </c>
      <c r="AEN54" s="5">
        <f>-IFERROR('4. NPV'!#REF!/'4. NPV'!AEO$8,0)</f>
        <v>0</v>
      </c>
      <c r="AEO54" s="5">
        <f>-IFERROR('4. NPV'!#REF!/'4. NPV'!AEP$8,0)</f>
        <v>0</v>
      </c>
      <c r="AEP54" s="5">
        <f>-IFERROR('4. NPV'!#REF!/'4. NPV'!AEQ$8,0)</f>
        <v>0</v>
      </c>
      <c r="AEQ54" s="5">
        <f>-IFERROR('4. NPV'!#REF!/'4. NPV'!AER$8,0)</f>
        <v>0</v>
      </c>
      <c r="AER54" s="5">
        <f>-IFERROR('4. NPV'!#REF!/'4. NPV'!AES$8,0)</f>
        <v>0</v>
      </c>
      <c r="AES54" s="5">
        <f>-IFERROR('4. NPV'!#REF!/'4. NPV'!AET$8,0)</f>
        <v>0</v>
      </c>
      <c r="AET54" s="5">
        <f>-IFERROR('4. NPV'!#REF!/'4. NPV'!AEU$8,0)</f>
        <v>0</v>
      </c>
      <c r="AEU54" s="5">
        <f>-IFERROR('4. NPV'!#REF!/'4. NPV'!AEV$8,0)</f>
        <v>0</v>
      </c>
      <c r="AEV54" s="5">
        <f>-IFERROR('4. NPV'!#REF!/'4. NPV'!AEW$8,0)</f>
        <v>0</v>
      </c>
      <c r="AEW54" s="5">
        <f>-IFERROR('4. NPV'!#REF!/'4. NPV'!AEX$8,0)</f>
        <v>0</v>
      </c>
      <c r="AEX54" s="5">
        <f>-IFERROR('4. NPV'!#REF!/'4. NPV'!AEY$8,0)</f>
        <v>0</v>
      </c>
      <c r="AEY54" s="5">
        <f>-IFERROR('4. NPV'!#REF!/'4. NPV'!AEZ$8,0)</f>
        <v>0</v>
      </c>
      <c r="AEZ54" s="5">
        <f>-IFERROR('4. NPV'!#REF!/'4. NPV'!AFA$8,0)</f>
        <v>0</v>
      </c>
      <c r="AFA54" s="5">
        <f>-IFERROR('4. NPV'!#REF!/'4. NPV'!AFB$8,0)</f>
        <v>0</v>
      </c>
      <c r="AFB54" s="5">
        <f>-IFERROR('4. NPV'!#REF!/'4. NPV'!AFC$8,0)</f>
        <v>0</v>
      </c>
      <c r="AFC54" s="5">
        <f>-IFERROR('4. NPV'!#REF!/'4. NPV'!AFD$8,0)</f>
        <v>0</v>
      </c>
      <c r="AFD54" s="5">
        <f>-IFERROR('4. NPV'!#REF!/'4. NPV'!AFE$8,0)</f>
        <v>0</v>
      </c>
      <c r="AFE54" s="5">
        <f>-IFERROR('4. NPV'!#REF!/'4. NPV'!AFF$8,0)</f>
        <v>0</v>
      </c>
      <c r="AFF54" s="5">
        <f>-IFERROR('4. NPV'!#REF!/'4. NPV'!AFG$8,0)</f>
        <v>0</v>
      </c>
      <c r="AFG54" s="5">
        <f>-IFERROR('4. NPV'!#REF!/'4. NPV'!AFH$8,0)</f>
        <v>0</v>
      </c>
      <c r="AFH54" s="5">
        <f>-IFERROR('4. NPV'!#REF!/'4. NPV'!AFI$8,0)</f>
        <v>0</v>
      </c>
      <c r="AFI54" s="5">
        <f>-IFERROR('4. NPV'!#REF!/'4. NPV'!AFJ$8,0)</f>
        <v>0</v>
      </c>
      <c r="AFJ54" s="5">
        <f>-IFERROR('4. NPV'!#REF!/'4. NPV'!AFK$8,0)</f>
        <v>0</v>
      </c>
      <c r="AFK54" s="5">
        <f>-IFERROR('4. NPV'!#REF!/'4. NPV'!AFL$8,0)</f>
        <v>0</v>
      </c>
      <c r="AFL54" s="5">
        <f>-IFERROR('4. NPV'!#REF!/'4. NPV'!AFM$8,0)</f>
        <v>0</v>
      </c>
      <c r="AFM54" s="5">
        <f>-IFERROR('4. NPV'!#REF!/'4. NPV'!AFN$8,0)</f>
        <v>0</v>
      </c>
      <c r="AFN54" s="5">
        <f>-IFERROR('4. NPV'!#REF!/'4. NPV'!AFO$8,0)</f>
        <v>0</v>
      </c>
      <c r="AFO54" s="5">
        <f>-IFERROR('4. NPV'!#REF!/'4. NPV'!AFP$8,0)</f>
        <v>0</v>
      </c>
      <c r="AFP54" s="5">
        <f>-IFERROR('4. NPV'!#REF!/'4. NPV'!AFQ$8,0)</f>
        <v>0</v>
      </c>
      <c r="AFQ54" s="5">
        <f>-IFERROR('4. NPV'!#REF!/'4. NPV'!AFR$8,0)</f>
        <v>0</v>
      </c>
      <c r="AFR54" s="5">
        <f>-IFERROR('4. NPV'!#REF!/'4. NPV'!AFS$8,0)</f>
        <v>0</v>
      </c>
      <c r="AFS54" s="5">
        <f>-IFERROR('4. NPV'!#REF!/'4. NPV'!AFT$8,0)</f>
        <v>0</v>
      </c>
      <c r="AFT54" s="5">
        <f>-IFERROR('4. NPV'!#REF!/'4. NPV'!AFU$8,0)</f>
        <v>0</v>
      </c>
      <c r="AFU54" s="5">
        <f>-IFERROR('4. NPV'!#REF!/'4. NPV'!AFV$8,0)</f>
        <v>0</v>
      </c>
      <c r="AFV54" s="5">
        <f>-IFERROR('4. NPV'!#REF!/'4. NPV'!AFW$8,0)</f>
        <v>0</v>
      </c>
      <c r="AFW54" s="5">
        <f>-IFERROR('4. NPV'!#REF!/'4. NPV'!AFX$8,0)</f>
        <v>0</v>
      </c>
      <c r="AFX54" s="5">
        <f>-IFERROR('4. NPV'!#REF!/'4. NPV'!AFY$8,0)</f>
        <v>0</v>
      </c>
      <c r="AFY54" s="5">
        <f>-IFERROR('4. NPV'!#REF!/'4. NPV'!AFZ$8,0)</f>
        <v>0</v>
      </c>
      <c r="AFZ54" s="5">
        <f>-IFERROR('4. NPV'!#REF!/'4. NPV'!AGA$8,0)</f>
        <v>0</v>
      </c>
      <c r="AGA54" s="5">
        <f>-IFERROR('4. NPV'!#REF!/'4. NPV'!AGB$8,0)</f>
        <v>0</v>
      </c>
      <c r="AGB54" s="5">
        <f>-IFERROR('4. NPV'!#REF!/'4. NPV'!AGC$8,0)</f>
        <v>0</v>
      </c>
      <c r="AGC54" s="5">
        <f>-IFERROR('4. NPV'!#REF!/'4. NPV'!AGD$8,0)</f>
        <v>0</v>
      </c>
      <c r="AGD54" s="5">
        <f>-IFERROR('4. NPV'!#REF!/'4. NPV'!AGE$8,0)</f>
        <v>0</v>
      </c>
      <c r="AGE54" s="5">
        <f>-IFERROR('4. NPV'!#REF!/'4. NPV'!AGF$8,0)</f>
        <v>0</v>
      </c>
      <c r="AGF54" s="5">
        <f>-IFERROR('4. NPV'!#REF!/'4. NPV'!AGG$8,0)</f>
        <v>0</v>
      </c>
      <c r="AGG54" s="5">
        <f>-IFERROR('4. NPV'!#REF!/'4. NPV'!AGH$8,0)</f>
        <v>0</v>
      </c>
      <c r="AGH54" s="5">
        <f>-IFERROR('4. NPV'!#REF!/'4. NPV'!AGI$8,0)</f>
        <v>0</v>
      </c>
      <c r="AGI54" s="5">
        <f>-IFERROR('4. NPV'!#REF!/'4. NPV'!AGJ$8,0)</f>
        <v>0</v>
      </c>
      <c r="AGJ54" s="5">
        <f>-IFERROR('4. NPV'!#REF!/'4. NPV'!AGK$8,0)</f>
        <v>0</v>
      </c>
      <c r="AGK54" s="5">
        <f>-IFERROR('4. NPV'!#REF!/'4. NPV'!AGL$8,0)</f>
        <v>0</v>
      </c>
      <c r="AGL54" s="5">
        <f>-IFERROR('4. NPV'!#REF!/'4. NPV'!AGM$8,0)</f>
        <v>0</v>
      </c>
      <c r="AGM54" s="5">
        <f>-IFERROR('4. NPV'!#REF!/'4. NPV'!AGN$8,0)</f>
        <v>0</v>
      </c>
      <c r="AGN54" s="5">
        <f>-IFERROR('4. NPV'!#REF!/'4. NPV'!AGO$8,0)</f>
        <v>0</v>
      </c>
      <c r="AGO54" s="5">
        <f>-IFERROR('4. NPV'!#REF!/'4. NPV'!AGP$8,0)</f>
        <v>0</v>
      </c>
      <c r="AGP54" s="5">
        <f>-IFERROR('4. NPV'!#REF!/'4. NPV'!AGQ$8,0)</f>
        <v>0</v>
      </c>
      <c r="AGQ54" s="5">
        <f>-IFERROR('4. NPV'!#REF!/'4. NPV'!AGR$8,0)</f>
        <v>0</v>
      </c>
      <c r="AGR54" s="5">
        <f>-IFERROR('4. NPV'!#REF!/'4. NPV'!AGS$8,0)</f>
        <v>0</v>
      </c>
      <c r="AGS54" s="5">
        <f>-IFERROR('4. NPV'!#REF!/'4. NPV'!AGT$8,0)</f>
        <v>0</v>
      </c>
      <c r="AGT54" s="5">
        <f>-IFERROR('4. NPV'!#REF!/'4. NPV'!AGU$8,0)</f>
        <v>0</v>
      </c>
      <c r="AGU54" s="5">
        <f>-IFERROR('4. NPV'!#REF!/'4. NPV'!AGV$8,0)</f>
        <v>0</v>
      </c>
      <c r="AGV54" s="5">
        <f>-IFERROR('4. NPV'!#REF!/'4. NPV'!AGW$8,0)</f>
        <v>0</v>
      </c>
      <c r="AGW54" s="5">
        <f>-IFERROR('4. NPV'!#REF!/'4. NPV'!AGX$8,0)</f>
        <v>0</v>
      </c>
      <c r="AGX54" s="5">
        <f>-IFERROR('4. NPV'!#REF!/'4. NPV'!AGY$8,0)</f>
        <v>0</v>
      </c>
      <c r="AGY54" s="5">
        <f>-IFERROR('4. NPV'!#REF!/'4. NPV'!AGZ$8,0)</f>
        <v>0</v>
      </c>
      <c r="AGZ54" s="5">
        <f>-IFERROR('4. NPV'!#REF!/'4. NPV'!AHA$8,0)</f>
        <v>0</v>
      </c>
      <c r="AHA54" s="5">
        <f>-IFERROR('4. NPV'!#REF!/'4. NPV'!AHB$8,0)</f>
        <v>0</v>
      </c>
      <c r="AHB54" s="5">
        <f>-IFERROR('4. NPV'!#REF!/'4. NPV'!AHC$8,0)</f>
        <v>0</v>
      </c>
      <c r="AHC54" s="5">
        <f>-IFERROR('4. NPV'!#REF!/'4. NPV'!AHD$8,0)</f>
        <v>0</v>
      </c>
      <c r="AHD54" s="5">
        <f>-IFERROR('4. NPV'!#REF!/'4. NPV'!AHE$8,0)</f>
        <v>0</v>
      </c>
      <c r="AHE54" s="5">
        <f>-IFERROR('4. NPV'!#REF!/'4. NPV'!AHF$8,0)</f>
        <v>0</v>
      </c>
      <c r="AHF54" s="5">
        <f>-IFERROR('4. NPV'!#REF!/'4. NPV'!AHG$8,0)</f>
        <v>0</v>
      </c>
      <c r="AHG54" s="5">
        <f>-IFERROR('4. NPV'!#REF!/'4. NPV'!AHH$8,0)</f>
        <v>0</v>
      </c>
      <c r="AHH54" s="5">
        <f>-IFERROR('4. NPV'!#REF!/'4. NPV'!AHI$8,0)</f>
        <v>0</v>
      </c>
      <c r="AHI54" s="5">
        <f>-IFERROR('4. NPV'!#REF!/'4. NPV'!AHJ$8,0)</f>
        <v>0</v>
      </c>
      <c r="AHJ54" s="5">
        <f>-IFERROR('4. NPV'!#REF!/'4. NPV'!AHK$8,0)</f>
        <v>0</v>
      </c>
      <c r="AHK54" s="5">
        <f>-IFERROR('4. NPV'!#REF!/'4. NPV'!AHL$8,0)</f>
        <v>0</v>
      </c>
      <c r="AHL54" s="5">
        <f>-IFERROR('4. NPV'!#REF!/'4. NPV'!AHM$8,0)</f>
        <v>0</v>
      </c>
      <c r="AHM54" s="5">
        <f>-IFERROR('4. NPV'!#REF!/'4. NPV'!AHN$8,0)</f>
        <v>0</v>
      </c>
      <c r="AHN54" s="5">
        <f>-IFERROR('4. NPV'!#REF!/'4. NPV'!AHO$8,0)</f>
        <v>0</v>
      </c>
      <c r="AHO54" s="5">
        <f>-IFERROR('4. NPV'!#REF!/'4. NPV'!AHP$8,0)</f>
        <v>0</v>
      </c>
      <c r="AHP54" s="5">
        <f>-IFERROR('4. NPV'!#REF!/'4. NPV'!AHQ$8,0)</f>
        <v>0</v>
      </c>
      <c r="AHQ54" s="5">
        <f>-IFERROR('4. NPV'!#REF!/'4. NPV'!AHR$8,0)</f>
        <v>0</v>
      </c>
      <c r="AHR54" s="5">
        <f>-IFERROR('4. NPV'!#REF!/'4. NPV'!AHS$8,0)</f>
        <v>0</v>
      </c>
      <c r="AHS54" s="5">
        <f>-IFERROR('4. NPV'!#REF!/'4. NPV'!AHT$8,0)</f>
        <v>0</v>
      </c>
      <c r="AHT54" s="5">
        <f>-IFERROR('4. NPV'!#REF!/'4. NPV'!AHU$8,0)</f>
        <v>0</v>
      </c>
      <c r="AHU54" s="5">
        <f>-IFERROR('4. NPV'!#REF!/'4. NPV'!AHV$8,0)</f>
        <v>0</v>
      </c>
      <c r="AHV54" s="5">
        <f>-IFERROR('4. NPV'!#REF!/'4. NPV'!AHW$8,0)</f>
        <v>0</v>
      </c>
      <c r="AHW54" s="5">
        <f>-IFERROR('4. NPV'!#REF!/'4. NPV'!AHX$8,0)</f>
        <v>0</v>
      </c>
      <c r="AHX54" s="5">
        <f>-IFERROR('4. NPV'!#REF!/'4. NPV'!AHY$8,0)</f>
        <v>0</v>
      </c>
      <c r="AHY54" s="5">
        <f>-IFERROR('4. NPV'!#REF!/'4. NPV'!AHZ$8,0)</f>
        <v>0</v>
      </c>
      <c r="AHZ54" s="5">
        <f>-IFERROR('4. NPV'!#REF!/'4. NPV'!AIA$8,0)</f>
        <v>0</v>
      </c>
      <c r="AIA54" s="5">
        <f>-IFERROR('4. NPV'!#REF!/'4. NPV'!AIB$8,0)</f>
        <v>0</v>
      </c>
      <c r="AIB54" s="5">
        <f>-IFERROR('4. NPV'!#REF!/'4. NPV'!AIC$8,0)</f>
        <v>0</v>
      </c>
      <c r="AIC54" s="5">
        <f>-IFERROR('4. NPV'!#REF!/'4. NPV'!AID$8,0)</f>
        <v>0</v>
      </c>
      <c r="AID54" s="5">
        <f>-IFERROR('4. NPV'!#REF!/'4. NPV'!AIE$8,0)</f>
        <v>0</v>
      </c>
      <c r="AIE54" s="5">
        <f>-IFERROR('4. NPV'!#REF!/'4. NPV'!AIF$8,0)</f>
        <v>0</v>
      </c>
      <c r="AIF54" s="5">
        <f>-IFERROR('4. NPV'!#REF!/'4. NPV'!AIG$8,0)</f>
        <v>0</v>
      </c>
      <c r="AIG54" s="5">
        <f>-IFERROR('4. NPV'!#REF!/'4. NPV'!AIH$8,0)</f>
        <v>0</v>
      </c>
      <c r="AIH54" s="5">
        <f>-IFERROR('4. NPV'!#REF!/'4. NPV'!AII$8,0)</f>
        <v>0</v>
      </c>
      <c r="AII54" s="5">
        <f>-IFERROR('4. NPV'!#REF!/'4. NPV'!AIJ$8,0)</f>
        <v>0</v>
      </c>
      <c r="AIJ54" s="5">
        <f>-IFERROR('4. NPV'!#REF!/'4. NPV'!AIK$8,0)</f>
        <v>0</v>
      </c>
      <c r="AIK54" s="5">
        <f>-IFERROR('4. NPV'!#REF!/'4. NPV'!AIL$8,0)</f>
        <v>0</v>
      </c>
      <c r="AIL54" s="5">
        <f>-IFERROR('4. NPV'!#REF!/'4. NPV'!AIM$8,0)</f>
        <v>0</v>
      </c>
      <c r="AIM54" s="5">
        <f>-IFERROR('4. NPV'!#REF!/'4. NPV'!AIN$8,0)</f>
        <v>0</v>
      </c>
      <c r="AIN54" s="5">
        <f>-IFERROR('4. NPV'!#REF!/'4. NPV'!AIO$8,0)</f>
        <v>0</v>
      </c>
      <c r="AIO54" s="5">
        <f>-IFERROR('4. NPV'!#REF!/'4. NPV'!AIP$8,0)</f>
        <v>0</v>
      </c>
      <c r="AIP54" s="5">
        <f>-IFERROR('4. NPV'!#REF!/'4. NPV'!AIQ$8,0)</f>
        <v>0</v>
      </c>
      <c r="AIQ54" s="5">
        <f>-IFERROR('4. NPV'!#REF!/'4. NPV'!AIR$8,0)</f>
        <v>0</v>
      </c>
      <c r="AIR54" s="5">
        <f>-IFERROR('4. NPV'!#REF!/'4. NPV'!AIS$8,0)</f>
        <v>0</v>
      </c>
      <c r="AIS54" s="5">
        <f>-IFERROR('4. NPV'!#REF!/'4. NPV'!AIT$8,0)</f>
        <v>0</v>
      </c>
      <c r="AIT54" s="5">
        <f>-IFERROR('4. NPV'!#REF!/'4. NPV'!AIU$8,0)</f>
        <v>0</v>
      </c>
      <c r="AIU54" s="5">
        <f>-IFERROR('4. NPV'!#REF!/'4. NPV'!AIV$8,0)</f>
        <v>0</v>
      </c>
      <c r="AIV54" s="5">
        <f>-IFERROR('4. NPV'!#REF!/'4. NPV'!AIW$8,0)</f>
        <v>0</v>
      </c>
      <c r="AIW54" s="5">
        <f>-IFERROR('4. NPV'!#REF!/'4. NPV'!AIX$8,0)</f>
        <v>0</v>
      </c>
      <c r="AIX54" s="5">
        <f>-IFERROR('4. NPV'!#REF!/'4. NPV'!AIY$8,0)</f>
        <v>0</v>
      </c>
      <c r="AIY54" s="5">
        <f>-IFERROR('4. NPV'!#REF!/'4. NPV'!AIZ$8,0)</f>
        <v>0</v>
      </c>
      <c r="AIZ54" s="5">
        <f>-IFERROR('4. NPV'!#REF!/'4. NPV'!AJA$8,0)</f>
        <v>0</v>
      </c>
      <c r="AJA54" s="5">
        <f>-IFERROR('4. NPV'!#REF!/'4. NPV'!AJB$8,0)</f>
        <v>0</v>
      </c>
      <c r="AJB54" s="5">
        <f>-IFERROR('4. NPV'!#REF!/'4. NPV'!AJC$8,0)</f>
        <v>0</v>
      </c>
      <c r="AJC54" s="5">
        <f>-IFERROR('4. NPV'!#REF!/'4. NPV'!AJD$8,0)</f>
        <v>0</v>
      </c>
      <c r="AJD54" s="5">
        <f>-IFERROR('4. NPV'!#REF!/'4. NPV'!AJE$8,0)</f>
        <v>0</v>
      </c>
      <c r="AJE54" s="5">
        <f>-IFERROR('4. NPV'!#REF!/'4. NPV'!AJF$8,0)</f>
        <v>0</v>
      </c>
      <c r="AJF54" s="5">
        <f>-IFERROR('4. NPV'!#REF!/'4. NPV'!AJG$8,0)</f>
        <v>0</v>
      </c>
      <c r="AJG54" s="5">
        <f>-IFERROR('4. NPV'!#REF!/'4. NPV'!AJH$8,0)</f>
        <v>0</v>
      </c>
      <c r="AJH54" s="5">
        <f>-IFERROR('4. NPV'!#REF!/'4. NPV'!AJI$8,0)</f>
        <v>0</v>
      </c>
      <c r="AJI54" s="5">
        <f>-IFERROR('4. NPV'!#REF!/'4. NPV'!AJJ$8,0)</f>
        <v>0</v>
      </c>
      <c r="AJJ54" s="5">
        <f>-IFERROR('4. NPV'!#REF!/'4. NPV'!AJK$8,0)</f>
        <v>0</v>
      </c>
      <c r="AJK54" s="5">
        <f>-IFERROR('4. NPV'!#REF!/'4. NPV'!AJL$8,0)</f>
        <v>0</v>
      </c>
      <c r="AJL54" s="5">
        <f>-IFERROR('4. NPV'!#REF!/'4. NPV'!AJM$8,0)</f>
        <v>0</v>
      </c>
      <c r="AJM54" s="5">
        <f>-IFERROR('4. NPV'!#REF!/'4. NPV'!AJN$8,0)</f>
        <v>0</v>
      </c>
      <c r="AJN54" s="5">
        <f>-IFERROR('4. NPV'!#REF!/'4. NPV'!AJO$8,0)</f>
        <v>0</v>
      </c>
      <c r="AJO54" s="5">
        <f>-IFERROR('4. NPV'!#REF!/'4. NPV'!AJP$8,0)</f>
        <v>0</v>
      </c>
      <c r="AJP54" s="5">
        <f>-IFERROR('4. NPV'!#REF!/'4. NPV'!AJQ$8,0)</f>
        <v>0</v>
      </c>
      <c r="AJQ54" s="5">
        <f>-IFERROR('4. NPV'!#REF!/'4. NPV'!AJR$8,0)</f>
        <v>0</v>
      </c>
      <c r="AJR54" s="5">
        <f>-IFERROR('4. NPV'!#REF!/'4. NPV'!AJS$8,0)</f>
        <v>0</v>
      </c>
      <c r="AJS54" s="5">
        <f>-IFERROR('4. NPV'!#REF!/'4. NPV'!AJT$8,0)</f>
        <v>0</v>
      </c>
      <c r="AJT54" s="5">
        <f>-IFERROR('4. NPV'!#REF!/'4. NPV'!AJU$8,0)</f>
        <v>0</v>
      </c>
      <c r="AJU54" s="5">
        <f>-IFERROR('4. NPV'!#REF!/'4. NPV'!AJV$8,0)</f>
        <v>0</v>
      </c>
      <c r="AJV54" s="5">
        <f>-IFERROR('4. NPV'!#REF!/'4. NPV'!AJW$8,0)</f>
        <v>0</v>
      </c>
      <c r="AJW54" s="5">
        <f>-IFERROR('4. NPV'!#REF!/'4. NPV'!AJX$8,0)</f>
        <v>0</v>
      </c>
      <c r="AJX54" s="5">
        <f>-IFERROR('4. NPV'!#REF!/'4. NPV'!AJY$8,0)</f>
        <v>0</v>
      </c>
      <c r="AJY54" s="5">
        <f>-IFERROR('4. NPV'!#REF!/'4. NPV'!AJZ$8,0)</f>
        <v>0</v>
      </c>
      <c r="AJZ54" s="5">
        <f>-IFERROR('4. NPV'!#REF!/'4. NPV'!AKA$8,0)</f>
        <v>0</v>
      </c>
      <c r="AKA54" s="5">
        <f>-IFERROR('4. NPV'!#REF!/'4. NPV'!AKB$8,0)</f>
        <v>0</v>
      </c>
      <c r="AKB54" s="5">
        <f>-IFERROR('4. NPV'!#REF!/'4. NPV'!AKC$8,0)</f>
        <v>0</v>
      </c>
      <c r="AKC54" s="5">
        <f>-IFERROR('4. NPV'!#REF!/'4. NPV'!AKD$8,0)</f>
        <v>0</v>
      </c>
      <c r="AKD54" s="5">
        <f>-IFERROR('4. NPV'!#REF!/'4. NPV'!AKE$8,0)</f>
        <v>0</v>
      </c>
      <c r="AKE54" s="5">
        <f>-IFERROR('4. NPV'!#REF!/'4. NPV'!AKF$8,0)</f>
        <v>0</v>
      </c>
      <c r="AKF54" s="5">
        <f>-IFERROR('4. NPV'!#REF!/'4. NPV'!AKG$8,0)</f>
        <v>0</v>
      </c>
      <c r="AKG54" s="5">
        <f>-IFERROR('4. NPV'!#REF!/'4. NPV'!AKH$8,0)</f>
        <v>0</v>
      </c>
      <c r="AKH54" s="5">
        <f>-IFERROR('4. NPV'!#REF!/'4. NPV'!AKI$8,0)</f>
        <v>0</v>
      </c>
      <c r="AKI54" s="5">
        <f>-IFERROR('4. NPV'!#REF!/'4. NPV'!AKJ$8,0)</f>
        <v>0</v>
      </c>
      <c r="AKJ54" s="5">
        <f>-IFERROR('4. NPV'!#REF!/'4. NPV'!AKK$8,0)</f>
        <v>0</v>
      </c>
      <c r="AKK54" s="5">
        <f>-IFERROR('4. NPV'!#REF!/'4. NPV'!AKL$8,0)</f>
        <v>0</v>
      </c>
      <c r="AKL54" s="5">
        <f>-IFERROR('4. NPV'!#REF!/'4. NPV'!AKM$8,0)</f>
        <v>0</v>
      </c>
      <c r="AKM54" s="5">
        <f>-IFERROR('4. NPV'!#REF!/'4. NPV'!AKN$8,0)</f>
        <v>0</v>
      </c>
      <c r="AKN54" s="5">
        <f>-IFERROR('4. NPV'!#REF!/'4. NPV'!AKO$8,0)</f>
        <v>0</v>
      </c>
      <c r="AKO54" s="5">
        <f>-IFERROR('4. NPV'!#REF!/'4. NPV'!AKP$8,0)</f>
        <v>0</v>
      </c>
      <c r="AKP54" s="5">
        <f>-IFERROR('4. NPV'!#REF!/'4. NPV'!AKQ$8,0)</f>
        <v>0</v>
      </c>
      <c r="AKQ54" s="5">
        <f>-IFERROR('4. NPV'!#REF!/'4. NPV'!AKR$8,0)</f>
        <v>0</v>
      </c>
      <c r="AKR54" s="5">
        <f>-IFERROR('4. NPV'!#REF!/'4. NPV'!AKS$8,0)</f>
        <v>0</v>
      </c>
      <c r="AKS54" s="5">
        <f>-IFERROR('4. NPV'!#REF!/'4. NPV'!AKT$8,0)</f>
        <v>0</v>
      </c>
      <c r="AKT54" s="5">
        <f>-IFERROR('4. NPV'!#REF!/'4. NPV'!AKU$8,0)</f>
        <v>0</v>
      </c>
      <c r="AKU54" s="5">
        <f>-IFERROR('4. NPV'!#REF!/'4. NPV'!AKV$8,0)</f>
        <v>0</v>
      </c>
      <c r="AKV54" s="5">
        <f>-IFERROR('4. NPV'!#REF!/'4. NPV'!AKW$8,0)</f>
        <v>0</v>
      </c>
      <c r="AKW54" s="5">
        <f>-IFERROR('4. NPV'!#REF!/'4. NPV'!AKX$8,0)</f>
        <v>0</v>
      </c>
      <c r="AKX54" s="5">
        <f>-IFERROR('4. NPV'!#REF!/'4. NPV'!AKY$8,0)</f>
        <v>0</v>
      </c>
      <c r="AKY54" s="5">
        <f>-IFERROR('4. NPV'!#REF!/'4. NPV'!AKZ$8,0)</f>
        <v>0</v>
      </c>
      <c r="AKZ54" s="5">
        <f>-IFERROR('4. NPV'!#REF!/'4. NPV'!ALA$8,0)</f>
        <v>0</v>
      </c>
      <c r="ALA54" s="5">
        <f>-IFERROR('4. NPV'!#REF!/'4. NPV'!ALB$8,0)</f>
        <v>0</v>
      </c>
      <c r="ALB54" s="5">
        <f>-IFERROR('4. NPV'!#REF!/'4. NPV'!ALC$8,0)</f>
        <v>0</v>
      </c>
      <c r="ALC54" s="5">
        <f>-IFERROR('4. NPV'!#REF!/'4. NPV'!ALD$8,0)</f>
        <v>0</v>
      </c>
      <c r="ALD54" s="5">
        <f>-IFERROR('4. NPV'!#REF!/'4. NPV'!ALE$8,0)</f>
        <v>0</v>
      </c>
      <c r="ALE54" s="5">
        <f>-IFERROR('4. NPV'!#REF!/'4. NPV'!ALF$8,0)</f>
        <v>0</v>
      </c>
      <c r="ALF54" s="5">
        <f>-IFERROR('4. NPV'!#REF!/'4. NPV'!ALG$8,0)</f>
        <v>0</v>
      </c>
      <c r="ALG54" s="5">
        <f>-IFERROR('4. NPV'!#REF!/'4. NPV'!ALH$8,0)</f>
        <v>0</v>
      </c>
      <c r="ALH54" s="5">
        <f>-IFERROR('4. NPV'!#REF!/'4. NPV'!ALI$8,0)</f>
        <v>0</v>
      </c>
      <c r="ALI54" s="5">
        <f>-IFERROR('4. NPV'!#REF!/'4. NPV'!ALJ$8,0)</f>
        <v>0</v>
      </c>
      <c r="ALJ54" s="5">
        <f>-IFERROR('4. NPV'!#REF!/'4. NPV'!ALK$8,0)</f>
        <v>0</v>
      </c>
      <c r="ALK54" s="5">
        <f>-IFERROR('4. NPV'!#REF!/'4. NPV'!ALL$8,0)</f>
        <v>0</v>
      </c>
      <c r="ALL54" s="5">
        <f>-IFERROR('4. NPV'!#REF!/'4. NPV'!ALM$8,0)</f>
        <v>0</v>
      </c>
      <c r="ALM54" s="5">
        <f>-IFERROR('4. NPV'!#REF!/'4. NPV'!ALN$8,0)</f>
        <v>0</v>
      </c>
      <c r="ALN54" s="5">
        <f>-IFERROR('4. NPV'!#REF!/'4. NPV'!ALO$8,0)</f>
        <v>0</v>
      </c>
      <c r="ALO54" s="5">
        <f>-IFERROR('4. NPV'!#REF!/'4. NPV'!ALP$8,0)</f>
        <v>0</v>
      </c>
      <c r="ALP54" s="5">
        <f>-IFERROR('4. NPV'!#REF!/'4. NPV'!ALQ$8,0)</f>
        <v>0</v>
      </c>
      <c r="ALQ54" s="5">
        <f>-IFERROR('4. NPV'!#REF!/'4. NPV'!ALR$8,0)</f>
        <v>0</v>
      </c>
      <c r="ALR54" s="5">
        <f>-IFERROR('4. NPV'!#REF!/'4. NPV'!ALS$8,0)</f>
        <v>0</v>
      </c>
      <c r="ALS54" s="5">
        <f>-IFERROR('4. NPV'!#REF!/'4. NPV'!ALT$8,0)</f>
        <v>0</v>
      </c>
      <c r="ALT54" s="5">
        <f>-IFERROR('4. NPV'!#REF!/'4. NPV'!ALU$8,0)</f>
        <v>0</v>
      </c>
      <c r="ALU54" s="5">
        <f>-IFERROR('4. NPV'!#REF!/'4. NPV'!ALV$8,0)</f>
        <v>0</v>
      </c>
      <c r="ALV54" s="5">
        <f>-IFERROR('4. NPV'!#REF!/'4. NPV'!ALW$8,0)</f>
        <v>0</v>
      </c>
      <c r="ALW54" s="5">
        <f>-IFERROR('4. NPV'!#REF!/'4. NPV'!ALX$8,0)</f>
        <v>0</v>
      </c>
      <c r="ALX54" s="5">
        <f>-IFERROR('4. NPV'!#REF!/'4. NPV'!ALY$8,0)</f>
        <v>0</v>
      </c>
      <c r="ALY54" s="5">
        <f>-IFERROR('4. NPV'!#REF!/'4. NPV'!ALZ$8,0)</f>
        <v>0</v>
      </c>
      <c r="ALZ54" s="5">
        <f>-IFERROR('4. NPV'!#REF!/'4. NPV'!AMA$8,0)</f>
        <v>0</v>
      </c>
      <c r="AMA54" s="5">
        <f>-IFERROR('4. NPV'!#REF!/'4. NPV'!AMB$8,0)</f>
        <v>0</v>
      </c>
      <c r="AMB54" s="5">
        <f>-IFERROR('4. NPV'!#REF!/'4. NPV'!AMC$8,0)</f>
        <v>0</v>
      </c>
      <c r="AMC54" s="5">
        <f>-IFERROR('4. NPV'!#REF!/'4. NPV'!AMD$8,0)</f>
        <v>0</v>
      </c>
      <c r="AMD54" s="5">
        <f>-IFERROR('4. NPV'!#REF!/'4. NPV'!AME$8,0)</f>
        <v>0</v>
      </c>
      <c r="AME54" s="5">
        <f>-IFERROR('4. NPV'!#REF!/'4. NPV'!AMF$8,0)</f>
        <v>0</v>
      </c>
      <c r="AMF54" s="5">
        <f>-IFERROR('4. NPV'!#REF!/'4. NPV'!AMG$8,0)</f>
        <v>0</v>
      </c>
      <c r="AMG54" s="5">
        <f>-IFERROR('4. NPV'!#REF!/'4. NPV'!AMH$8,0)</f>
        <v>0</v>
      </c>
      <c r="AMH54" s="5">
        <f>-IFERROR('4. NPV'!#REF!/'4. NPV'!AMI$8,0)</f>
        <v>0</v>
      </c>
      <c r="AMI54" s="5">
        <f>-IFERROR('4. NPV'!#REF!/'4. NPV'!AMJ$8,0)</f>
        <v>0</v>
      </c>
      <c r="AMJ54" s="5">
        <f>-IFERROR('4. NPV'!#REF!/'4. NPV'!AMK$8,0)</f>
        <v>0</v>
      </c>
      <c r="AMK54" s="5">
        <f>-IFERROR('4. NPV'!#REF!/'4. NPV'!AML$8,0)</f>
        <v>0</v>
      </c>
      <c r="AML54" s="5">
        <f>-IFERROR('4. NPV'!#REF!/'4. NPV'!AMM$8,0)</f>
        <v>0</v>
      </c>
      <c r="AMM54" s="5">
        <f>-IFERROR('4. NPV'!#REF!/'4. NPV'!AMN$8,0)</f>
        <v>0</v>
      </c>
      <c r="AMN54" s="5">
        <f>-IFERROR('4. NPV'!#REF!/'4. NPV'!AMO$8,0)</f>
        <v>0</v>
      </c>
      <c r="AMO54" s="5">
        <f>-IFERROR('4. NPV'!#REF!/'4. NPV'!AMP$8,0)</f>
        <v>0</v>
      </c>
      <c r="AMP54" s="5">
        <f>-IFERROR('4. NPV'!#REF!/'4. NPV'!AMQ$8,0)</f>
        <v>0</v>
      </c>
      <c r="AMQ54" s="5">
        <f>-IFERROR('4. NPV'!#REF!/'4. NPV'!AMR$8,0)</f>
        <v>0</v>
      </c>
      <c r="AMR54" s="5">
        <f>-IFERROR('4. NPV'!#REF!/'4. NPV'!AMS$8,0)</f>
        <v>0</v>
      </c>
      <c r="AMS54" s="5">
        <f>-IFERROR('4. NPV'!#REF!/'4. NPV'!AMT$8,0)</f>
        <v>0</v>
      </c>
      <c r="AMT54" s="5">
        <f>-IFERROR('4. NPV'!#REF!/'4. NPV'!AMU$8,0)</f>
        <v>0</v>
      </c>
      <c r="AMU54" s="5">
        <f>-IFERROR('4. NPV'!#REF!/'4. NPV'!AMV$8,0)</f>
        <v>0</v>
      </c>
      <c r="AMV54" s="5">
        <f>-IFERROR('4. NPV'!#REF!/'4. NPV'!AMW$8,0)</f>
        <v>0</v>
      </c>
      <c r="AMW54" s="5">
        <f>-IFERROR('4. NPV'!#REF!/'4. NPV'!AMX$8,0)</f>
        <v>0</v>
      </c>
      <c r="AMX54" s="5">
        <f>-IFERROR('4. NPV'!#REF!/'4. NPV'!AMY$8,0)</f>
        <v>0</v>
      </c>
      <c r="AMY54" s="5">
        <f>-IFERROR('4. NPV'!#REF!/'4. NPV'!AMZ$8,0)</f>
        <v>0</v>
      </c>
      <c r="AMZ54" s="5">
        <f>-IFERROR('4. NPV'!#REF!/'4. NPV'!ANA$8,0)</f>
        <v>0</v>
      </c>
      <c r="ANA54" s="5">
        <f>-IFERROR('4. NPV'!#REF!/'4. NPV'!ANB$8,0)</f>
        <v>0</v>
      </c>
      <c r="ANB54" s="5">
        <f>-IFERROR('4. NPV'!#REF!/'4. NPV'!ANC$8,0)</f>
        <v>0</v>
      </c>
      <c r="ANC54" s="5">
        <f>-IFERROR('4. NPV'!#REF!/'4. NPV'!AND$8,0)</f>
        <v>0</v>
      </c>
      <c r="AND54" s="5">
        <f>-IFERROR('4. NPV'!#REF!/'4. NPV'!ANE$8,0)</f>
        <v>0</v>
      </c>
      <c r="ANE54" s="5">
        <f>-IFERROR('4. NPV'!#REF!/'4. NPV'!ANF$8,0)</f>
        <v>0</v>
      </c>
      <c r="ANF54" s="5">
        <f>-IFERROR('4. NPV'!#REF!/'4. NPV'!ANG$8,0)</f>
        <v>0</v>
      </c>
      <c r="ANG54" s="5">
        <f>-IFERROR('4. NPV'!#REF!/'4. NPV'!ANH$8,0)</f>
        <v>0</v>
      </c>
      <c r="ANH54" s="5">
        <f>-IFERROR('4. NPV'!#REF!/'4. NPV'!ANI$8,0)</f>
        <v>0</v>
      </c>
      <c r="ANI54" s="5">
        <f>-IFERROR('4. NPV'!#REF!/'4. NPV'!ANJ$8,0)</f>
        <v>0</v>
      </c>
      <c r="ANJ54" s="5">
        <f>-IFERROR('4. NPV'!#REF!/'4. NPV'!ANK$8,0)</f>
        <v>0</v>
      </c>
      <c r="ANK54" s="5">
        <f>-IFERROR('4. NPV'!#REF!/'4. NPV'!ANL$8,0)</f>
        <v>0</v>
      </c>
      <c r="ANL54" s="5">
        <f>-IFERROR('4. NPV'!#REF!/'4. NPV'!ANM$8,0)</f>
        <v>0</v>
      </c>
      <c r="ANM54" s="5">
        <f>-IFERROR('4. NPV'!#REF!/'4. NPV'!ANN$8,0)</f>
        <v>0</v>
      </c>
      <c r="ANN54" s="5">
        <f>-IFERROR('4. NPV'!#REF!/'4. NPV'!ANO$8,0)</f>
        <v>0</v>
      </c>
      <c r="ANO54" s="5">
        <f>-IFERROR('4. NPV'!#REF!/'4. NPV'!ANP$8,0)</f>
        <v>0</v>
      </c>
      <c r="ANP54" s="5">
        <f>-IFERROR('4. NPV'!#REF!/'4. NPV'!ANQ$8,0)</f>
        <v>0</v>
      </c>
      <c r="ANQ54" s="5">
        <f>-IFERROR('4. NPV'!#REF!/'4. NPV'!ANR$8,0)</f>
        <v>0</v>
      </c>
      <c r="ANR54" s="5">
        <f>-IFERROR('4. NPV'!#REF!/'4. NPV'!ANS$8,0)</f>
        <v>0</v>
      </c>
      <c r="ANS54" s="5">
        <f>-IFERROR('4. NPV'!#REF!/'4. NPV'!ANT$8,0)</f>
        <v>0</v>
      </c>
      <c r="ANT54" s="5">
        <f>-IFERROR('4. NPV'!#REF!/'4. NPV'!ANU$8,0)</f>
        <v>0</v>
      </c>
      <c r="ANU54" s="5">
        <f>-IFERROR('4. NPV'!#REF!/'4. NPV'!ANV$8,0)</f>
        <v>0</v>
      </c>
      <c r="ANV54" s="5">
        <f>-IFERROR('4. NPV'!#REF!/'4. NPV'!ANW$8,0)</f>
        <v>0</v>
      </c>
      <c r="ANW54" s="5">
        <f>-IFERROR('4. NPV'!#REF!/'4. NPV'!ANX$8,0)</f>
        <v>0</v>
      </c>
      <c r="ANX54" s="5">
        <f>-IFERROR('4. NPV'!#REF!/'4. NPV'!ANY$8,0)</f>
        <v>0</v>
      </c>
      <c r="ANY54" s="5">
        <f>-IFERROR('4. NPV'!#REF!/'4. NPV'!ANZ$8,0)</f>
        <v>0</v>
      </c>
      <c r="ANZ54" s="5">
        <f>-IFERROR('4. NPV'!#REF!/'4. NPV'!AOA$8,0)</f>
        <v>0</v>
      </c>
      <c r="AOA54" s="5">
        <f>-IFERROR('4. NPV'!#REF!/'4. NPV'!AOB$8,0)</f>
        <v>0</v>
      </c>
      <c r="AOB54" s="5">
        <f>-IFERROR('4. NPV'!#REF!/'4. NPV'!AOC$8,0)</f>
        <v>0</v>
      </c>
      <c r="AOC54" s="5">
        <f>-IFERROR('4. NPV'!#REF!/'4. NPV'!AOD$8,0)</f>
        <v>0</v>
      </c>
      <c r="AOD54" s="5">
        <f>-IFERROR('4. NPV'!#REF!/'4. NPV'!AOE$8,0)</f>
        <v>0</v>
      </c>
      <c r="AOE54" s="5">
        <f>-IFERROR('4. NPV'!#REF!/'4. NPV'!AOF$8,0)</f>
        <v>0</v>
      </c>
      <c r="AOF54" s="5">
        <f>-IFERROR('4. NPV'!#REF!/'4. NPV'!AOG$8,0)</f>
        <v>0</v>
      </c>
      <c r="AOG54" s="5">
        <f>-IFERROR('4. NPV'!#REF!/'4. NPV'!AOH$8,0)</f>
        <v>0</v>
      </c>
      <c r="AOH54" s="5">
        <f>-IFERROR('4. NPV'!#REF!/'4. NPV'!AOI$8,0)</f>
        <v>0</v>
      </c>
      <c r="AOI54" s="5">
        <f>-IFERROR('4. NPV'!#REF!/'4. NPV'!AOJ$8,0)</f>
        <v>0</v>
      </c>
      <c r="AOJ54" s="5">
        <f>-IFERROR('4. NPV'!#REF!/'4. NPV'!AOK$8,0)</f>
        <v>0</v>
      </c>
      <c r="AOK54" s="5">
        <f>-IFERROR('4. NPV'!#REF!/'4. NPV'!AOL$8,0)</f>
        <v>0</v>
      </c>
      <c r="AOL54" s="5">
        <f>-IFERROR('4. NPV'!#REF!/'4. NPV'!AOM$8,0)</f>
        <v>0</v>
      </c>
      <c r="AOM54" s="5">
        <f>-IFERROR('4. NPV'!#REF!/'4. NPV'!AON$8,0)</f>
        <v>0</v>
      </c>
      <c r="AON54" s="5">
        <f>-IFERROR('4. NPV'!#REF!/'4. NPV'!AOO$8,0)</f>
        <v>0</v>
      </c>
      <c r="AOO54" s="5">
        <f>-IFERROR('4. NPV'!#REF!/'4. NPV'!AOP$8,0)</f>
        <v>0</v>
      </c>
      <c r="AOP54" s="5">
        <f>-IFERROR('4. NPV'!#REF!/'4. NPV'!AOQ$8,0)</f>
        <v>0</v>
      </c>
      <c r="AOQ54" s="5">
        <f>-IFERROR('4. NPV'!#REF!/'4. NPV'!AOR$8,0)</f>
        <v>0</v>
      </c>
      <c r="AOR54" s="5">
        <f>-IFERROR('4. NPV'!#REF!/'4. NPV'!AOS$8,0)</f>
        <v>0</v>
      </c>
      <c r="AOS54" s="5">
        <f>-IFERROR('4. NPV'!#REF!/'4. NPV'!AOT$8,0)</f>
        <v>0</v>
      </c>
      <c r="AOT54" s="5">
        <f>-IFERROR('4. NPV'!#REF!/'4. NPV'!AOU$8,0)</f>
        <v>0</v>
      </c>
      <c r="AOU54" s="5">
        <f>-IFERROR('4. NPV'!#REF!/'4. NPV'!AOV$8,0)</f>
        <v>0</v>
      </c>
      <c r="AOV54" s="5">
        <f>-IFERROR('4. NPV'!#REF!/'4. NPV'!AOW$8,0)</f>
        <v>0</v>
      </c>
      <c r="AOW54" s="5">
        <f>-IFERROR('4. NPV'!#REF!/'4. NPV'!AOX$8,0)</f>
        <v>0</v>
      </c>
      <c r="AOX54" s="5">
        <f>-IFERROR('4. NPV'!#REF!/'4. NPV'!AOY$8,0)</f>
        <v>0</v>
      </c>
      <c r="AOY54" s="5">
        <f>-IFERROR('4. NPV'!#REF!/'4. NPV'!AOZ$8,0)</f>
        <v>0</v>
      </c>
      <c r="AOZ54" s="5">
        <f>-IFERROR('4. NPV'!#REF!/'4. NPV'!APA$8,0)</f>
        <v>0</v>
      </c>
      <c r="APA54" s="5">
        <f>-IFERROR('4. NPV'!#REF!/'4. NPV'!APB$8,0)</f>
        <v>0</v>
      </c>
      <c r="APB54" s="5">
        <f>-IFERROR('4. NPV'!#REF!/'4. NPV'!APC$8,0)</f>
        <v>0</v>
      </c>
      <c r="APC54" s="5">
        <f>-IFERROR('4. NPV'!#REF!/'4. NPV'!APD$8,0)</f>
        <v>0</v>
      </c>
      <c r="APD54" s="5">
        <f>-IFERROR('4. NPV'!#REF!/'4. NPV'!APE$8,0)</f>
        <v>0</v>
      </c>
      <c r="APE54" s="5">
        <f>-IFERROR('4. NPV'!#REF!/'4. NPV'!APF$8,0)</f>
        <v>0</v>
      </c>
      <c r="APF54" s="5">
        <f>-IFERROR('4. NPV'!#REF!/'4. NPV'!APG$8,0)</f>
        <v>0</v>
      </c>
      <c r="APG54" s="5">
        <f>-IFERROR('4. NPV'!#REF!/'4. NPV'!APH$8,0)</f>
        <v>0</v>
      </c>
      <c r="APH54" s="5">
        <f>-IFERROR('4. NPV'!#REF!/'4. NPV'!API$8,0)</f>
        <v>0</v>
      </c>
      <c r="API54" s="5">
        <f>-IFERROR('4. NPV'!#REF!/'4. NPV'!APJ$8,0)</f>
        <v>0</v>
      </c>
      <c r="APJ54" s="5">
        <f>-IFERROR('4. NPV'!#REF!/'4. NPV'!APK$8,0)</f>
        <v>0</v>
      </c>
      <c r="APK54" s="5">
        <f>-IFERROR('4. NPV'!#REF!/'4. NPV'!APL$8,0)</f>
        <v>0</v>
      </c>
      <c r="APL54" s="5">
        <f>-IFERROR('4. NPV'!#REF!/'4. NPV'!APM$8,0)</f>
        <v>0</v>
      </c>
      <c r="APM54" s="5">
        <f>-IFERROR('4. NPV'!#REF!/'4. NPV'!APN$8,0)</f>
        <v>0</v>
      </c>
      <c r="APN54" s="5">
        <f>-IFERROR('4. NPV'!#REF!/'4. NPV'!APO$8,0)</f>
        <v>0</v>
      </c>
      <c r="APO54" s="5">
        <f>-IFERROR('4. NPV'!#REF!/'4. NPV'!APP$8,0)</f>
        <v>0</v>
      </c>
      <c r="APP54" s="5">
        <f>-IFERROR('4. NPV'!#REF!/'4. NPV'!APQ$8,0)</f>
        <v>0</v>
      </c>
      <c r="APQ54" s="5">
        <f>-IFERROR('4. NPV'!#REF!/'4. NPV'!APR$8,0)</f>
        <v>0</v>
      </c>
      <c r="APR54" s="5">
        <f>-IFERROR('4. NPV'!#REF!/'4. NPV'!APS$8,0)</f>
        <v>0</v>
      </c>
      <c r="APS54" s="5">
        <f>-IFERROR('4. NPV'!#REF!/'4. NPV'!APT$8,0)</f>
        <v>0</v>
      </c>
      <c r="APT54" s="5">
        <f>-IFERROR('4. NPV'!#REF!/'4. NPV'!APU$8,0)</f>
        <v>0</v>
      </c>
      <c r="APU54" s="5">
        <f>-IFERROR('4. NPV'!#REF!/'4. NPV'!APV$8,0)</f>
        <v>0</v>
      </c>
      <c r="APV54" s="5">
        <f>-IFERROR('4. NPV'!#REF!/'4. NPV'!APW$8,0)</f>
        <v>0</v>
      </c>
      <c r="APW54" s="5">
        <f>-IFERROR('4. NPV'!#REF!/'4. NPV'!APX$8,0)</f>
        <v>0</v>
      </c>
      <c r="APX54" s="5">
        <f>-IFERROR('4. NPV'!#REF!/'4. NPV'!APY$8,0)</f>
        <v>0</v>
      </c>
      <c r="APY54" s="5">
        <f>-IFERROR('4. NPV'!#REF!/'4. NPV'!APZ$8,0)</f>
        <v>0</v>
      </c>
      <c r="APZ54" s="5">
        <f>-IFERROR('4. NPV'!#REF!/'4. NPV'!AQA$8,0)</f>
        <v>0</v>
      </c>
      <c r="AQA54" s="5">
        <f>-IFERROR('4. NPV'!#REF!/'4. NPV'!AQB$8,0)</f>
        <v>0</v>
      </c>
      <c r="AQB54" s="5">
        <f>-IFERROR('4. NPV'!#REF!/'4. NPV'!AQC$8,0)</f>
        <v>0</v>
      </c>
      <c r="AQC54" s="5">
        <f>-IFERROR('4. NPV'!#REF!/'4. NPV'!AQD$8,0)</f>
        <v>0</v>
      </c>
      <c r="AQD54" s="5">
        <f>-IFERROR('4. NPV'!#REF!/'4. NPV'!AQE$8,0)</f>
        <v>0</v>
      </c>
      <c r="AQE54" s="5">
        <f>-IFERROR('4. NPV'!#REF!/'4. NPV'!AQF$8,0)</f>
        <v>0</v>
      </c>
      <c r="AQF54" s="5">
        <f>-IFERROR('4. NPV'!#REF!/'4. NPV'!AQG$8,0)</f>
        <v>0</v>
      </c>
      <c r="AQG54" s="5">
        <f>-IFERROR('4. NPV'!#REF!/'4. NPV'!AQH$8,0)</f>
        <v>0</v>
      </c>
      <c r="AQH54" s="5">
        <f>-IFERROR('4. NPV'!#REF!/'4. NPV'!AQI$8,0)</f>
        <v>0</v>
      </c>
      <c r="AQI54" s="5">
        <f>-IFERROR('4. NPV'!#REF!/'4. NPV'!AQJ$8,0)</f>
        <v>0</v>
      </c>
      <c r="AQJ54" s="5">
        <f>-IFERROR('4. NPV'!#REF!/'4. NPV'!AQK$8,0)</f>
        <v>0</v>
      </c>
      <c r="AQK54" s="5">
        <f>-IFERROR('4. NPV'!#REF!/'4. NPV'!AQL$8,0)</f>
        <v>0</v>
      </c>
      <c r="AQL54" s="5">
        <f>-IFERROR('4. NPV'!#REF!/'4. NPV'!AQM$8,0)</f>
        <v>0</v>
      </c>
      <c r="AQM54" s="5">
        <f>-IFERROR('4. NPV'!#REF!/'4. NPV'!AQN$8,0)</f>
        <v>0</v>
      </c>
      <c r="AQN54" s="5">
        <f>-IFERROR('4. NPV'!#REF!/'4. NPV'!AQO$8,0)</f>
        <v>0</v>
      </c>
      <c r="AQO54" s="5">
        <f>-IFERROR('4. NPV'!#REF!/'4. NPV'!AQP$8,0)</f>
        <v>0</v>
      </c>
      <c r="AQP54" s="5">
        <f>-IFERROR('4. NPV'!#REF!/'4. NPV'!AQQ$8,0)</f>
        <v>0</v>
      </c>
      <c r="AQQ54" s="5">
        <f>-IFERROR('4. NPV'!#REF!/'4. NPV'!AQR$8,0)</f>
        <v>0</v>
      </c>
      <c r="AQR54" s="5">
        <f>-IFERROR('4. NPV'!#REF!/'4. NPV'!AQS$8,0)</f>
        <v>0</v>
      </c>
      <c r="AQS54" s="5">
        <f>-IFERROR('4. NPV'!#REF!/'4. NPV'!AQT$8,0)</f>
        <v>0</v>
      </c>
      <c r="AQT54" s="5">
        <f>-IFERROR('4. NPV'!#REF!/'4. NPV'!AQU$8,0)</f>
        <v>0</v>
      </c>
      <c r="AQU54" s="5">
        <f>-IFERROR('4. NPV'!#REF!/'4. NPV'!AQV$8,0)</f>
        <v>0</v>
      </c>
      <c r="AQV54" s="5">
        <f>-IFERROR('4. NPV'!#REF!/'4. NPV'!AQW$8,0)</f>
        <v>0</v>
      </c>
      <c r="AQW54" s="5">
        <f>-IFERROR('4. NPV'!#REF!/'4. NPV'!AQX$8,0)</f>
        <v>0</v>
      </c>
      <c r="AQX54" s="5">
        <f>-IFERROR('4. NPV'!#REF!/'4. NPV'!AQY$8,0)</f>
        <v>0</v>
      </c>
      <c r="AQY54" s="5">
        <f>-IFERROR('4. NPV'!#REF!/'4. NPV'!AQZ$8,0)</f>
        <v>0</v>
      </c>
      <c r="AQZ54" s="5">
        <f>-IFERROR('4. NPV'!#REF!/'4. NPV'!ARA$8,0)</f>
        <v>0</v>
      </c>
      <c r="ARA54" s="5">
        <f>-IFERROR('4. NPV'!#REF!/'4. NPV'!ARB$8,0)</f>
        <v>0</v>
      </c>
      <c r="ARB54" s="5">
        <f>-IFERROR('4. NPV'!#REF!/'4. NPV'!ARC$8,0)</f>
        <v>0</v>
      </c>
      <c r="ARC54" s="5">
        <f>-IFERROR('4. NPV'!#REF!/'4. NPV'!ARD$8,0)</f>
        <v>0</v>
      </c>
      <c r="ARD54" s="5">
        <f>-IFERROR('4. NPV'!#REF!/'4. NPV'!ARE$8,0)</f>
        <v>0</v>
      </c>
      <c r="ARE54" s="5">
        <f>-IFERROR('4. NPV'!#REF!/'4. NPV'!ARF$8,0)</f>
        <v>0</v>
      </c>
      <c r="ARF54" s="5">
        <f>-IFERROR('4. NPV'!#REF!/'4. NPV'!ARG$8,0)</f>
        <v>0</v>
      </c>
      <c r="ARG54" s="5">
        <f>-IFERROR('4. NPV'!#REF!/'4. NPV'!ARH$8,0)</f>
        <v>0</v>
      </c>
      <c r="ARH54" s="5">
        <f>-IFERROR('4. NPV'!#REF!/'4. NPV'!ARI$8,0)</f>
        <v>0</v>
      </c>
      <c r="ARI54" s="5">
        <f>-IFERROR('4. NPV'!#REF!/'4. NPV'!ARJ$8,0)</f>
        <v>0</v>
      </c>
      <c r="ARJ54" s="5">
        <f>-IFERROR('4. NPV'!#REF!/'4. NPV'!ARK$8,0)</f>
        <v>0</v>
      </c>
      <c r="ARK54" s="5">
        <f>-IFERROR('4. NPV'!#REF!/'4. NPV'!ARL$8,0)</f>
        <v>0</v>
      </c>
      <c r="ARL54" s="5">
        <f>-IFERROR('4. NPV'!#REF!/'4. NPV'!ARM$8,0)</f>
        <v>0</v>
      </c>
      <c r="ARM54" s="5">
        <f>-IFERROR('4. NPV'!#REF!/'4. NPV'!ARN$8,0)</f>
        <v>0</v>
      </c>
      <c r="ARN54" s="5">
        <f>-IFERROR('4. NPV'!#REF!/'4. NPV'!ARO$8,0)</f>
        <v>0</v>
      </c>
      <c r="ARO54" s="5">
        <f>-IFERROR('4. NPV'!#REF!/'4. NPV'!ARP$8,0)</f>
        <v>0</v>
      </c>
      <c r="ARP54" s="5">
        <f>-IFERROR('4. NPV'!#REF!/'4. NPV'!ARQ$8,0)</f>
        <v>0</v>
      </c>
      <c r="ARQ54" s="5">
        <f>-IFERROR('4. NPV'!#REF!/'4. NPV'!ARR$8,0)</f>
        <v>0</v>
      </c>
      <c r="ARR54" s="5">
        <f>-IFERROR('4. NPV'!#REF!/'4. NPV'!ARS$8,0)</f>
        <v>0</v>
      </c>
      <c r="ARS54" s="5">
        <f>-IFERROR('4. NPV'!#REF!/'4. NPV'!ART$8,0)</f>
        <v>0</v>
      </c>
      <c r="ART54" s="5">
        <f>-IFERROR('4. NPV'!#REF!/'4. NPV'!ARU$8,0)</f>
        <v>0</v>
      </c>
      <c r="ARU54" s="5">
        <f>-IFERROR('4. NPV'!#REF!/'4. NPV'!ARV$8,0)</f>
        <v>0</v>
      </c>
      <c r="ARV54" s="5">
        <f>-IFERROR('4. NPV'!#REF!/'4. NPV'!ARW$8,0)</f>
        <v>0</v>
      </c>
      <c r="ARW54" s="5">
        <f>-IFERROR('4. NPV'!#REF!/'4. NPV'!ARX$8,0)</f>
        <v>0</v>
      </c>
      <c r="ARX54" s="5">
        <f>-IFERROR('4. NPV'!#REF!/'4. NPV'!ARY$8,0)</f>
        <v>0</v>
      </c>
      <c r="ARY54" s="5">
        <f>-IFERROR('4. NPV'!#REF!/'4. NPV'!ARZ$8,0)</f>
        <v>0</v>
      </c>
      <c r="ARZ54" s="5">
        <f>-IFERROR('4. NPV'!#REF!/'4. NPV'!ASA$8,0)</f>
        <v>0</v>
      </c>
      <c r="ASA54" s="5">
        <f>-IFERROR('4. NPV'!#REF!/'4. NPV'!ASB$8,0)</f>
        <v>0</v>
      </c>
      <c r="ASB54" s="5">
        <f>-IFERROR('4. NPV'!#REF!/'4. NPV'!ASC$8,0)</f>
        <v>0</v>
      </c>
      <c r="ASC54" s="5">
        <f>-IFERROR('4. NPV'!#REF!/'4. NPV'!ASD$8,0)</f>
        <v>0</v>
      </c>
      <c r="ASD54" s="5">
        <f>-IFERROR('4. NPV'!#REF!/'4. NPV'!ASE$8,0)</f>
        <v>0</v>
      </c>
      <c r="ASE54" s="5">
        <f>-IFERROR('4. NPV'!#REF!/'4. NPV'!ASF$8,0)</f>
        <v>0</v>
      </c>
      <c r="ASF54" s="5">
        <f>-IFERROR('4. NPV'!#REF!/'4. NPV'!ASG$8,0)</f>
        <v>0</v>
      </c>
      <c r="ASG54" s="5">
        <f>-IFERROR('4. NPV'!#REF!/'4. NPV'!ASH$8,0)</f>
        <v>0</v>
      </c>
      <c r="ASH54" s="5">
        <f>-IFERROR('4. NPV'!#REF!/'4. NPV'!ASI$8,0)</f>
        <v>0</v>
      </c>
      <c r="ASI54" s="5">
        <f>-IFERROR('4. NPV'!#REF!/'4. NPV'!ASJ$8,0)</f>
        <v>0</v>
      </c>
      <c r="ASJ54" s="5">
        <f>-IFERROR('4. NPV'!#REF!/'4. NPV'!ASK$8,0)</f>
        <v>0</v>
      </c>
      <c r="ASK54" s="5">
        <f>-IFERROR('4. NPV'!#REF!/'4. NPV'!ASL$8,0)</f>
        <v>0</v>
      </c>
      <c r="ASL54" s="5">
        <f>-IFERROR('4. NPV'!#REF!/'4. NPV'!ASM$8,0)</f>
        <v>0</v>
      </c>
      <c r="ASM54" s="5">
        <f>-IFERROR('4. NPV'!#REF!/'4. NPV'!ASN$8,0)</f>
        <v>0</v>
      </c>
      <c r="ASN54" s="5">
        <f>-IFERROR('4. NPV'!#REF!/'4. NPV'!ASO$8,0)</f>
        <v>0</v>
      </c>
      <c r="ASO54" s="5">
        <f>-IFERROR('4. NPV'!#REF!/'4. NPV'!ASP$8,0)</f>
        <v>0</v>
      </c>
      <c r="ASP54" s="5">
        <f>-IFERROR('4. NPV'!#REF!/'4. NPV'!ASQ$8,0)</f>
        <v>0</v>
      </c>
      <c r="ASQ54" s="5">
        <f>-IFERROR('4. NPV'!#REF!/'4. NPV'!ASR$8,0)</f>
        <v>0</v>
      </c>
      <c r="ASR54" s="5">
        <f>-IFERROR('4. NPV'!#REF!/'4. NPV'!ASS$8,0)</f>
        <v>0</v>
      </c>
      <c r="ASS54" s="5">
        <f>-IFERROR('4. NPV'!#REF!/'4. NPV'!AST$8,0)</f>
        <v>0</v>
      </c>
      <c r="AST54" s="5">
        <f>-IFERROR('4. NPV'!#REF!/'4. NPV'!ASU$8,0)</f>
        <v>0</v>
      </c>
      <c r="ASU54" s="5">
        <f>-IFERROR('4. NPV'!#REF!/'4. NPV'!ASV$8,0)</f>
        <v>0</v>
      </c>
      <c r="ASV54" s="5">
        <f>-IFERROR('4. NPV'!#REF!/'4. NPV'!ASW$8,0)</f>
        <v>0</v>
      </c>
      <c r="ASW54" s="5">
        <f>-IFERROR('4. NPV'!#REF!/'4. NPV'!ASX$8,0)</f>
        <v>0</v>
      </c>
      <c r="ASX54" s="5">
        <f>-IFERROR('4. NPV'!#REF!/'4. NPV'!ASY$8,0)</f>
        <v>0</v>
      </c>
      <c r="ASY54" s="5">
        <f>-IFERROR('4. NPV'!#REF!/'4. NPV'!ASZ$8,0)</f>
        <v>0</v>
      </c>
      <c r="ASZ54" s="5">
        <f>-IFERROR('4. NPV'!#REF!/'4. NPV'!ATA$8,0)</f>
        <v>0</v>
      </c>
      <c r="ATA54" s="5">
        <f>-IFERROR('4. NPV'!#REF!/'4. NPV'!ATB$8,0)</f>
        <v>0</v>
      </c>
      <c r="ATB54" s="5">
        <f>-IFERROR('4. NPV'!#REF!/'4. NPV'!ATC$8,0)</f>
        <v>0</v>
      </c>
      <c r="ATC54" s="5">
        <f>-IFERROR('4. NPV'!#REF!/'4. NPV'!ATD$8,0)</f>
        <v>0</v>
      </c>
      <c r="ATD54" s="5">
        <f>-IFERROR('4. NPV'!#REF!/'4. NPV'!ATE$8,0)</f>
        <v>0</v>
      </c>
      <c r="ATE54" s="5">
        <f>-IFERROR('4. NPV'!#REF!/'4. NPV'!ATF$8,0)</f>
        <v>0</v>
      </c>
      <c r="ATF54" s="5">
        <f>-IFERROR('4. NPV'!#REF!/'4. NPV'!ATG$8,0)</f>
        <v>0</v>
      </c>
      <c r="ATG54" s="5">
        <f>-IFERROR('4. NPV'!#REF!/'4. NPV'!ATH$8,0)</f>
        <v>0</v>
      </c>
      <c r="ATH54" s="5">
        <f>-IFERROR('4. NPV'!#REF!/'4. NPV'!ATI$8,0)</f>
        <v>0</v>
      </c>
      <c r="ATI54" s="5">
        <f>-IFERROR('4. NPV'!#REF!/'4. NPV'!ATJ$8,0)</f>
        <v>0</v>
      </c>
      <c r="ATJ54" s="5">
        <f>-IFERROR('4. NPV'!#REF!/'4. NPV'!ATK$8,0)</f>
        <v>0</v>
      </c>
      <c r="ATK54" s="5">
        <f>-IFERROR('4. NPV'!#REF!/'4. NPV'!ATL$8,0)</f>
        <v>0</v>
      </c>
      <c r="ATL54" s="5">
        <f>-IFERROR('4. NPV'!#REF!/'4. NPV'!ATM$8,0)</f>
        <v>0</v>
      </c>
      <c r="ATM54" s="5">
        <f>-IFERROR('4. NPV'!#REF!/'4. NPV'!ATN$8,0)</f>
        <v>0</v>
      </c>
      <c r="ATN54" s="5">
        <f>-IFERROR('4. NPV'!#REF!/'4. NPV'!ATO$8,0)</f>
        <v>0</v>
      </c>
      <c r="ATO54" s="5">
        <f>-IFERROR('4. NPV'!#REF!/'4. NPV'!ATP$8,0)</f>
        <v>0</v>
      </c>
      <c r="ATP54" s="5">
        <f>-IFERROR('4. NPV'!#REF!/'4. NPV'!ATQ$8,0)</f>
        <v>0</v>
      </c>
      <c r="ATQ54" s="5">
        <f>-IFERROR('4. NPV'!#REF!/'4. NPV'!ATR$8,0)</f>
        <v>0</v>
      </c>
      <c r="ATR54" s="5">
        <f>-IFERROR('4. NPV'!#REF!/'4. NPV'!ATS$8,0)</f>
        <v>0</v>
      </c>
      <c r="ATS54" s="5">
        <f>-IFERROR('4. NPV'!#REF!/'4. NPV'!ATT$8,0)</f>
        <v>0</v>
      </c>
      <c r="ATT54" s="5">
        <f>-IFERROR('4. NPV'!#REF!/'4. NPV'!ATU$8,0)</f>
        <v>0</v>
      </c>
      <c r="ATU54" s="5">
        <f>-IFERROR('4. NPV'!#REF!/'4. NPV'!ATV$8,0)</f>
        <v>0</v>
      </c>
      <c r="ATV54" s="5">
        <f>-IFERROR('4. NPV'!#REF!/'4. NPV'!ATW$8,0)</f>
        <v>0</v>
      </c>
      <c r="ATW54" s="5">
        <f>-IFERROR('4. NPV'!#REF!/'4. NPV'!ATX$8,0)</f>
        <v>0</v>
      </c>
      <c r="ATX54" s="5">
        <f>-IFERROR('4. NPV'!#REF!/'4. NPV'!ATY$8,0)</f>
        <v>0</v>
      </c>
      <c r="ATY54" s="5">
        <f>-IFERROR('4. NPV'!#REF!/'4. NPV'!ATZ$8,0)</f>
        <v>0</v>
      </c>
      <c r="ATZ54" s="5">
        <f>-IFERROR('4. NPV'!#REF!/'4. NPV'!AUA$8,0)</f>
        <v>0</v>
      </c>
      <c r="AUA54" s="5">
        <f>-IFERROR('4. NPV'!#REF!/'4. NPV'!AUB$8,0)</f>
        <v>0</v>
      </c>
      <c r="AUB54" s="5">
        <f>-IFERROR('4. NPV'!#REF!/'4. NPV'!AUC$8,0)</f>
        <v>0</v>
      </c>
      <c r="AUC54" s="5">
        <f>-IFERROR('4. NPV'!#REF!/'4. NPV'!AUD$8,0)</f>
        <v>0</v>
      </c>
      <c r="AUD54" s="5">
        <f>-IFERROR('4. NPV'!#REF!/'4. NPV'!AUE$8,0)</f>
        <v>0</v>
      </c>
      <c r="AUE54" s="5">
        <f>-IFERROR('4. NPV'!#REF!/'4. NPV'!AUF$8,0)</f>
        <v>0</v>
      </c>
      <c r="AUF54" s="5">
        <f>-IFERROR('4. NPV'!#REF!/'4. NPV'!AUG$8,0)</f>
        <v>0</v>
      </c>
      <c r="AUG54" s="5">
        <f>-IFERROR('4. NPV'!#REF!/'4. NPV'!AUH$8,0)</f>
        <v>0</v>
      </c>
      <c r="AUH54" s="5">
        <f>-IFERROR('4. NPV'!#REF!/'4. NPV'!AUI$8,0)</f>
        <v>0</v>
      </c>
      <c r="AUI54" s="5">
        <f>-IFERROR('4. NPV'!#REF!/'4. NPV'!AUJ$8,0)</f>
        <v>0</v>
      </c>
      <c r="AUJ54" s="5">
        <f>-IFERROR('4. NPV'!#REF!/'4. NPV'!AUK$8,0)</f>
        <v>0</v>
      </c>
      <c r="AUK54" s="5">
        <f>-IFERROR('4. NPV'!#REF!/'4. NPV'!AUL$8,0)</f>
        <v>0</v>
      </c>
      <c r="AUL54" s="5">
        <f>-IFERROR('4. NPV'!#REF!/'4. NPV'!AUM$8,0)</f>
        <v>0</v>
      </c>
      <c r="AUM54" s="5">
        <f>-IFERROR('4. NPV'!#REF!/'4. NPV'!AUN$8,0)</f>
        <v>0</v>
      </c>
      <c r="AUN54" s="5">
        <f>-IFERROR('4. NPV'!#REF!/'4. NPV'!AUO$8,0)</f>
        <v>0</v>
      </c>
      <c r="AUO54" s="5">
        <f>-IFERROR('4. NPV'!#REF!/'4. NPV'!AUP$8,0)</f>
        <v>0</v>
      </c>
      <c r="AUP54" s="5">
        <f>-IFERROR('4. NPV'!#REF!/'4. NPV'!AUQ$8,0)</f>
        <v>0</v>
      </c>
      <c r="AUQ54" s="5">
        <f>-IFERROR('4. NPV'!#REF!/'4. NPV'!AUR$8,0)</f>
        <v>0</v>
      </c>
      <c r="AUR54" s="5">
        <f>-IFERROR('4. NPV'!#REF!/'4. NPV'!AUS$8,0)</f>
        <v>0</v>
      </c>
      <c r="AUS54" s="5">
        <f>-IFERROR('4. NPV'!#REF!/'4. NPV'!AUT$8,0)</f>
        <v>0</v>
      </c>
      <c r="AUT54" s="5">
        <f>-IFERROR('4. NPV'!#REF!/'4. NPV'!AUU$8,0)</f>
        <v>0</v>
      </c>
      <c r="AUU54" s="5">
        <f>-IFERROR('4. NPV'!#REF!/'4. NPV'!AUV$8,0)</f>
        <v>0</v>
      </c>
      <c r="AUV54" s="5">
        <f>-IFERROR('4. NPV'!#REF!/'4. NPV'!AUW$8,0)</f>
        <v>0</v>
      </c>
      <c r="AUW54" s="5">
        <f>-IFERROR('4. NPV'!#REF!/'4. NPV'!AUX$8,0)</f>
        <v>0</v>
      </c>
      <c r="AUX54" s="5">
        <f>-IFERROR('4. NPV'!#REF!/'4. NPV'!AUY$8,0)</f>
        <v>0</v>
      </c>
      <c r="AUY54" s="5">
        <f>-IFERROR('4. NPV'!#REF!/'4. NPV'!AUZ$8,0)</f>
        <v>0</v>
      </c>
      <c r="AUZ54" s="5">
        <f>-IFERROR('4. NPV'!#REF!/'4. NPV'!AVA$8,0)</f>
        <v>0</v>
      </c>
      <c r="AVA54" s="5">
        <f>-IFERROR('4. NPV'!#REF!/'4. NPV'!AVB$8,0)</f>
        <v>0</v>
      </c>
      <c r="AVB54" s="5">
        <f>-IFERROR('4. NPV'!#REF!/'4. NPV'!AVC$8,0)</f>
        <v>0</v>
      </c>
      <c r="AVC54" s="5">
        <f>-IFERROR('4. NPV'!#REF!/'4. NPV'!AVD$8,0)</f>
        <v>0</v>
      </c>
      <c r="AVD54" s="5">
        <f>-IFERROR('4. NPV'!#REF!/'4. NPV'!AVE$8,0)</f>
        <v>0</v>
      </c>
      <c r="AVE54" s="5">
        <f>-IFERROR('4. NPV'!#REF!/'4. NPV'!AVF$8,0)</f>
        <v>0</v>
      </c>
      <c r="AVF54" s="5">
        <f>-IFERROR('4. NPV'!#REF!/'4. NPV'!AVG$8,0)</f>
        <v>0</v>
      </c>
      <c r="AVG54" s="5">
        <f>-IFERROR('4. NPV'!#REF!/'4. NPV'!AVH$8,0)</f>
        <v>0</v>
      </c>
      <c r="AVH54" s="5">
        <f>-IFERROR('4. NPV'!#REF!/'4. NPV'!AVI$8,0)</f>
        <v>0</v>
      </c>
      <c r="AVI54" s="5">
        <f>-IFERROR('4. NPV'!#REF!/'4. NPV'!AVJ$8,0)</f>
        <v>0</v>
      </c>
      <c r="AVJ54" s="5">
        <f>-IFERROR('4. NPV'!#REF!/'4. NPV'!AVK$8,0)</f>
        <v>0</v>
      </c>
      <c r="AVK54" s="5">
        <f>-IFERROR('4. NPV'!#REF!/'4. NPV'!AVL$8,0)</f>
        <v>0</v>
      </c>
      <c r="AVL54" s="5">
        <f>-IFERROR('4. NPV'!#REF!/'4. NPV'!AVM$8,0)</f>
        <v>0</v>
      </c>
      <c r="AVM54" s="5">
        <f>-IFERROR('4. NPV'!#REF!/'4. NPV'!AVN$8,0)</f>
        <v>0</v>
      </c>
      <c r="AVN54" s="5">
        <f>-IFERROR('4. NPV'!#REF!/'4. NPV'!AVO$8,0)</f>
        <v>0</v>
      </c>
      <c r="AVO54" s="5">
        <f>-IFERROR('4. NPV'!#REF!/'4. NPV'!AVP$8,0)</f>
        <v>0</v>
      </c>
      <c r="AVP54" s="5">
        <f>-IFERROR('4. NPV'!#REF!/'4. NPV'!AVQ$8,0)</f>
        <v>0</v>
      </c>
      <c r="AVQ54" s="5">
        <f>-IFERROR('4. NPV'!#REF!/'4. NPV'!AVR$8,0)</f>
        <v>0</v>
      </c>
      <c r="AVR54" s="5">
        <f>-IFERROR('4. NPV'!#REF!/'4. NPV'!AVS$8,0)</f>
        <v>0</v>
      </c>
      <c r="AVS54" s="5">
        <f>-IFERROR('4. NPV'!#REF!/'4. NPV'!AVT$8,0)</f>
        <v>0</v>
      </c>
      <c r="AVT54" s="5">
        <f>-IFERROR('4. NPV'!#REF!/'4. NPV'!AVU$8,0)</f>
        <v>0</v>
      </c>
      <c r="AVU54" s="5">
        <f>-IFERROR('4. NPV'!#REF!/'4. NPV'!AVV$8,0)</f>
        <v>0</v>
      </c>
      <c r="AVV54" s="5">
        <f>-IFERROR('4. NPV'!#REF!/'4. NPV'!AVW$8,0)</f>
        <v>0</v>
      </c>
      <c r="AVW54" s="5">
        <f>-IFERROR('4. NPV'!#REF!/'4. NPV'!AVX$8,0)</f>
        <v>0</v>
      </c>
      <c r="AVX54" s="5">
        <f>-IFERROR('4. NPV'!#REF!/'4. NPV'!AVY$8,0)</f>
        <v>0</v>
      </c>
      <c r="AVY54" s="5">
        <f>-IFERROR('4. NPV'!#REF!/'4. NPV'!AVZ$8,0)</f>
        <v>0</v>
      </c>
      <c r="AVZ54" s="5">
        <f>-IFERROR('4. NPV'!#REF!/'4. NPV'!AWA$8,0)</f>
        <v>0</v>
      </c>
      <c r="AWA54" s="5">
        <f>-IFERROR('4. NPV'!#REF!/'4. NPV'!AWB$8,0)</f>
        <v>0</v>
      </c>
      <c r="AWB54" s="5">
        <f>-IFERROR('4. NPV'!#REF!/'4. NPV'!AWC$8,0)</f>
        <v>0</v>
      </c>
      <c r="AWC54" s="5">
        <f>-IFERROR('4. NPV'!#REF!/'4. NPV'!AWD$8,0)</f>
        <v>0</v>
      </c>
      <c r="AWD54" s="5">
        <f>-IFERROR('4. NPV'!#REF!/'4. NPV'!AWE$8,0)</f>
        <v>0</v>
      </c>
      <c r="AWE54" s="5">
        <f>-IFERROR('4. NPV'!#REF!/'4. NPV'!AWF$8,0)</f>
        <v>0</v>
      </c>
      <c r="AWF54" s="5">
        <f>-IFERROR('4. NPV'!#REF!/'4. NPV'!AWG$8,0)</f>
        <v>0</v>
      </c>
      <c r="AWG54" s="5">
        <f>-IFERROR('4. NPV'!#REF!/'4. NPV'!AWH$8,0)</f>
        <v>0</v>
      </c>
      <c r="AWH54" s="5">
        <f>-IFERROR('4. NPV'!#REF!/'4. NPV'!AWI$8,0)</f>
        <v>0</v>
      </c>
      <c r="AWI54" s="5">
        <f>-IFERROR('4. NPV'!#REF!/'4. NPV'!AWJ$8,0)</f>
        <v>0</v>
      </c>
      <c r="AWJ54" s="5">
        <f>-IFERROR('4. NPV'!#REF!/'4. NPV'!AWK$8,0)</f>
        <v>0</v>
      </c>
      <c r="AWK54" s="5">
        <f>-IFERROR('4. NPV'!#REF!/'4. NPV'!AWL$8,0)</f>
        <v>0</v>
      </c>
      <c r="AWL54" s="5">
        <f>-IFERROR('4. NPV'!#REF!/'4. NPV'!AWM$8,0)</f>
        <v>0</v>
      </c>
      <c r="AWM54" s="5">
        <f>-IFERROR('4. NPV'!#REF!/'4. NPV'!AWN$8,0)</f>
        <v>0</v>
      </c>
      <c r="AWN54" s="5">
        <f>-IFERROR('4. NPV'!#REF!/'4. NPV'!AWO$8,0)</f>
        <v>0</v>
      </c>
      <c r="AWO54" s="5">
        <f>-IFERROR('4. NPV'!#REF!/'4. NPV'!AWP$8,0)</f>
        <v>0</v>
      </c>
      <c r="AWP54" s="5">
        <f>-IFERROR('4. NPV'!#REF!/'4. NPV'!AWQ$8,0)</f>
        <v>0</v>
      </c>
      <c r="AWQ54" s="5">
        <f>-IFERROR('4. NPV'!#REF!/'4. NPV'!AWR$8,0)</f>
        <v>0</v>
      </c>
      <c r="AWR54" s="5">
        <f>-IFERROR('4. NPV'!#REF!/'4. NPV'!AWS$8,0)</f>
        <v>0</v>
      </c>
      <c r="AWS54" s="5">
        <f>-IFERROR('4. NPV'!#REF!/'4. NPV'!AWT$8,0)</f>
        <v>0</v>
      </c>
      <c r="AWT54" s="5">
        <f>-IFERROR('4. NPV'!#REF!/'4. NPV'!AWU$8,0)</f>
        <v>0</v>
      </c>
      <c r="AWU54" s="5">
        <f>-IFERROR('4. NPV'!#REF!/'4. NPV'!AWV$8,0)</f>
        <v>0</v>
      </c>
      <c r="AWV54" s="5">
        <f>-IFERROR('4. NPV'!#REF!/'4. NPV'!AWW$8,0)</f>
        <v>0</v>
      </c>
      <c r="AWW54" s="5">
        <f>-IFERROR('4. NPV'!#REF!/'4. NPV'!AWX$8,0)</f>
        <v>0</v>
      </c>
      <c r="AWX54" s="5">
        <f>-IFERROR('4. NPV'!#REF!/'4. NPV'!AWY$8,0)</f>
        <v>0</v>
      </c>
      <c r="AWY54" s="5">
        <f>-IFERROR('4. NPV'!#REF!/'4. NPV'!AWZ$8,0)</f>
        <v>0</v>
      </c>
      <c r="AWZ54" s="5">
        <f>-IFERROR('4. NPV'!#REF!/'4. NPV'!AXA$8,0)</f>
        <v>0</v>
      </c>
      <c r="AXA54" s="5">
        <f>-IFERROR('4. NPV'!#REF!/'4. NPV'!AXB$8,0)</f>
        <v>0</v>
      </c>
      <c r="AXB54" s="5">
        <f>-IFERROR('4. NPV'!#REF!/'4. NPV'!AXC$8,0)</f>
        <v>0</v>
      </c>
      <c r="AXC54" s="5">
        <f>-IFERROR('4. NPV'!#REF!/'4. NPV'!AXD$8,0)</f>
        <v>0</v>
      </c>
      <c r="AXD54" s="5">
        <f>-IFERROR('4. NPV'!#REF!/'4. NPV'!AXE$8,0)</f>
        <v>0</v>
      </c>
      <c r="AXE54" s="5">
        <f>-IFERROR('4. NPV'!#REF!/'4. NPV'!AXF$8,0)</f>
        <v>0</v>
      </c>
      <c r="AXF54" s="5">
        <f>-IFERROR('4. NPV'!#REF!/'4. NPV'!AXG$8,0)</f>
        <v>0</v>
      </c>
      <c r="AXG54" s="5">
        <f>-IFERROR('4. NPV'!#REF!/'4. NPV'!AXH$8,0)</f>
        <v>0</v>
      </c>
      <c r="AXH54" s="5">
        <f>-IFERROR('4. NPV'!#REF!/'4. NPV'!AXI$8,0)</f>
        <v>0</v>
      </c>
      <c r="AXI54" s="5">
        <f>-IFERROR('4. NPV'!#REF!/'4. NPV'!AXJ$8,0)</f>
        <v>0</v>
      </c>
      <c r="AXJ54" s="5">
        <f>-IFERROR('4. NPV'!#REF!/'4. NPV'!AXK$8,0)</f>
        <v>0</v>
      </c>
      <c r="AXK54" s="5">
        <f>-IFERROR('4. NPV'!#REF!/'4. NPV'!AXL$8,0)</f>
        <v>0</v>
      </c>
      <c r="AXL54" s="5">
        <f>-IFERROR('4. NPV'!#REF!/'4. NPV'!AXM$8,0)</f>
        <v>0</v>
      </c>
      <c r="AXM54" s="5">
        <f>-IFERROR('4. NPV'!#REF!/'4. NPV'!AXN$8,0)</f>
        <v>0</v>
      </c>
      <c r="AXN54" s="5">
        <f>-IFERROR('4. NPV'!#REF!/'4. NPV'!AXO$8,0)</f>
        <v>0</v>
      </c>
      <c r="AXO54" s="5">
        <f>-IFERROR('4. NPV'!#REF!/'4. NPV'!AXP$8,0)</f>
        <v>0</v>
      </c>
      <c r="AXP54" s="5">
        <f>-IFERROR('4. NPV'!#REF!/'4. NPV'!AXQ$8,0)</f>
        <v>0</v>
      </c>
      <c r="AXQ54" s="5">
        <f>-IFERROR('4. NPV'!#REF!/'4. NPV'!AXR$8,0)</f>
        <v>0</v>
      </c>
      <c r="AXR54" s="5">
        <f>-IFERROR('4. NPV'!#REF!/'4. NPV'!AXS$8,0)</f>
        <v>0</v>
      </c>
      <c r="AXS54" s="5">
        <f>-IFERROR('4. NPV'!#REF!/'4. NPV'!AXT$8,0)</f>
        <v>0</v>
      </c>
      <c r="AXT54" s="5">
        <f>-IFERROR('4. NPV'!#REF!/'4. NPV'!AXU$8,0)</f>
        <v>0</v>
      </c>
      <c r="AXU54" s="5">
        <f>-IFERROR('4. NPV'!#REF!/'4. NPV'!AXV$8,0)</f>
        <v>0</v>
      </c>
      <c r="AXV54" s="5">
        <f>-IFERROR('4. NPV'!#REF!/'4. NPV'!AXW$8,0)</f>
        <v>0</v>
      </c>
      <c r="AXW54" s="5">
        <f>-IFERROR('4. NPV'!#REF!/'4. NPV'!AXX$8,0)</f>
        <v>0</v>
      </c>
      <c r="AXX54" s="5">
        <f>-IFERROR('4. NPV'!#REF!/'4. NPV'!AXY$8,0)</f>
        <v>0</v>
      </c>
      <c r="AXY54" s="5">
        <f>-IFERROR('4. NPV'!#REF!/'4. NPV'!AXZ$8,0)</f>
        <v>0</v>
      </c>
      <c r="AXZ54" s="5">
        <f>-IFERROR('4. NPV'!#REF!/'4. NPV'!AYA$8,0)</f>
        <v>0</v>
      </c>
      <c r="AYA54" s="5">
        <f>-IFERROR('4. NPV'!#REF!/'4. NPV'!AYB$8,0)</f>
        <v>0</v>
      </c>
      <c r="AYB54" s="5">
        <f>-IFERROR('4. NPV'!#REF!/'4. NPV'!AYC$8,0)</f>
        <v>0</v>
      </c>
      <c r="AYC54" s="5">
        <f>-IFERROR('4. NPV'!#REF!/'4. NPV'!AYD$8,0)</f>
        <v>0</v>
      </c>
      <c r="AYD54" s="5">
        <f>-IFERROR('4. NPV'!#REF!/'4. NPV'!AYE$8,0)</f>
        <v>0</v>
      </c>
      <c r="AYE54" s="5">
        <f>-IFERROR('4. NPV'!#REF!/'4. NPV'!AYF$8,0)</f>
        <v>0</v>
      </c>
      <c r="AYF54" s="5">
        <f>-IFERROR('4. NPV'!#REF!/'4. NPV'!AYG$8,0)</f>
        <v>0</v>
      </c>
      <c r="AYG54" s="5">
        <f>-IFERROR('4. NPV'!#REF!/'4. NPV'!AYH$8,0)</f>
        <v>0</v>
      </c>
      <c r="AYH54" s="5">
        <f>-IFERROR('4. NPV'!#REF!/'4. NPV'!AYI$8,0)</f>
        <v>0</v>
      </c>
      <c r="AYI54" s="5">
        <f>-IFERROR('4. NPV'!#REF!/'4. NPV'!AYJ$8,0)</f>
        <v>0</v>
      </c>
      <c r="AYJ54" s="5">
        <f>-IFERROR('4. NPV'!#REF!/'4. NPV'!AYK$8,0)</f>
        <v>0</v>
      </c>
      <c r="AYK54" s="5">
        <f>-IFERROR('4. NPV'!#REF!/'4. NPV'!AYL$8,0)</f>
        <v>0</v>
      </c>
      <c r="AYL54" s="5">
        <f>-IFERROR('4. NPV'!#REF!/'4. NPV'!AYM$8,0)</f>
        <v>0</v>
      </c>
      <c r="AYM54" s="5">
        <f>-IFERROR('4. NPV'!#REF!/'4. NPV'!AYN$8,0)</f>
        <v>0</v>
      </c>
      <c r="AYN54" s="5">
        <f>-IFERROR('4. NPV'!#REF!/'4. NPV'!AYO$8,0)</f>
        <v>0</v>
      </c>
      <c r="AYO54" s="5">
        <f>-IFERROR('4. NPV'!#REF!/'4. NPV'!AYP$8,0)</f>
        <v>0</v>
      </c>
      <c r="AYP54" s="5">
        <f>-IFERROR('4. NPV'!#REF!/'4. NPV'!AYQ$8,0)</f>
        <v>0</v>
      </c>
      <c r="AYQ54" s="5">
        <f>-IFERROR('4. NPV'!#REF!/'4. NPV'!AYR$8,0)</f>
        <v>0</v>
      </c>
      <c r="AYR54" s="5">
        <f>-IFERROR('4. NPV'!#REF!/'4. NPV'!AYS$8,0)</f>
        <v>0</v>
      </c>
      <c r="AYS54" s="5">
        <f>-IFERROR('4. NPV'!#REF!/'4. NPV'!AYT$8,0)</f>
        <v>0</v>
      </c>
      <c r="AYT54" s="5">
        <f>-IFERROR('4. NPV'!#REF!/'4. NPV'!AYU$8,0)</f>
        <v>0</v>
      </c>
      <c r="AYU54" s="5">
        <f>-IFERROR('4. NPV'!#REF!/'4. NPV'!AYV$8,0)</f>
        <v>0</v>
      </c>
      <c r="AYV54" s="5">
        <f>-IFERROR('4. NPV'!#REF!/'4. NPV'!AYW$8,0)</f>
        <v>0</v>
      </c>
      <c r="AYW54" s="5">
        <f>-IFERROR('4. NPV'!#REF!/'4. NPV'!AYX$8,0)</f>
        <v>0</v>
      </c>
      <c r="AYX54" s="5">
        <f>-IFERROR('4. NPV'!#REF!/'4. NPV'!AYY$8,0)</f>
        <v>0</v>
      </c>
      <c r="AYY54" s="5">
        <f>-IFERROR('4. NPV'!#REF!/'4. NPV'!AYZ$8,0)</f>
        <v>0</v>
      </c>
      <c r="AYZ54" s="5">
        <f>-IFERROR('4. NPV'!#REF!/'4. NPV'!AZA$8,0)</f>
        <v>0</v>
      </c>
      <c r="AZA54" s="5">
        <f>-IFERROR('4. NPV'!#REF!/'4. NPV'!AZB$8,0)</f>
        <v>0</v>
      </c>
      <c r="AZB54" s="5">
        <f>-IFERROR('4. NPV'!#REF!/'4. NPV'!AZC$8,0)</f>
        <v>0</v>
      </c>
      <c r="AZC54" s="5">
        <f>-IFERROR('4. NPV'!#REF!/'4. NPV'!AZD$8,0)</f>
        <v>0</v>
      </c>
      <c r="AZD54" s="5">
        <f>-IFERROR('4. NPV'!#REF!/'4. NPV'!AZE$8,0)</f>
        <v>0</v>
      </c>
      <c r="AZE54" s="5">
        <f>-IFERROR('4. NPV'!#REF!/'4. NPV'!AZF$8,0)</f>
        <v>0</v>
      </c>
      <c r="AZF54" s="5">
        <f>-IFERROR('4. NPV'!#REF!/'4. NPV'!AZG$8,0)</f>
        <v>0</v>
      </c>
      <c r="AZG54" s="5">
        <f>-IFERROR('4. NPV'!#REF!/'4. NPV'!AZH$8,0)</f>
        <v>0</v>
      </c>
      <c r="AZH54" s="5">
        <f>-IFERROR('4. NPV'!#REF!/'4. NPV'!AZI$8,0)</f>
        <v>0</v>
      </c>
      <c r="AZI54" s="5">
        <f>-IFERROR('4. NPV'!#REF!/'4. NPV'!AZJ$8,0)</f>
        <v>0</v>
      </c>
      <c r="AZJ54" s="5">
        <f>-IFERROR('4. NPV'!#REF!/'4. NPV'!AZK$8,0)</f>
        <v>0</v>
      </c>
      <c r="AZK54" s="5">
        <f>-IFERROR('4. NPV'!#REF!/'4. NPV'!AZL$8,0)</f>
        <v>0</v>
      </c>
      <c r="AZL54" s="5">
        <f>-IFERROR('4. NPV'!#REF!/'4. NPV'!AZM$8,0)</f>
        <v>0</v>
      </c>
      <c r="AZM54" s="5">
        <f>-IFERROR('4. NPV'!#REF!/'4. NPV'!AZN$8,0)</f>
        <v>0</v>
      </c>
      <c r="AZN54" s="5">
        <f>-IFERROR('4. NPV'!#REF!/'4. NPV'!AZO$8,0)</f>
        <v>0</v>
      </c>
      <c r="AZO54" s="5">
        <f>-IFERROR('4. NPV'!#REF!/'4. NPV'!AZP$8,0)</f>
        <v>0</v>
      </c>
      <c r="AZP54" s="5">
        <f>-IFERROR('4. NPV'!#REF!/'4. NPV'!AZQ$8,0)</f>
        <v>0</v>
      </c>
      <c r="AZQ54" s="5">
        <f>-IFERROR('4. NPV'!#REF!/'4. NPV'!AZR$8,0)</f>
        <v>0</v>
      </c>
      <c r="AZR54" s="5">
        <f>-IFERROR('4. NPV'!#REF!/'4. NPV'!AZS$8,0)</f>
        <v>0</v>
      </c>
      <c r="AZS54" s="5">
        <f>-IFERROR('4. NPV'!#REF!/'4. NPV'!AZT$8,0)</f>
        <v>0</v>
      </c>
      <c r="AZT54" s="5">
        <f>-IFERROR('4. NPV'!#REF!/'4. NPV'!AZU$8,0)</f>
        <v>0</v>
      </c>
      <c r="AZU54" s="5">
        <f>-IFERROR('4. NPV'!#REF!/'4. NPV'!AZV$8,0)</f>
        <v>0</v>
      </c>
      <c r="AZV54" s="5">
        <f>-IFERROR('4. NPV'!#REF!/'4. NPV'!AZW$8,0)</f>
        <v>0</v>
      </c>
      <c r="AZW54" s="5">
        <f>-IFERROR('4. NPV'!#REF!/'4. NPV'!AZX$8,0)</f>
        <v>0</v>
      </c>
      <c r="AZX54" s="5">
        <f>-IFERROR('4. NPV'!#REF!/'4. NPV'!AZY$8,0)</f>
        <v>0</v>
      </c>
      <c r="AZY54" s="5">
        <f>-IFERROR('4. NPV'!#REF!/'4. NPV'!AZZ$8,0)</f>
        <v>0</v>
      </c>
      <c r="AZZ54" s="5">
        <f>-IFERROR('4. NPV'!#REF!/'4. NPV'!BAA$8,0)</f>
        <v>0</v>
      </c>
      <c r="BAA54" s="5">
        <f>-IFERROR('4. NPV'!#REF!/'4. NPV'!BAB$8,0)</f>
        <v>0</v>
      </c>
      <c r="BAB54" s="5">
        <f>-IFERROR('4. NPV'!#REF!/'4. NPV'!BAC$8,0)</f>
        <v>0</v>
      </c>
      <c r="BAC54" s="5">
        <f>-IFERROR('4. NPV'!#REF!/'4. NPV'!BAD$8,0)</f>
        <v>0</v>
      </c>
      <c r="BAD54" s="5">
        <f>-IFERROR('4. NPV'!#REF!/'4. NPV'!BAE$8,0)</f>
        <v>0</v>
      </c>
      <c r="BAE54" s="5">
        <f>-IFERROR('4. NPV'!#REF!/'4. NPV'!BAF$8,0)</f>
        <v>0</v>
      </c>
      <c r="BAF54" s="5">
        <f>-IFERROR('4. NPV'!#REF!/'4. NPV'!BAG$8,0)</f>
        <v>0</v>
      </c>
      <c r="BAG54" s="5">
        <f>-IFERROR('4. NPV'!#REF!/'4. NPV'!BAH$8,0)</f>
        <v>0</v>
      </c>
      <c r="BAH54" s="5">
        <f>-IFERROR('4. NPV'!#REF!/'4. NPV'!BAI$8,0)</f>
        <v>0</v>
      </c>
      <c r="BAI54" s="5">
        <f>-IFERROR('4. NPV'!#REF!/'4. NPV'!BAJ$8,0)</f>
        <v>0</v>
      </c>
      <c r="BAJ54" s="5">
        <f>-IFERROR('4. NPV'!#REF!/'4. NPV'!BAK$8,0)</f>
        <v>0</v>
      </c>
      <c r="BAK54" s="5">
        <f>-IFERROR('4. NPV'!#REF!/'4. NPV'!BAL$8,0)</f>
        <v>0</v>
      </c>
      <c r="BAL54" s="5">
        <f>-IFERROR('4. NPV'!#REF!/'4. NPV'!BAM$8,0)</f>
        <v>0</v>
      </c>
      <c r="BAM54" s="5">
        <f>-IFERROR('4. NPV'!#REF!/'4. NPV'!BAN$8,0)</f>
        <v>0</v>
      </c>
      <c r="BAN54" s="5">
        <f>-IFERROR('4. NPV'!#REF!/'4. NPV'!BAO$8,0)</f>
        <v>0</v>
      </c>
      <c r="BAO54" s="5">
        <f>-IFERROR('4. NPV'!#REF!/'4. NPV'!BAP$8,0)</f>
        <v>0</v>
      </c>
      <c r="BAP54" s="5">
        <f>-IFERROR('4. NPV'!#REF!/'4. NPV'!BAQ$8,0)</f>
        <v>0</v>
      </c>
      <c r="BAQ54" s="5">
        <f>-IFERROR('4. NPV'!#REF!/'4. NPV'!BAR$8,0)</f>
        <v>0</v>
      </c>
      <c r="BAR54" s="5">
        <f>-IFERROR('4. NPV'!#REF!/'4. NPV'!BAS$8,0)</f>
        <v>0</v>
      </c>
      <c r="BAS54" s="5">
        <f>-IFERROR('4. NPV'!#REF!/'4. NPV'!BAT$8,0)</f>
        <v>0</v>
      </c>
      <c r="BAT54" s="5">
        <f>-IFERROR('4. NPV'!#REF!/'4. NPV'!BAU$8,0)</f>
        <v>0</v>
      </c>
      <c r="BAU54" s="5">
        <f>-IFERROR('4. NPV'!#REF!/'4. NPV'!BAV$8,0)</f>
        <v>0</v>
      </c>
      <c r="BAV54" s="5">
        <f>-IFERROR('4. NPV'!#REF!/'4. NPV'!BAW$8,0)</f>
        <v>0</v>
      </c>
      <c r="BAW54" s="5">
        <f>-IFERROR('4. NPV'!#REF!/'4. NPV'!BAX$8,0)</f>
        <v>0</v>
      </c>
      <c r="BAX54" s="5">
        <f>-IFERROR('4. NPV'!#REF!/'4. NPV'!BAY$8,0)</f>
        <v>0</v>
      </c>
      <c r="BAY54" s="5">
        <f>-IFERROR('4. NPV'!#REF!/'4. NPV'!BAZ$8,0)</f>
        <v>0</v>
      </c>
      <c r="BAZ54" s="5">
        <f>-IFERROR('4. NPV'!#REF!/'4. NPV'!BBA$8,0)</f>
        <v>0</v>
      </c>
      <c r="BBA54" s="5">
        <f>-IFERROR('4. NPV'!#REF!/'4. NPV'!BBB$8,0)</f>
        <v>0</v>
      </c>
      <c r="BBB54" s="5">
        <f>-IFERROR('4. NPV'!#REF!/'4. NPV'!BBC$8,0)</f>
        <v>0</v>
      </c>
      <c r="BBC54" s="5">
        <f>-IFERROR('4. NPV'!#REF!/'4. NPV'!BBD$8,0)</f>
        <v>0</v>
      </c>
      <c r="BBD54" s="5">
        <f>-IFERROR('4. NPV'!#REF!/'4. NPV'!BBE$8,0)</f>
        <v>0</v>
      </c>
      <c r="BBE54" s="5">
        <f>-IFERROR('4. NPV'!#REF!/'4. NPV'!BBF$8,0)</f>
        <v>0</v>
      </c>
      <c r="BBF54" s="5">
        <f>-IFERROR('4. NPV'!#REF!/'4. NPV'!BBG$8,0)</f>
        <v>0</v>
      </c>
      <c r="BBG54" s="5">
        <f>-IFERROR('4. NPV'!#REF!/'4. NPV'!BBH$8,0)</f>
        <v>0</v>
      </c>
      <c r="BBH54" s="5">
        <f>-IFERROR('4. NPV'!#REF!/'4. NPV'!BBI$8,0)</f>
        <v>0</v>
      </c>
      <c r="BBI54" s="5">
        <f>-IFERROR('4. NPV'!#REF!/'4. NPV'!BBJ$8,0)</f>
        <v>0</v>
      </c>
      <c r="BBJ54" s="5">
        <f>-IFERROR('4. NPV'!#REF!/'4. NPV'!BBK$8,0)</f>
        <v>0</v>
      </c>
      <c r="BBK54" s="5">
        <f>-IFERROR('4. NPV'!#REF!/'4. NPV'!BBL$8,0)</f>
        <v>0</v>
      </c>
      <c r="BBL54" s="5">
        <f>-IFERROR('4. NPV'!#REF!/'4. NPV'!BBM$8,0)</f>
        <v>0</v>
      </c>
      <c r="BBM54" s="5">
        <f>-IFERROR('4. NPV'!#REF!/'4. NPV'!BBN$8,0)</f>
        <v>0</v>
      </c>
      <c r="BBN54" s="5">
        <f>-IFERROR('4. NPV'!#REF!/'4. NPV'!BBO$8,0)</f>
        <v>0</v>
      </c>
      <c r="BBO54" s="5">
        <f>-IFERROR('4. NPV'!#REF!/'4. NPV'!BBP$8,0)</f>
        <v>0</v>
      </c>
      <c r="BBP54" s="5">
        <f>-IFERROR('4. NPV'!#REF!/'4. NPV'!BBQ$8,0)</f>
        <v>0</v>
      </c>
      <c r="BBQ54" s="5">
        <f>-IFERROR('4. NPV'!#REF!/'4. NPV'!BBR$8,0)</f>
        <v>0</v>
      </c>
      <c r="BBR54" s="5">
        <f>-IFERROR('4. NPV'!#REF!/'4. NPV'!BBS$8,0)</f>
        <v>0</v>
      </c>
      <c r="BBS54" s="5">
        <f>-IFERROR('4. NPV'!#REF!/'4. NPV'!BBT$8,0)</f>
        <v>0</v>
      </c>
      <c r="BBT54" s="5">
        <f>-IFERROR('4. NPV'!#REF!/'4. NPV'!BBU$8,0)</f>
        <v>0</v>
      </c>
      <c r="BBU54" s="5">
        <f>-IFERROR('4. NPV'!#REF!/'4. NPV'!BBV$8,0)</f>
        <v>0</v>
      </c>
      <c r="BBV54" s="5">
        <f>-IFERROR('4. NPV'!#REF!/'4. NPV'!BBW$8,0)</f>
        <v>0</v>
      </c>
      <c r="BBW54" s="5">
        <f>-IFERROR('4. NPV'!#REF!/'4. NPV'!BBX$8,0)</f>
        <v>0</v>
      </c>
      <c r="BBX54" s="5">
        <f>-IFERROR('4. NPV'!#REF!/'4. NPV'!BBY$8,0)</f>
        <v>0</v>
      </c>
      <c r="BBY54" s="5">
        <f>-IFERROR('4. NPV'!#REF!/'4. NPV'!BBZ$8,0)</f>
        <v>0</v>
      </c>
      <c r="BBZ54" s="5">
        <f>-IFERROR('4. NPV'!#REF!/'4. NPV'!BCA$8,0)</f>
        <v>0</v>
      </c>
      <c r="BCA54" s="5">
        <f>-IFERROR('4. NPV'!#REF!/'4. NPV'!BCB$8,0)</f>
        <v>0</v>
      </c>
      <c r="BCB54" s="5">
        <f>-IFERROR('4. NPV'!#REF!/'4. NPV'!BCC$8,0)</f>
        <v>0</v>
      </c>
      <c r="BCC54" s="5">
        <f>-IFERROR('4. NPV'!#REF!/'4. NPV'!BCD$8,0)</f>
        <v>0</v>
      </c>
      <c r="BCD54" s="5">
        <f>-IFERROR('4. NPV'!#REF!/'4. NPV'!BCE$8,0)</f>
        <v>0</v>
      </c>
      <c r="BCE54" s="5">
        <f>-IFERROR('4. NPV'!#REF!/'4. NPV'!BCF$8,0)</f>
        <v>0</v>
      </c>
      <c r="BCF54" s="5">
        <f>-IFERROR('4. NPV'!#REF!/'4. NPV'!BCG$8,0)</f>
        <v>0</v>
      </c>
      <c r="BCG54" s="5">
        <f>-IFERROR('4. NPV'!#REF!/'4. NPV'!BCH$8,0)</f>
        <v>0</v>
      </c>
      <c r="BCH54" s="5">
        <f>-IFERROR('4. NPV'!#REF!/'4. NPV'!BCI$8,0)</f>
        <v>0</v>
      </c>
      <c r="BCI54" s="5">
        <f>-IFERROR('4. NPV'!#REF!/'4. NPV'!BCJ$8,0)</f>
        <v>0</v>
      </c>
      <c r="BCJ54" s="5">
        <f>-IFERROR('4. NPV'!#REF!/'4. NPV'!BCK$8,0)</f>
        <v>0</v>
      </c>
      <c r="BCK54" s="5">
        <f>-IFERROR('4. NPV'!#REF!/'4. NPV'!BCL$8,0)</f>
        <v>0</v>
      </c>
      <c r="BCL54" s="5">
        <f>-IFERROR('4. NPV'!#REF!/'4. NPV'!BCM$8,0)</f>
        <v>0</v>
      </c>
      <c r="BCM54" s="5">
        <f>-IFERROR('4. NPV'!#REF!/'4. NPV'!BCN$8,0)</f>
        <v>0</v>
      </c>
      <c r="BCN54" s="5">
        <f>-IFERROR('4. NPV'!#REF!/'4. NPV'!BCO$8,0)</f>
        <v>0</v>
      </c>
      <c r="BCO54" s="5">
        <f>-IFERROR('4. NPV'!#REF!/'4. NPV'!BCP$8,0)</f>
        <v>0</v>
      </c>
      <c r="BCP54" s="5">
        <f>-IFERROR('4. NPV'!#REF!/'4. NPV'!BCQ$8,0)</f>
        <v>0</v>
      </c>
      <c r="BCQ54" s="5">
        <f>-IFERROR('4. NPV'!#REF!/'4. NPV'!BCR$8,0)</f>
        <v>0</v>
      </c>
      <c r="BCR54" s="5">
        <f>-IFERROR('4. NPV'!#REF!/'4. NPV'!BCS$8,0)</f>
        <v>0</v>
      </c>
      <c r="BCS54" s="5">
        <f>-IFERROR('4. NPV'!#REF!/'4. NPV'!BCT$8,0)</f>
        <v>0</v>
      </c>
      <c r="BCT54" s="5">
        <f>-IFERROR('4. NPV'!#REF!/'4. NPV'!BCU$8,0)</f>
        <v>0</v>
      </c>
      <c r="BCU54" s="5">
        <f>-IFERROR('4. NPV'!#REF!/'4. NPV'!BCV$8,0)</f>
        <v>0</v>
      </c>
      <c r="BCV54" s="5">
        <f>-IFERROR('4. NPV'!#REF!/'4. NPV'!BCW$8,0)</f>
        <v>0</v>
      </c>
      <c r="BCW54" s="5">
        <f>-IFERROR('4. NPV'!#REF!/'4. NPV'!BCX$8,0)</f>
        <v>0</v>
      </c>
      <c r="BCX54" s="5">
        <f>-IFERROR('4. NPV'!#REF!/'4. NPV'!BCY$8,0)</f>
        <v>0</v>
      </c>
      <c r="BCY54" s="5">
        <f>-IFERROR('4. NPV'!#REF!/'4. NPV'!BCZ$8,0)</f>
        <v>0</v>
      </c>
      <c r="BCZ54" s="5">
        <f>-IFERROR('4. NPV'!#REF!/'4. NPV'!BDA$8,0)</f>
        <v>0</v>
      </c>
      <c r="BDA54" s="5">
        <f>-IFERROR('4. NPV'!#REF!/'4. NPV'!BDB$8,0)</f>
        <v>0</v>
      </c>
      <c r="BDB54" s="5">
        <f>-IFERROR('4. NPV'!#REF!/'4. NPV'!BDC$8,0)</f>
        <v>0</v>
      </c>
      <c r="BDC54" s="5">
        <f>-IFERROR('4. NPV'!#REF!/'4. NPV'!BDD$8,0)</f>
        <v>0</v>
      </c>
      <c r="BDD54" s="5">
        <f>-IFERROR('4. NPV'!#REF!/'4. NPV'!BDE$8,0)</f>
        <v>0</v>
      </c>
      <c r="BDE54" s="5">
        <f>-IFERROR('4. NPV'!#REF!/'4. NPV'!BDF$8,0)</f>
        <v>0</v>
      </c>
      <c r="BDF54" s="5">
        <f>-IFERROR('4. NPV'!#REF!/'4. NPV'!BDG$8,0)</f>
        <v>0</v>
      </c>
      <c r="BDG54" s="5">
        <f>-IFERROR('4. NPV'!#REF!/'4. NPV'!BDH$8,0)</f>
        <v>0</v>
      </c>
      <c r="BDH54" s="5">
        <f>-IFERROR('4. NPV'!#REF!/'4. NPV'!BDI$8,0)</f>
        <v>0</v>
      </c>
      <c r="BDI54" s="5">
        <f>-IFERROR('4. NPV'!#REF!/'4. NPV'!BDJ$8,0)</f>
        <v>0</v>
      </c>
      <c r="BDJ54" s="5">
        <f>-IFERROR('4. NPV'!#REF!/'4. NPV'!BDK$8,0)</f>
        <v>0</v>
      </c>
      <c r="BDK54" s="5">
        <f>-IFERROR('4. NPV'!#REF!/'4. NPV'!BDL$8,0)</f>
        <v>0</v>
      </c>
      <c r="BDL54" s="5">
        <f>-IFERROR('4. NPV'!#REF!/'4. NPV'!BDM$8,0)</f>
        <v>0</v>
      </c>
      <c r="BDM54" s="5">
        <f>-IFERROR('4. NPV'!#REF!/'4. NPV'!BDN$8,0)</f>
        <v>0</v>
      </c>
      <c r="BDN54" s="5">
        <f>-IFERROR('4. NPV'!#REF!/'4. NPV'!BDO$8,0)</f>
        <v>0</v>
      </c>
      <c r="BDO54" s="5">
        <f>-IFERROR('4. NPV'!#REF!/'4. NPV'!BDP$8,0)</f>
        <v>0</v>
      </c>
      <c r="BDP54" s="5">
        <f>-IFERROR('4. NPV'!#REF!/'4. NPV'!BDQ$8,0)</f>
        <v>0</v>
      </c>
      <c r="BDQ54" s="5">
        <f>-IFERROR('4. NPV'!#REF!/'4. NPV'!BDR$8,0)</f>
        <v>0</v>
      </c>
      <c r="BDR54" s="5">
        <f>-IFERROR('4. NPV'!#REF!/'4. NPV'!BDS$8,0)</f>
        <v>0</v>
      </c>
      <c r="BDS54" s="5">
        <f>-IFERROR('4. NPV'!#REF!/'4. NPV'!BDT$8,0)</f>
        <v>0</v>
      </c>
      <c r="BDT54" s="5">
        <f>-IFERROR('4. NPV'!#REF!/'4. NPV'!BDU$8,0)</f>
        <v>0</v>
      </c>
      <c r="BDU54" s="5">
        <f>-IFERROR('4. NPV'!#REF!/'4. NPV'!BDV$8,0)</f>
        <v>0</v>
      </c>
      <c r="BDV54" s="5">
        <f>-IFERROR('4. NPV'!#REF!/'4. NPV'!BDW$8,0)</f>
        <v>0</v>
      </c>
      <c r="BDW54" s="5">
        <f>-IFERROR('4. NPV'!#REF!/'4. NPV'!BDX$8,0)</f>
        <v>0</v>
      </c>
      <c r="BDX54" s="5">
        <f>-IFERROR('4. NPV'!#REF!/'4. NPV'!BDY$8,0)</f>
        <v>0</v>
      </c>
      <c r="BDY54" s="5">
        <f>-IFERROR('4. NPV'!#REF!/'4. NPV'!BDZ$8,0)</f>
        <v>0</v>
      </c>
      <c r="BDZ54" s="5">
        <f>-IFERROR('4. NPV'!#REF!/'4. NPV'!BEA$8,0)</f>
        <v>0</v>
      </c>
      <c r="BEA54" s="5">
        <f>-IFERROR('4. NPV'!#REF!/'4. NPV'!BEB$8,0)</f>
        <v>0</v>
      </c>
      <c r="BEB54" s="5">
        <f>-IFERROR('4. NPV'!#REF!/'4. NPV'!BEC$8,0)</f>
        <v>0</v>
      </c>
      <c r="BEC54" s="5">
        <f>-IFERROR('4. NPV'!#REF!/'4. NPV'!BED$8,0)</f>
        <v>0</v>
      </c>
      <c r="BED54" s="5">
        <f>-IFERROR('4. NPV'!#REF!/'4. NPV'!BEE$8,0)</f>
        <v>0</v>
      </c>
      <c r="BEE54" s="5">
        <f>-IFERROR('4. NPV'!#REF!/'4. NPV'!BEF$8,0)</f>
        <v>0</v>
      </c>
      <c r="BEF54" s="5">
        <f>-IFERROR('4. NPV'!#REF!/'4. NPV'!BEG$8,0)</f>
        <v>0</v>
      </c>
      <c r="BEG54" s="5">
        <f>-IFERROR('4. NPV'!#REF!/'4. NPV'!BEH$8,0)</f>
        <v>0</v>
      </c>
      <c r="BEH54" s="5">
        <f>-IFERROR('4. NPV'!#REF!/'4. NPV'!BEI$8,0)</f>
        <v>0</v>
      </c>
      <c r="BEI54" s="5">
        <f>-IFERROR('4. NPV'!#REF!/'4. NPV'!BEJ$8,0)</f>
        <v>0</v>
      </c>
      <c r="BEJ54" s="5">
        <f>-IFERROR('4. NPV'!#REF!/'4. NPV'!BEK$8,0)</f>
        <v>0</v>
      </c>
      <c r="BEK54" s="5">
        <f>-IFERROR('4. NPV'!#REF!/'4. NPV'!BEL$8,0)</f>
        <v>0</v>
      </c>
      <c r="BEL54" s="5">
        <f>-IFERROR('4. NPV'!#REF!/'4. NPV'!BEM$8,0)</f>
        <v>0</v>
      </c>
      <c r="BEM54" s="5">
        <f>-IFERROR('4. NPV'!#REF!/'4. NPV'!BEN$8,0)</f>
        <v>0</v>
      </c>
      <c r="BEN54" s="5">
        <f>-IFERROR('4. NPV'!#REF!/'4. NPV'!BEO$8,0)</f>
        <v>0</v>
      </c>
      <c r="BEO54" s="5">
        <f>-IFERROR('4. NPV'!#REF!/'4. NPV'!BEP$8,0)</f>
        <v>0</v>
      </c>
      <c r="BEP54" s="5">
        <f>-IFERROR('4. NPV'!#REF!/'4. NPV'!BEQ$8,0)</f>
        <v>0</v>
      </c>
      <c r="BEQ54" s="5">
        <f>-IFERROR('4. NPV'!#REF!/'4. NPV'!BER$8,0)</f>
        <v>0</v>
      </c>
      <c r="BER54" s="5">
        <f>-IFERROR('4. NPV'!#REF!/'4. NPV'!BES$8,0)</f>
        <v>0</v>
      </c>
      <c r="BES54" s="5">
        <f>-IFERROR('4. NPV'!#REF!/'4. NPV'!BET$8,0)</f>
        <v>0</v>
      </c>
      <c r="BET54" s="5">
        <f>-IFERROR('4. NPV'!#REF!/'4. NPV'!BEU$8,0)</f>
        <v>0</v>
      </c>
      <c r="BEU54" s="5">
        <f>-IFERROR('4. NPV'!#REF!/'4. NPV'!BEV$8,0)</f>
        <v>0</v>
      </c>
      <c r="BEV54" s="5">
        <f>-IFERROR('4. NPV'!#REF!/'4. NPV'!BEW$8,0)</f>
        <v>0</v>
      </c>
      <c r="BEW54" s="5">
        <f>-IFERROR('4. NPV'!#REF!/'4. NPV'!BEX$8,0)</f>
        <v>0</v>
      </c>
      <c r="BEX54" s="5">
        <f>-IFERROR('4. NPV'!#REF!/'4. NPV'!BEY$8,0)</f>
        <v>0</v>
      </c>
      <c r="BEY54" s="5">
        <f>-IFERROR('4. NPV'!#REF!/'4. NPV'!BEZ$8,0)</f>
        <v>0</v>
      </c>
      <c r="BEZ54" s="5">
        <f>-IFERROR('4. NPV'!#REF!/'4. NPV'!BFA$8,0)</f>
        <v>0</v>
      </c>
      <c r="BFA54" s="5">
        <f>-IFERROR('4. NPV'!#REF!/'4. NPV'!BFB$8,0)</f>
        <v>0</v>
      </c>
      <c r="BFB54" s="5">
        <f>-IFERROR('4. NPV'!#REF!/'4. NPV'!BFC$8,0)</f>
        <v>0</v>
      </c>
      <c r="BFC54" s="5">
        <f>-IFERROR('4. NPV'!#REF!/'4. NPV'!BFD$8,0)</f>
        <v>0</v>
      </c>
      <c r="BFD54" s="5">
        <f>-IFERROR('4. NPV'!#REF!/'4. NPV'!BFE$8,0)</f>
        <v>0</v>
      </c>
      <c r="BFE54" s="5">
        <f>-IFERROR('4. NPV'!#REF!/'4. NPV'!BFF$8,0)</f>
        <v>0</v>
      </c>
      <c r="BFF54" s="5">
        <f>-IFERROR('4. NPV'!#REF!/'4. NPV'!BFG$8,0)</f>
        <v>0</v>
      </c>
      <c r="BFG54" s="5">
        <f>-IFERROR('4. NPV'!#REF!/'4. NPV'!BFH$8,0)</f>
        <v>0</v>
      </c>
      <c r="BFH54" s="5">
        <f>-IFERROR('4. NPV'!#REF!/'4. NPV'!BFI$8,0)</f>
        <v>0</v>
      </c>
      <c r="BFI54" s="5">
        <f>-IFERROR('4. NPV'!#REF!/'4. NPV'!BFJ$8,0)</f>
        <v>0</v>
      </c>
      <c r="BFJ54" s="5">
        <f>-IFERROR('4. NPV'!#REF!/'4. NPV'!BFK$8,0)</f>
        <v>0</v>
      </c>
      <c r="BFK54" s="5">
        <f>-IFERROR('4. NPV'!#REF!/'4. NPV'!BFL$8,0)</f>
        <v>0</v>
      </c>
      <c r="BFL54" s="5">
        <f>-IFERROR('4. NPV'!#REF!/'4. NPV'!BFM$8,0)</f>
        <v>0</v>
      </c>
      <c r="BFM54" s="5">
        <f>-IFERROR('4. NPV'!#REF!/'4. NPV'!BFN$8,0)</f>
        <v>0</v>
      </c>
      <c r="BFN54" s="5">
        <f>-IFERROR('4. NPV'!#REF!/'4. NPV'!BFO$8,0)</f>
        <v>0</v>
      </c>
      <c r="BFO54" s="5">
        <f>-IFERROR('4. NPV'!#REF!/'4. NPV'!BFP$8,0)</f>
        <v>0</v>
      </c>
      <c r="BFP54" s="5">
        <f>-IFERROR('4. NPV'!#REF!/'4. NPV'!BFQ$8,0)</f>
        <v>0</v>
      </c>
      <c r="BFQ54" s="5">
        <f>-IFERROR('4. NPV'!#REF!/'4. NPV'!BFR$8,0)</f>
        <v>0</v>
      </c>
      <c r="BFR54" s="5">
        <f>-IFERROR('4. NPV'!#REF!/'4. NPV'!BFS$8,0)</f>
        <v>0</v>
      </c>
      <c r="BFS54" s="5">
        <f>-IFERROR('4. NPV'!#REF!/'4. NPV'!BFT$8,0)</f>
        <v>0</v>
      </c>
      <c r="BFT54" s="5">
        <f>-IFERROR('4. NPV'!#REF!/'4. NPV'!BFU$8,0)</f>
        <v>0</v>
      </c>
      <c r="BFU54" s="5">
        <f>-IFERROR('4. NPV'!#REF!/'4. NPV'!BFV$8,0)</f>
        <v>0</v>
      </c>
      <c r="BFV54" s="5">
        <f>-IFERROR('4. NPV'!#REF!/'4. NPV'!BFW$8,0)</f>
        <v>0</v>
      </c>
      <c r="BFW54" s="5">
        <f>-IFERROR('4. NPV'!#REF!/'4. NPV'!BFX$8,0)</f>
        <v>0</v>
      </c>
      <c r="BFX54" s="5">
        <f>-IFERROR('4. NPV'!#REF!/'4. NPV'!BFY$8,0)</f>
        <v>0</v>
      </c>
      <c r="BFY54" s="5">
        <f>-IFERROR('4. NPV'!#REF!/'4. NPV'!BFZ$8,0)</f>
        <v>0</v>
      </c>
      <c r="BFZ54" s="5">
        <f>-IFERROR('4. NPV'!#REF!/'4. NPV'!BGA$8,0)</f>
        <v>0</v>
      </c>
      <c r="BGA54" s="5">
        <f>-IFERROR('4. NPV'!#REF!/'4. NPV'!BGB$8,0)</f>
        <v>0</v>
      </c>
      <c r="BGB54" s="5">
        <f>-IFERROR('4. NPV'!#REF!/'4. NPV'!BGC$8,0)</f>
        <v>0</v>
      </c>
      <c r="BGC54" s="5">
        <f>-IFERROR('4. NPV'!#REF!/'4. NPV'!BGD$8,0)</f>
        <v>0</v>
      </c>
      <c r="BGD54" s="5">
        <f>-IFERROR('4. NPV'!#REF!/'4. NPV'!BGE$8,0)</f>
        <v>0</v>
      </c>
      <c r="BGE54" s="5">
        <f>-IFERROR('4. NPV'!#REF!/'4. NPV'!BGF$8,0)</f>
        <v>0</v>
      </c>
      <c r="BGF54" s="5">
        <f>-IFERROR('4. NPV'!#REF!/'4. NPV'!BGG$8,0)</f>
        <v>0</v>
      </c>
      <c r="BGG54" s="5">
        <f>-IFERROR('4. NPV'!#REF!/'4. NPV'!BGH$8,0)</f>
        <v>0</v>
      </c>
      <c r="BGH54" s="5">
        <f>-IFERROR('4. NPV'!#REF!/'4. NPV'!BGI$8,0)</f>
        <v>0</v>
      </c>
      <c r="BGI54" s="5">
        <f>-IFERROR('4. NPV'!#REF!/'4. NPV'!BGJ$8,0)</f>
        <v>0</v>
      </c>
      <c r="BGJ54" s="5">
        <f>-IFERROR('4. NPV'!#REF!/'4. NPV'!BGK$8,0)</f>
        <v>0</v>
      </c>
      <c r="BGK54" s="5">
        <f>-IFERROR('4. NPV'!#REF!/'4. NPV'!BGL$8,0)</f>
        <v>0</v>
      </c>
      <c r="BGL54" s="5">
        <f>-IFERROR('4. NPV'!#REF!/'4. NPV'!BGM$8,0)</f>
        <v>0</v>
      </c>
      <c r="BGM54" s="5">
        <f>-IFERROR('4. NPV'!#REF!/'4. NPV'!BGN$8,0)</f>
        <v>0</v>
      </c>
      <c r="BGN54" s="5">
        <f>-IFERROR('4. NPV'!#REF!/'4. NPV'!BGO$8,0)</f>
        <v>0</v>
      </c>
      <c r="BGO54" s="5">
        <f>-IFERROR('4. NPV'!#REF!/'4. NPV'!BGP$8,0)</f>
        <v>0</v>
      </c>
      <c r="BGP54" s="5">
        <f>-IFERROR('4. NPV'!#REF!/'4. NPV'!BGQ$8,0)</f>
        <v>0</v>
      </c>
      <c r="BGQ54" s="5">
        <f>-IFERROR('4. NPV'!#REF!/'4. NPV'!BGR$8,0)</f>
        <v>0</v>
      </c>
      <c r="BGR54" s="5">
        <f>-IFERROR('4. NPV'!#REF!/'4. NPV'!BGS$8,0)</f>
        <v>0</v>
      </c>
      <c r="BGS54" s="5">
        <f>-IFERROR('4. NPV'!#REF!/'4. NPV'!BGT$8,0)</f>
        <v>0</v>
      </c>
      <c r="BGT54" s="5">
        <f>-IFERROR('4. NPV'!#REF!/'4. NPV'!BGU$8,0)</f>
        <v>0</v>
      </c>
      <c r="BGU54" s="5">
        <f>-IFERROR('4. NPV'!#REF!/'4. NPV'!BGV$8,0)</f>
        <v>0</v>
      </c>
      <c r="BGV54" s="5">
        <f>-IFERROR('4. NPV'!#REF!/'4. NPV'!BGW$8,0)</f>
        <v>0</v>
      </c>
      <c r="BGW54" s="5">
        <f>-IFERROR('4. NPV'!#REF!/'4. NPV'!BGX$8,0)</f>
        <v>0</v>
      </c>
      <c r="BGX54" s="5">
        <f>-IFERROR('4. NPV'!#REF!/'4. NPV'!BGY$8,0)</f>
        <v>0</v>
      </c>
      <c r="BGY54" s="5">
        <f>-IFERROR('4. NPV'!#REF!/'4. NPV'!BGZ$8,0)</f>
        <v>0</v>
      </c>
      <c r="BGZ54" s="5">
        <f>-IFERROR('4. NPV'!#REF!/'4. NPV'!BHA$8,0)</f>
        <v>0</v>
      </c>
      <c r="BHA54" s="5">
        <f>-IFERROR('4. NPV'!#REF!/'4. NPV'!BHB$8,0)</f>
        <v>0</v>
      </c>
      <c r="BHB54" s="5">
        <f>-IFERROR('4. NPV'!#REF!/'4. NPV'!BHC$8,0)</f>
        <v>0</v>
      </c>
      <c r="BHC54" s="5">
        <f>-IFERROR('4. NPV'!#REF!/'4. NPV'!BHD$8,0)</f>
        <v>0</v>
      </c>
      <c r="BHD54" s="5">
        <f>-IFERROR('4. NPV'!#REF!/'4. NPV'!BHE$8,0)</f>
        <v>0</v>
      </c>
      <c r="BHE54" s="5">
        <f>-IFERROR('4. NPV'!#REF!/'4. NPV'!BHF$8,0)</f>
        <v>0</v>
      </c>
      <c r="BHF54" s="5">
        <f>-IFERROR('4. NPV'!#REF!/'4. NPV'!BHG$8,0)</f>
        <v>0</v>
      </c>
      <c r="BHG54" s="5">
        <f>-IFERROR('4. NPV'!#REF!/'4. NPV'!BHH$8,0)</f>
        <v>0</v>
      </c>
      <c r="BHH54" s="5">
        <f>-IFERROR('4. NPV'!#REF!/'4. NPV'!BHI$8,0)</f>
        <v>0</v>
      </c>
      <c r="BHI54" s="5">
        <f>-IFERROR('4. NPV'!#REF!/'4. NPV'!BHJ$8,0)</f>
        <v>0</v>
      </c>
      <c r="BHJ54" s="5">
        <f>-IFERROR('4. NPV'!#REF!/'4. NPV'!BHK$8,0)</f>
        <v>0</v>
      </c>
      <c r="BHK54" s="5">
        <f>-IFERROR('4. NPV'!#REF!/'4. NPV'!BHL$8,0)</f>
        <v>0</v>
      </c>
      <c r="BHL54" s="5">
        <f>-IFERROR('4. NPV'!#REF!/'4. NPV'!BHM$8,0)</f>
        <v>0</v>
      </c>
      <c r="BHM54" s="5">
        <f>-IFERROR('4. NPV'!#REF!/'4. NPV'!BHN$8,0)</f>
        <v>0</v>
      </c>
      <c r="BHN54" s="5">
        <f>-IFERROR('4. NPV'!#REF!/'4. NPV'!BHO$8,0)</f>
        <v>0</v>
      </c>
      <c r="BHO54" s="5">
        <f>-IFERROR('4. NPV'!#REF!/'4. NPV'!BHP$8,0)</f>
        <v>0</v>
      </c>
      <c r="BHP54" s="5">
        <f>-IFERROR('4. NPV'!#REF!/'4. NPV'!BHQ$8,0)</f>
        <v>0</v>
      </c>
      <c r="BHQ54" s="5">
        <f>-IFERROR('4. NPV'!#REF!/'4. NPV'!BHR$8,0)</f>
        <v>0</v>
      </c>
      <c r="BHR54" s="5">
        <f>-IFERROR('4. NPV'!#REF!/'4. NPV'!BHS$8,0)</f>
        <v>0</v>
      </c>
      <c r="BHS54" s="5">
        <f>-IFERROR('4. NPV'!#REF!/'4. NPV'!BHT$8,0)</f>
        <v>0</v>
      </c>
      <c r="BHT54" s="5">
        <f>-IFERROR('4. NPV'!#REF!/'4. NPV'!BHU$8,0)</f>
        <v>0</v>
      </c>
      <c r="BHU54" s="5">
        <f>-IFERROR('4. NPV'!#REF!/'4. NPV'!BHV$8,0)</f>
        <v>0</v>
      </c>
      <c r="BHV54" s="5">
        <f>-IFERROR('4. NPV'!#REF!/'4. NPV'!BHW$8,0)</f>
        <v>0</v>
      </c>
      <c r="BHW54" s="5">
        <f>-IFERROR('4. NPV'!#REF!/'4. NPV'!BHX$8,0)</f>
        <v>0</v>
      </c>
      <c r="BHX54" s="5">
        <f>-IFERROR('4. NPV'!#REF!/'4. NPV'!BHY$8,0)</f>
        <v>0</v>
      </c>
      <c r="BHY54" s="5">
        <f>-IFERROR('4. NPV'!#REF!/'4. NPV'!BHZ$8,0)</f>
        <v>0</v>
      </c>
      <c r="BHZ54" s="5">
        <f>-IFERROR('4. NPV'!#REF!/'4. NPV'!BIA$8,0)</f>
        <v>0</v>
      </c>
      <c r="BIA54" s="5">
        <f>-IFERROR('4. NPV'!#REF!/'4. NPV'!BIB$8,0)</f>
        <v>0</v>
      </c>
      <c r="BIB54" s="5">
        <f>-IFERROR('4. NPV'!#REF!/'4. NPV'!BIC$8,0)</f>
        <v>0</v>
      </c>
      <c r="BIC54" s="5">
        <f>-IFERROR('4. NPV'!#REF!/'4. NPV'!BID$8,0)</f>
        <v>0</v>
      </c>
      <c r="BID54" s="5">
        <f>-IFERROR('4. NPV'!#REF!/'4. NPV'!BIE$8,0)</f>
        <v>0</v>
      </c>
      <c r="BIE54" s="5">
        <f>-IFERROR('4. NPV'!#REF!/'4. NPV'!BIF$8,0)</f>
        <v>0</v>
      </c>
      <c r="BIF54" s="5">
        <f>-IFERROR('4. NPV'!#REF!/'4. NPV'!BIG$8,0)</f>
        <v>0</v>
      </c>
      <c r="BIG54" s="5">
        <f>-IFERROR('4. NPV'!#REF!/'4. NPV'!BIH$8,0)</f>
        <v>0</v>
      </c>
      <c r="BIH54" s="5">
        <f>-IFERROR('4. NPV'!#REF!/'4. NPV'!BII$8,0)</f>
        <v>0</v>
      </c>
      <c r="BII54" s="5">
        <f>-IFERROR('4. NPV'!#REF!/'4. NPV'!BIJ$8,0)</f>
        <v>0</v>
      </c>
      <c r="BIJ54" s="5">
        <f>-IFERROR('4. NPV'!#REF!/'4. NPV'!BIK$8,0)</f>
        <v>0</v>
      </c>
      <c r="BIK54" s="5">
        <f>-IFERROR('4. NPV'!#REF!/'4. NPV'!BIL$8,0)</f>
        <v>0</v>
      </c>
      <c r="BIL54" s="5">
        <f>-IFERROR('4. NPV'!#REF!/'4. NPV'!BIM$8,0)</f>
        <v>0</v>
      </c>
      <c r="BIM54" s="5">
        <f>-IFERROR('4. NPV'!#REF!/'4. NPV'!BIN$8,0)</f>
        <v>0</v>
      </c>
      <c r="BIN54" s="5">
        <f>-IFERROR('4. NPV'!#REF!/'4. NPV'!BIO$8,0)</f>
        <v>0</v>
      </c>
      <c r="BIO54" s="5">
        <f>-IFERROR('4. NPV'!#REF!/'4. NPV'!BIP$8,0)</f>
        <v>0</v>
      </c>
      <c r="BIP54" s="5">
        <f>-IFERROR('4. NPV'!#REF!/'4. NPV'!BIQ$8,0)</f>
        <v>0</v>
      </c>
      <c r="BIQ54" s="5">
        <f>-IFERROR('4. NPV'!#REF!/'4. NPV'!BIR$8,0)</f>
        <v>0</v>
      </c>
      <c r="BIR54" s="5">
        <f>-IFERROR('4. NPV'!#REF!/'4. NPV'!BIS$8,0)</f>
        <v>0</v>
      </c>
      <c r="BIS54" s="5">
        <f>-IFERROR('4. NPV'!#REF!/'4. NPV'!BIT$8,0)</f>
        <v>0</v>
      </c>
      <c r="BIT54" s="5">
        <f>-IFERROR('4. NPV'!#REF!/'4. NPV'!BIU$8,0)</f>
        <v>0</v>
      </c>
      <c r="BIU54" s="5">
        <f>-IFERROR('4. NPV'!#REF!/'4. NPV'!BIV$8,0)</f>
        <v>0</v>
      </c>
      <c r="BIV54" s="5">
        <f>-IFERROR('4. NPV'!#REF!/'4. NPV'!BIW$8,0)</f>
        <v>0</v>
      </c>
      <c r="BIW54" s="5">
        <f>-IFERROR('4. NPV'!#REF!/'4. NPV'!BIX$8,0)</f>
        <v>0</v>
      </c>
      <c r="BIX54" s="5">
        <f>-IFERROR('4. NPV'!#REF!/'4. NPV'!BIY$8,0)</f>
        <v>0</v>
      </c>
      <c r="BIY54" s="5">
        <f>-IFERROR('4. NPV'!#REF!/'4. NPV'!BIZ$8,0)</f>
        <v>0</v>
      </c>
      <c r="BIZ54" s="5">
        <f>-IFERROR('4. NPV'!#REF!/'4. NPV'!BJA$8,0)</f>
        <v>0</v>
      </c>
      <c r="BJA54" s="5">
        <f>-IFERROR('4. NPV'!#REF!/'4. NPV'!BJB$8,0)</f>
        <v>0</v>
      </c>
      <c r="BJB54" s="5">
        <f>-IFERROR('4. NPV'!#REF!/'4. NPV'!BJC$8,0)</f>
        <v>0</v>
      </c>
      <c r="BJC54" s="5">
        <f>-IFERROR('4. NPV'!#REF!/'4. NPV'!BJD$8,0)</f>
        <v>0</v>
      </c>
      <c r="BJD54" s="5">
        <f>-IFERROR('4. NPV'!#REF!/'4. NPV'!BJE$8,0)</f>
        <v>0</v>
      </c>
      <c r="BJE54" s="5">
        <f>-IFERROR('4. NPV'!#REF!/'4. NPV'!BJF$8,0)</f>
        <v>0</v>
      </c>
      <c r="BJF54" s="5">
        <f>-IFERROR('4. NPV'!#REF!/'4. NPV'!BJG$8,0)</f>
        <v>0</v>
      </c>
      <c r="BJG54" s="5">
        <f>-IFERROR('4. NPV'!#REF!/'4. NPV'!BJH$8,0)</f>
        <v>0</v>
      </c>
      <c r="BJH54" s="5">
        <f>-IFERROR('4. NPV'!#REF!/'4. NPV'!BJI$8,0)</f>
        <v>0</v>
      </c>
      <c r="BJI54" s="5">
        <f>-IFERROR('4. NPV'!#REF!/'4. NPV'!BJJ$8,0)</f>
        <v>0</v>
      </c>
      <c r="BJJ54" s="5">
        <f>-IFERROR('4. NPV'!#REF!/'4. NPV'!BJK$8,0)</f>
        <v>0</v>
      </c>
      <c r="BJK54" s="5">
        <f>-IFERROR('4. NPV'!#REF!/'4. NPV'!BJL$8,0)</f>
        <v>0</v>
      </c>
      <c r="BJL54" s="5">
        <f>-IFERROR('4. NPV'!#REF!/'4. NPV'!BJM$8,0)</f>
        <v>0</v>
      </c>
      <c r="BJM54" s="5">
        <f>-IFERROR('4. NPV'!#REF!/'4. NPV'!BJN$8,0)</f>
        <v>0</v>
      </c>
      <c r="BJN54" s="5">
        <f>-IFERROR('4. NPV'!#REF!/'4. NPV'!BJO$8,0)</f>
        <v>0</v>
      </c>
      <c r="BJO54" s="5">
        <f>-IFERROR('4. NPV'!#REF!/'4. NPV'!BJP$8,0)</f>
        <v>0</v>
      </c>
      <c r="BJP54" s="5">
        <f>-IFERROR('4. NPV'!#REF!/'4. NPV'!BJQ$8,0)</f>
        <v>0</v>
      </c>
      <c r="BJQ54" s="5">
        <f>-IFERROR('4. NPV'!#REF!/'4. NPV'!BJR$8,0)</f>
        <v>0</v>
      </c>
      <c r="BJR54" s="5">
        <f>-IFERROR('4. NPV'!#REF!/'4. NPV'!BJS$8,0)</f>
        <v>0</v>
      </c>
      <c r="BJS54" s="5">
        <f>-IFERROR('4. NPV'!#REF!/'4. NPV'!BJT$8,0)</f>
        <v>0</v>
      </c>
      <c r="BJT54" s="5">
        <f>-IFERROR('4. NPV'!#REF!/'4. NPV'!BJU$8,0)</f>
        <v>0</v>
      </c>
      <c r="BJU54" s="5">
        <f>-IFERROR('4. NPV'!#REF!/'4. NPV'!BJV$8,0)</f>
        <v>0</v>
      </c>
      <c r="BJV54" s="5">
        <f>-IFERROR('4. NPV'!#REF!/'4. NPV'!BJW$8,0)</f>
        <v>0</v>
      </c>
      <c r="BJW54" s="5">
        <f>-IFERROR('4. NPV'!#REF!/'4. NPV'!BJX$8,0)</f>
        <v>0</v>
      </c>
      <c r="BJX54" s="5">
        <f>-IFERROR('4. NPV'!#REF!/'4. NPV'!BJY$8,0)</f>
        <v>0</v>
      </c>
      <c r="BJY54" s="5">
        <f>-IFERROR('4. NPV'!#REF!/'4. NPV'!BJZ$8,0)</f>
        <v>0</v>
      </c>
      <c r="BJZ54" s="5">
        <f>-IFERROR('4. NPV'!#REF!/'4. NPV'!BKA$8,0)</f>
        <v>0</v>
      </c>
      <c r="BKA54" s="5">
        <f>-IFERROR('4. NPV'!#REF!/'4. NPV'!BKB$8,0)</f>
        <v>0</v>
      </c>
      <c r="BKB54" s="5">
        <f>-IFERROR('4. NPV'!#REF!/'4. NPV'!BKC$8,0)</f>
        <v>0</v>
      </c>
      <c r="BKC54" s="5">
        <f>-IFERROR('4. NPV'!#REF!/'4. NPV'!BKD$8,0)</f>
        <v>0</v>
      </c>
      <c r="BKD54" s="5">
        <f>-IFERROR('4. NPV'!#REF!/'4. NPV'!BKE$8,0)</f>
        <v>0</v>
      </c>
      <c r="BKE54" s="5">
        <f>-IFERROR('4. NPV'!#REF!/'4. NPV'!BKF$8,0)</f>
        <v>0</v>
      </c>
      <c r="BKF54" s="5">
        <f>-IFERROR('4. NPV'!#REF!/'4. NPV'!BKG$8,0)</f>
        <v>0</v>
      </c>
      <c r="BKG54" s="5">
        <f>-IFERROR('4. NPV'!#REF!/'4. NPV'!BKH$8,0)</f>
        <v>0</v>
      </c>
      <c r="BKH54" s="5">
        <f>-IFERROR('4. NPV'!#REF!/'4. NPV'!BKI$8,0)</f>
        <v>0</v>
      </c>
      <c r="BKI54" s="5">
        <f>-IFERROR('4. NPV'!#REF!/'4. NPV'!BKJ$8,0)</f>
        <v>0</v>
      </c>
      <c r="BKJ54" s="5">
        <f>-IFERROR('4. NPV'!#REF!/'4. NPV'!BKK$8,0)</f>
        <v>0</v>
      </c>
      <c r="BKK54" s="5">
        <f>-IFERROR('4. NPV'!#REF!/'4. NPV'!BKL$8,0)</f>
        <v>0</v>
      </c>
      <c r="BKL54" s="5">
        <f>-IFERROR('4. NPV'!#REF!/'4. NPV'!BKM$8,0)</f>
        <v>0</v>
      </c>
      <c r="BKM54" s="5">
        <f>-IFERROR('4. NPV'!#REF!/'4. NPV'!BKN$8,0)</f>
        <v>0</v>
      </c>
      <c r="BKN54" s="5">
        <f>-IFERROR('4. NPV'!#REF!/'4. NPV'!BKO$8,0)</f>
        <v>0</v>
      </c>
      <c r="BKO54" s="5">
        <f>-IFERROR('4. NPV'!#REF!/'4. NPV'!BKP$8,0)</f>
        <v>0</v>
      </c>
      <c r="BKP54" s="5">
        <f>-IFERROR('4. NPV'!#REF!/'4. NPV'!BKQ$8,0)</f>
        <v>0</v>
      </c>
      <c r="BKQ54" s="5">
        <f>-IFERROR('4. NPV'!#REF!/'4. NPV'!BKR$8,0)</f>
        <v>0</v>
      </c>
      <c r="BKR54" s="5">
        <f>-IFERROR('4. NPV'!#REF!/'4. NPV'!BKS$8,0)</f>
        <v>0</v>
      </c>
      <c r="BKS54" s="5">
        <f>-IFERROR('4. NPV'!#REF!/'4. NPV'!BKT$8,0)</f>
        <v>0</v>
      </c>
      <c r="BKT54" s="5">
        <f>-IFERROR('4. NPV'!#REF!/'4. NPV'!BKU$8,0)</f>
        <v>0</v>
      </c>
      <c r="BKU54" s="5">
        <f>-IFERROR('4. NPV'!#REF!/'4. NPV'!BKV$8,0)</f>
        <v>0</v>
      </c>
      <c r="BKV54" s="5">
        <f>-IFERROR('4. NPV'!#REF!/'4. NPV'!BKW$8,0)</f>
        <v>0</v>
      </c>
      <c r="BKW54" s="5">
        <f>-IFERROR('4. NPV'!#REF!/'4. NPV'!BKX$8,0)</f>
        <v>0</v>
      </c>
      <c r="BKX54" s="5">
        <f>-IFERROR('4. NPV'!#REF!/'4. NPV'!BKY$8,0)</f>
        <v>0</v>
      </c>
      <c r="BKY54" s="5">
        <f>-IFERROR('4. NPV'!#REF!/'4. NPV'!BKZ$8,0)</f>
        <v>0</v>
      </c>
      <c r="BKZ54" s="5">
        <f>-IFERROR('4. NPV'!#REF!/'4. NPV'!BLA$8,0)</f>
        <v>0</v>
      </c>
      <c r="BLA54" s="5">
        <f>-IFERROR('4. NPV'!#REF!/'4. NPV'!BLB$8,0)</f>
        <v>0</v>
      </c>
      <c r="BLB54" s="5">
        <f>-IFERROR('4. NPV'!#REF!/'4. NPV'!BLC$8,0)</f>
        <v>0</v>
      </c>
      <c r="BLC54" s="5">
        <f>-IFERROR('4. NPV'!#REF!/'4. NPV'!BLD$8,0)</f>
        <v>0</v>
      </c>
      <c r="BLD54" s="5">
        <f>-IFERROR('4. NPV'!#REF!/'4. NPV'!BLE$8,0)</f>
        <v>0</v>
      </c>
      <c r="BLE54" s="5">
        <f>-IFERROR('4. NPV'!#REF!/'4. NPV'!BLF$8,0)</f>
        <v>0</v>
      </c>
      <c r="BLF54" s="5">
        <f>-IFERROR('4. NPV'!#REF!/'4. NPV'!BLG$8,0)</f>
        <v>0</v>
      </c>
      <c r="BLG54" s="5">
        <f>-IFERROR('4. NPV'!#REF!/'4. NPV'!BLH$8,0)</f>
        <v>0</v>
      </c>
      <c r="BLH54" s="5">
        <f>-IFERROR('4. NPV'!#REF!/'4. NPV'!BLI$8,0)</f>
        <v>0</v>
      </c>
      <c r="BLI54" s="5">
        <f>-IFERROR('4. NPV'!#REF!/'4. NPV'!BLJ$8,0)</f>
        <v>0</v>
      </c>
      <c r="BLJ54" s="5">
        <f>-IFERROR('4. NPV'!#REF!/'4. NPV'!BLK$8,0)</f>
        <v>0</v>
      </c>
      <c r="BLK54" s="5">
        <f>-IFERROR('4. NPV'!#REF!/'4. NPV'!BLL$8,0)</f>
        <v>0</v>
      </c>
      <c r="BLL54" s="5">
        <f>-IFERROR('4. NPV'!#REF!/'4. NPV'!BLM$8,0)</f>
        <v>0</v>
      </c>
      <c r="BLM54" s="5">
        <f>-IFERROR('4. NPV'!#REF!/'4. NPV'!BLN$8,0)</f>
        <v>0</v>
      </c>
      <c r="BLN54" s="5">
        <f>-IFERROR('4. NPV'!#REF!/'4. NPV'!BLO$8,0)</f>
        <v>0</v>
      </c>
      <c r="BLO54" s="5">
        <f>-IFERROR('4. NPV'!#REF!/'4. NPV'!BLP$8,0)</f>
        <v>0</v>
      </c>
      <c r="BLP54" s="5">
        <f>-IFERROR('4. NPV'!#REF!/'4. NPV'!BLQ$8,0)</f>
        <v>0</v>
      </c>
      <c r="BLQ54" s="5">
        <f>-IFERROR('4. NPV'!#REF!/'4. NPV'!BLR$8,0)</f>
        <v>0</v>
      </c>
      <c r="BLR54" s="5">
        <f>-IFERROR('4. NPV'!#REF!/'4. NPV'!BLS$8,0)</f>
        <v>0</v>
      </c>
      <c r="BLS54" s="5">
        <f>-IFERROR('4. NPV'!#REF!/'4. NPV'!BLT$8,0)</f>
        <v>0</v>
      </c>
      <c r="BLT54" s="5">
        <f>-IFERROR('4. NPV'!#REF!/'4. NPV'!BLU$8,0)</f>
        <v>0</v>
      </c>
      <c r="BLU54" s="5">
        <f>-IFERROR('4. NPV'!#REF!/'4. NPV'!BLV$8,0)</f>
        <v>0</v>
      </c>
      <c r="BLV54" s="5">
        <f>-IFERROR('4. NPV'!#REF!/'4. NPV'!BLW$8,0)</f>
        <v>0</v>
      </c>
      <c r="BLW54" s="5">
        <f>-IFERROR('4. NPV'!#REF!/'4. NPV'!BLX$8,0)</f>
        <v>0</v>
      </c>
      <c r="BLX54" s="5">
        <f>-IFERROR('4. NPV'!#REF!/'4. NPV'!BLY$8,0)</f>
        <v>0</v>
      </c>
      <c r="BLY54" s="5">
        <f>-IFERROR('4. NPV'!#REF!/'4. NPV'!BLZ$8,0)</f>
        <v>0</v>
      </c>
      <c r="BLZ54" s="5">
        <f>-IFERROR('4. NPV'!#REF!/'4. NPV'!BMA$8,0)</f>
        <v>0</v>
      </c>
      <c r="BMA54" s="5">
        <f>-IFERROR('4. NPV'!#REF!/'4. NPV'!BMB$8,0)</f>
        <v>0</v>
      </c>
      <c r="BMB54" s="5">
        <f>-IFERROR('4. NPV'!#REF!/'4. NPV'!BMC$8,0)</f>
        <v>0</v>
      </c>
      <c r="BMC54" s="5">
        <f>-IFERROR('4. NPV'!#REF!/'4. NPV'!BMD$8,0)</f>
        <v>0</v>
      </c>
      <c r="BMD54" s="5">
        <f>-IFERROR('4. NPV'!#REF!/'4. NPV'!BME$8,0)</f>
        <v>0</v>
      </c>
      <c r="BME54" s="5">
        <f>-IFERROR('4. NPV'!#REF!/'4. NPV'!BMF$8,0)</f>
        <v>0</v>
      </c>
      <c r="BMF54" s="5">
        <f>-IFERROR('4. NPV'!#REF!/'4. NPV'!BMG$8,0)</f>
        <v>0</v>
      </c>
      <c r="BMG54" s="5">
        <f>-IFERROR('4. NPV'!#REF!/'4. NPV'!BMH$8,0)</f>
        <v>0</v>
      </c>
      <c r="BMH54" s="5">
        <f>-IFERROR('4. NPV'!#REF!/'4. NPV'!BMI$8,0)</f>
        <v>0</v>
      </c>
      <c r="BMI54" s="5">
        <f>-IFERROR('4. NPV'!#REF!/'4. NPV'!BMJ$8,0)</f>
        <v>0</v>
      </c>
      <c r="BMJ54" s="5">
        <f>-IFERROR('4. NPV'!#REF!/'4. NPV'!BMK$8,0)</f>
        <v>0</v>
      </c>
      <c r="BMK54" s="5">
        <f>-IFERROR('4. NPV'!#REF!/'4. NPV'!BML$8,0)</f>
        <v>0</v>
      </c>
      <c r="BML54" s="5">
        <f>-IFERROR('4. NPV'!#REF!/'4. NPV'!BMM$8,0)</f>
        <v>0</v>
      </c>
      <c r="BMM54" s="5">
        <f>-IFERROR('4. NPV'!#REF!/'4. NPV'!BMN$8,0)</f>
        <v>0</v>
      </c>
      <c r="BMN54" s="5">
        <f>-IFERROR('4. NPV'!#REF!/'4. NPV'!BMO$8,0)</f>
        <v>0</v>
      </c>
      <c r="BMO54" s="5">
        <f>-IFERROR('4. NPV'!#REF!/'4. NPV'!BMP$8,0)</f>
        <v>0</v>
      </c>
      <c r="BMP54" s="5">
        <f>-IFERROR('4. NPV'!#REF!/'4. NPV'!BMQ$8,0)</f>
        <v>0</v>
      </c>
      <c r="BMQ54" s="5">
        <f>-IFERROR('4. NPV'!#REF!/'4. NPV'!BMR$8,0)</f>
        <v>0</v>
      </c>
      <c r="BMR54" s="5">
        <f>-IFERROR('4. NPV'!#REF!/'4. NPV'!BMS$8,0)</f>
        <v>0</v>
      </c>
      <c r="BMS54" s="5">
        <f>-IFERROR('4. NPV'!#REF!/'4. NPV'!BMT$8,0)</f>
        <v>0</v>
      </c>
      <c r="BMT54" s="5">
        <f>-IFERROR('4. NPV'!#REF!/'4. NPV'!BMU$8,0)</f>
        <v>0</v>
      </c>
      <c r="BMU54" s="5">
        <f>-IFERROR('4. NPV'!#REF!/'4. NPV'!BMV$8,0)</f>
        <v>0</v>
      </c>
      <c r="BMV54" s="5">
        <f>-IFERROR('4. NPV'!#REF!/'4. NPV'!BMW$8,0)</f>
        <v>0</v>
      </c>
      <c r="BMW54" s="5">
        <f>-IFERROR('4. NPV'!#REF!/'4. NPV'!BMX$8,0)</f>
        <v>0</v>
      </c>
      <c r="BMX54" s="5">
        <f>-IFERROR('4. NPV'!#REF!/'4. NPV'!BMY$8,0)</f>
        <v>0</v>
      </c>
      <c r="BMY54" s="5">
        <f>-IFERROR('4. NPV'!#REF!/'4. NPV'!BMZ$8,0)</f>
        <v>0</v>
      </c>
      <c r="BMZ54" s="5">
        <f>-IFERROR('4. NPV'!#REF!/'4. NPV'!BNA$8,0)</f>
        <v>0</v>
      </c>
      <c r="BNA54" s="5">
        <f>-IFERROR('4. NPV'!#REF!/'4. NPV'!BNB$8,0)</f>
        <v>0</v>
      </c>
      <c r="BNB54" s="5">
        <f>-IFERROR('4. NPV'!#REF!/'4. NPV'!BNC$8,0)</f>
        <v>0</v>
      </c>
      <c r="BNC54" s="5">
        <f>-IFERROR('4. NPV'!#REF!/'4. NPV'!BND$8,0)</f>
        <v>0</v>
      </c>
      <c r="BND54" s="5">
        <f>-IFERROR('4. NPV'!#REF!/'4. NPV'!BNE$8,0)</f>
        <v>0</v>
      </c>
      <c r="BNE54" s="5">
        <f>-IFERROR('4. NPV'!#REF!/'4. NPV'!BNF$8,0)</f>
        <v>0</v>
      </c>
      <c r="BNF54" s="5">
        <f>-IFERROR('4. NPV'!#REF!/'4. NPV'!BNG$8,0)</f>
        <v>0</v>
      </c>
      <c r="BNG54" s="5">
        <f>-IFERROR('4. NPV'!#REF!/'4. NPV'!BNH$8,0)</f>
        <v>0</v>
      </c>
      <c r="BNH54" s="5">
        <f>-IFERROR('4. NPV'!#REF!/'4. NPV'!BNI$8,0)</f>
        <v>0</v>
      </c>
      <c r="BNI54" s="5">
        <f>-IFERROR('4. NPV'!#REF!/'4. NPV'!BNJ$8,0)</f>
        <v>0</v>
      </c>
      <c r="BNJ54" s="5">
        <f>-IFERROR('4. NPV'!#REF!/'4. NPV'!BNK$8,0)</f>
        <v>0</v>
      </c>
      <c r="BNK54" s="5">
        <f>-IFERROR('4. NPV'!#REF!/'4. NPV'!BNL$8,0)</f>
        <v>0</v>
      </c>
      <c r="BNL54" s="5">
        <f>-IFERROR('4. NPV'!#REF!/'4. NPV'!BNM$8,0)</f>
        <v>0</v>
      </c>
      <c r="BNM54" s="5">
        <f>-IFERROR('4. NPV'!#REF!/'4. NPV'!BNN$8,0)</f>
        <v>0</v>
      </c>
      <c r="BNN54" s="5">
        <f>-IFERROR('4. NPV'!#REF!/'4. NPV'!BNO$8,0)</f>
        <v>0</v>
      </c>
      <c r="BNO54" s="5">
        <f>-IFERROR('4. NPV'!#REF!/'4. NPV'!BNP$8,0)</f>
        <v>0</v>
      </c>
      <c r="BNP54" s="5">
        <f>-IFERROR('4. NPV'!#REF!/'4. NPV'!BNQ$8,0)</f>
        <v>0</v>
      </c>
      <c r="BNQ54" s="5">
        <f>-IFERROR('4. NPV'!#REF!/'4. NPV'!BNR$8,0)</f>
        <v>0</v>
      </c>
      <c r="BNR54" s="5">
        <f>-IFERROR('4. NPV'!#REF!/'4. NPV'!BNS$8,0)</f>
        <v>0</v>
      </c>
      <c r="BNS54" s="5">
        <f>-IFERROR('4. NPV'!#REF!/'4. NPV'!BNT$8,0)</f>
        <v>0</v>
      </c>
      <c r="BNT54" s="5">
        <f>-IFERROR('4. NPV'!#REF!/'4. NPV'!BNU$8,0)</f>
        <v>0</v>
      </c>
      <c r="BNU54" s="5">
        <f>-IFERROR('4. NPV'!#REF!/'4. NPV'!BNV$8,0)</f>
        <v>0</v>
      </c>
      <c r="BNV54" s="5">
        <f>-IFERROR('4. NPV'!#REF!/'4. NPV'!BNW$8,0)</f>
        <v>0</v>
      </c>
      <c r="BNW54" s="5">
        <f>-IFERROR('4. NPV'!#REF!/'4. NPV'!BNX$8,0)</f>
        <v>0</v>
      </c>
      <c r="BNX54" s="5">
        <f>-IFERROR('4. NPV'!#REF!/'4. NPV'!BNY$8,0)</f>
        <v>0</v>
      </c>
      <c r="BNY54" s="5">
        <f>-IFERROR('4. NPV'!#REF!/'4. NPV'!BNZ$8,0)</f>
        <v>0</v>
      </c>
      <c r="BNZ54" s="5">
        <f>-IFERROR('4. NPV'!#REF!/'4. NPV'!BOA$8,0)</f>
        <v>0</v>
      </c>
      <c r="BOA54" s="5">
        <f>-IFERROR('4. NPV'!#REF!/'4. NPV'!BOB$8,0)</f>
        <v>0</v>
      </c>
      <c r="BOB54" s="5">
        <f>-IFERROR('4. NPV'!#REF!/'4. NPV'!BOC$8,0)</f>
        <v>0</v>
      </c>
      <c r="BOC54" s="5">
        <f>-IFERROR('4. NPV'!#REF!/'4. NPV'!BOD$8,0)</f>
        <v>0</v>
      </c>
      <c r="BOD54" s="5">
        <f>-IFERROR('4. NPV'!#REF!/'4. NPV'!BOE$8,0)</f>
        <v>0</v>
      </c>
      <c r="BOE54" s="5">
        <f>-IFERROR('4. NPV'!#REF!/'4. NPV'!BOF$8,0)</f>
        <v>0</v>
      </c>
      <c r="BOF54" s="5">
        <f>-IFERROR('4. NPV'!#REF!/'4. NPV'!BOG$8,0)</f>
        <v>0</v>
      </c>
      <c r="BOG54" s="5">
        <f>-IFERROR('4. NPV'!#REF!/'4. NPV'!BOH$8,0)</f>
        <v>0</v>
      </c>
      <c r="BOH54" s="5">
        <f>-IFERROR('4. NPV'!#REF!/'4. NPV'!BOI$8,0)</f>
        <v>0</v>
      </c>
      <c r="BOI54" s="5">
        <f>-IFERROR('4. NPV'!#REF!/'4. NPV'!BOJ$8,0)</f>
        <v>0</v>
      </c>
      <c r="BOJ54" s="5">
        <f>-IFERROR('4. NPV'!#REF!/'4. NPV'!BOK$8,0)</f>
        <v>0</v>
      </c>
      <c r="BOK54" s="5">
        <f>-IFERROR('4. NPV'!#REF!/'4. NPV'!BOL$8,0)</f>
        <v>0</v>
      </c>
      <c r="BOL54" s="5">
        <f>-IFERROR('4. NPV'!#REF!/'4. NPV'!BOM$8,0)</f>
        <v>0</v>
      </c>
      <c r="BOM54" s="5">
        <f>-IFERROR('4. NPV'!#REF!/'4. NPV'!BON$8,0)</f>
        <v>0</v>
      </c>
      <c r="BON54" s="5">
        <f>-IFERROR('4. NPV'!#REF!/'4. NPV'!BOO$8,0)</f>
        <v>0</v>
      </c>
      <c r="BOO54" s="5">
        <f>-IFERROR('4. NPV'!#REF!/'4. NPV'!BOP$8,0)</f>
        <v>0</v>
      </c>
      <c r="BOP54" s="5">
        <f>-IFERROR('4. NPV'!#REF!/'4. NPV'!BOQ$8,0)</f>
        <v>0</v>
      </c>
      <c r="BOQ54" s="5">
        <f>-IFERROR('4. NPV'!#REF!/'4. NPV'!BOR$8,0)</f>
        <v>0</v>
      </c>
      <c r="BOR54" s="5">
        <f>-IFERROR('4. NPV'!#REF!/'4. NPV'!BOS$8,0)</f>
        <v>0</v>
      </c>
      <c r="BOS54" s="5">
        <f>-IFERROR('4. NPV'!#REF!/'4. NPV'!BOT$8,0)</f>
        <v>0</v>
      </c>
      <c r="BOT54" s="5">
        <f>-IFERROR('4. NPV'!#REF!/'4. NPV'!BOU$8,0)</f>
        <v>0</v>
      </c>
      <c r="BOU54" s="5">
        <f>-IFERROR('4. NPV'!#REF!/'4. NPV'!BOV$8,0)</f>
        <v>0</v>
      </c>
      <c r="BOV54" s="5">
        <f>-IFERROR('4. NPV'!#REF!/'4. NPV'!BOW$8,0)</f>
        <v>0</v>
      </c>
      <c r="BOW54" s="5">
        <f>-IFERROR('4. NPV'!#REF!/'4. NPV'!BOX$8,0)</f>
        <v>0</v>
      </c>
      <c r="BOX54" s="5">
        <f>-IFERROR('4. NPV'!#REF!/'4. NPV'!BOY$8,0)</f>
        <v>0</v>
      </c>
      <c r="BOY54" s="5">
        <f>-IFERROR('4. NPV'!#REF!/'4. NPV'!BOZ$8,0)</f>
        <v>0</v>
      </c>
      <c r="BOZ54" s="5">
        <f>-IFERROR('4. NPV'!#REF!/'4. NPV'!BPA$8,0)</f>
        <v>0</v>
      </c>
      <c r="BPA54" s="5">
        <f>-IFERROR('4. NPV'!#REF!/'4. NPV'!BPB$8,0)</f>
        <v>0</v>
      </c>
      <c r="BPB54" s="5">
        <f>-IFERROR('4. NPV'!#REF!/'4. NPV'!BPC$8,0)</f>
        <v>0</v>
      </c>
      <c r="BPC54" s="5">
        <f>-IFERROR('4. NPV'!#REF!/'4. NPV'!BPD$8,0)</f>
        <v>0</v>
      </c>
      <c r="BPD54" s="5">
        <f>-IFERROR('4. NPV'!#REF!/'4. NPV'!BPE$8,0)</f>
        <v>0</v>
      </c>
      <c r="BPE54" s="5">
        <f>-IFERROR('4. NPV'!#REF!/'4. NPV'!BPF$8,0)</f>
        <v>0</v>
      </c>
      <c r="BPF54" s="5">
        <f>-IFERROR('4. NPV'!#REF!/'4. NPV'!BPG$8,0)</f>
        <v>0</v>
      </c>
      <c r="BPG54" s="5">
        <f>-IFERROR('4. NPV'!#REF!/'4. NPV'!BPH$8,0)</f>
        <v>0</v>
      </c>
      <c r="BPH54" s="5">
        <f>-IFERROR('4. NPV'!#REF!/'4. NPV'!BPI$8,0)</f>
        <v>0</v>
      </c>
      <c r="BPI54" s="5">
        <f>-IFERROR('4. NPV'!#REF!/'4. NPV'!BPJ$8,0)</f>
        <v>0</v>
      </c>
      <c r="BPJ54" s="5">
        <f>-IFERROR('4. NPV'!#REF!/'4. NPV'!BPK$8,0)</f>
        <v>0</v>
      </c>
      <c r="BPK54" s="5">
        <f>-IFERROR('4. NPV'!#REF!/'4. NPV'!BPL$8,0)</f>
        <v>0</v>
      </c>
      <c r="BPL54" s="5">
        <f>-IFERROR('4. NPV'!#REF!/'4. NPV'!BPM$8,0)</f>
        <v>0</v>
      </c>
      <c r="BPM54" s="5">
        <f>-IFERROR('4. NPV'!#REF!/'4. NPV'!BPN$8,0)</f>
        <v>0</v>
      </c>
      <c r="BPN54" s="5">
        <f>-IFERROR('4. NPV'!#REF!/'4. NPV'!BPO$8,0)</f>
        <v>0</v>
      </c>
      <c r="BPO54" s="5">
        <f>-IFERROR('4. NPV'!#REF!/'4. NPV'!BPP$8,0)</f>
        <v>0</v>
      </c>
      <c r="BPP54" s="5">
        <f>-IFERROR('4. NPV'!#REF!/'4. NPV'!BPQ$8,0)</f>
        <v>0</v>
      </c>
      <c r="BPQ54" s="5">
        <f>-IFERROR('4. NPV'!#REF!/'4. NPV'!BPR$8,0)</f>
        <v>0</v>
      </c>
      <c r="BPR54" s="5">
        <f>-IFERROR('4. NPV'!#REF!/'4. NPV'!BPS$8,0)</f>
        <v>0</v>
      </c>
      <c r="BPS54" s="5">
        <f>-IFERROR('4. NPV'!#REF!/'4. NPV'!BPT$8,0)</f>
        <v>0</v>
      </c>
      <c r="BPT54" s="5">
        <f>-IFERROR('4. NPV'!#REF!/'4. NPV'!BPU$8,0)</f>
        <v>0</v>
      </c>
      <c r="BPU54" s="5">
        <f>-IFERROR('4. NPV'!#REF!/'4. NPV'!BPV$8,0)</f>
        <v>0</v>
      </c>
      <c r="BPV54" s="5">
        <f>-IFERROR('4. NPV'!#REF!/'4. NPV'!BPW$8,0)</f>
        <v>0</v>
      </c>
      <c r="BPW54" s="5">
        <f>-IFERROR('4. NPV'!#REF!/'4. NPV'!BPX$8,0)</f>
        <v>0</v>
      </c>
      <c r="BPX54" s="5">
        <f>-IFERROR('4. NPV'!#REF!/'4. NPV'!BPY$8,0)</f>
        <v>0</v>
      </c>
      <c r="BPY54" s="5">
        <f>-IFERROR('4. NPV'!#REF!/'4. NPV'!BPZ$8,0)</f>
        <v>0</v>
      </c>
      <c r="BPZ54" s="5">
        <f>-IFERROR('4. NPV'!#REF!/'4. NPV'!BQA$8,0)</f>
        <v>0</v>
      </c>
      <c r="BQA54" s="5">
        <f>-IFERROR('4. NPV'!#REF!/'4. NPV'!BQB$8,0)</f>
        <v>0</v>
      </c>
      <c r="BQB54" s="5">
        <f>-IFERROR('4. NPV'!#REF!/'4. NPV'!BQC$8,0)</f>
        <v>0</v>
      </c>
      <c r="BQC54" s="5">
        <f>-IFERROR('4. NPV'!#REF!/'4. NPV'!BQD$8,0)</f>
        <v>0</v>
      </c>
      <c r="BQD54" s="5">
        <f>-IFERROR('4. NPV'!#REF!/'4. NPV'!BQE$8,0)</f>
        <v>0</v>
      </c>
      <c r="BQE54" s="5">
        <f>-IFERROR('4. NPV'!#REF!/'4. NPV'!BQF$8,0)</f>
        <v>0</v>
      </c>
      <c r="BQF54" s="5">
        <f>-IFERROR('4. NPV'!#REF!/'4. NPV'!BQG$8,0)</f>
        <v>0</v>
      </c>
      <c r="BQG54" s="5">
        <f>-IFERROR('4. NPV'!#REF!/'4. NPV'!BQH$8,0)</f>
        <v>0</v>
      </c>
      <c r="BQH54" s="5">
        <f>-IFERROR('4. NPV'!#REF!/'4. NPV'!BQI$8,0)</f>
        <v>0</v>
      </c>
      <c r="BQI54" s="5">
        <f>-IFERROR('4. NPV'!#REF!/'4. NPV'!BQJ$8,0)</f>
        <v>0</v>
      </c>
      <c r="BQJ54" s="5">
        <f>-IFERROR('4. NPV'!#REF!/'4. NPV'!BQK$8,0)</f>
        <v>0</v>
      </c>
      <c r="BQK54" s="5">
        <f>-IFERROR('4. NPV'!#REF!/'4. NPV'!BQL$8,0)</f>
        <v>0</v>
      </c>
      <c r="BQL54" s="5">
        <f>-IFERROR('4. NPV'!#REF!/'4. NPV'!BQM$8,0)</f>
        <v>0</v>
      </c>
      <c r="BQM54" s="5">
        <f>-IFERROR('4. NPV'!#REF!/'4. NPV'!BQN$8,0)</f>
        <v>0</v>
      </c>
      <c r="BQN54" s="5">
        <f>-IFERROR('4. NPV'!#REF!/'4. NPV'!BQO$8,0)</f>
        <v>0</v>
      </c>
      <c r="BQO54" s="5">
        <f>-IFERROR('4. NPV'!#REF!/'4. NPV'!BQP$8,0)</f>
        <v>0</v>
      </c>
      <c r="BQP54" s="5">
        <f>-IFERROR('4. NPV'!#REF!/'4. NPV'!BQQ$8,0)</f>
        <v>0</v>
      </c>
      <c r="BQQ54" s="5">
        <f>-IFERROR('4. NPV'!#REF!/'4. NPV'!BQR$8,0)</f>
        <v>0</v>
      </c>
      <c r="BQR54" s="5">
        <f>-IFERROR('4. NPV'!#REF!/'4. NPV'!BQS$8,0)</f>
        <v>0</v>
      </c>
      <c r="BQS54" s="5">
        <f>-IFERROR('4. NPV'!#REF!/'4. NPV'!BQT$8,0)</f>
        <v>0</v>
      </c>
      <c r="BQT54" s="5">
        <f>-IFERROR('4. NPV'!#REF!/'4. NPV'!BQU$8,0)</f>
        <v>0</v>
      </c>
      <c r="BQU54" s="5">
        <f>-IFERROR('4. NPV'!#REF!/'4. NPV'!BQV$8,0)</f>
        <v>0</v>
      </c>
      <c r="BQV54" s="5">
        <f>-IFERROR('4. NPV'!#REF!/'4. NPV'!BQW$8,0)</f>
        <v>0</v>
      </c>
      <c r="BQW54" s="5">
        <f>-IFERROR('4. NPV'!#REF!/'4. NPV'!BQX$8,0)</f>
        <v>0</v>
      </c>
      <c r="BQX54" s="5">
        <f>-IFERROR('4. NPV'!#REF!/'4. NPV'!BQY$8,0)</f>
        <v>0</v>
      </c>
      <c r="BQY54" s="5">
        <f>-IFERROR('4. NPV'!#REF!/'4. NPV'!BQZ$8,0)</f>
        <v>0</v>
      </c>
      <c r="BQZ54" s="5">
        <f>-IFERROR('4. NPV'!#REF!/'4. NPV'!BRA$8,0)</f>
        <v>0</v>
      </c>
      <c r="BRA54" s="5">
        <f>-IFERROR('4. NPV'!#REF!/'4. NPV'!BRB$8,0)</f>
        <v>0</v>
      </c>
      <c r="BRB54" s="5">
        <f>-IFERROR('4. NPV'!#REF!/'4. NPV'!BRC$8,0)</f>
        <v>0</v>
      </c>
      <c r="BRC54" s="5">
        <f>-IFERROR('4. NPV'!#REF!/'4. NPV'!BRD$8,0)</f>
        <v>0</v>
      </c>
      <c r="BRD54" s="5">
        <f>-IFERROR('4. NPV'!#REF!/'4. NPV'!BRE$8,0)</f>
        <v>0</v>
      </c>
      <c r="BRE54" s="5">
        <f>-IFERROR('4. NPV'!#REF!/'4. NPV'!BRF$8,0)</f>
        <v>0</v>
      </c>
      <c r="BRF54" s="5">
        <f>-IFERROR('4. NPV'!#REF!/'4. NPV'!BRG$8,0)</f>
        <v>0</v>
      </c>
      <c r="BRG54" s="5">
        <f>-IFERROR('4. NPV'!#REF!/'4. NPV'!BRH$8,0)</f>
        <v>0</v>
      </c>
      <c r="BRH54" s="5">
        <f>-IFERROR('4. NPV'!#REF!/'4. NPV'!BRI$8,0)</f>
        <v>0</v>
      </c>
      <c r="BRI54" s="5">
        <f>-IFERROR('4. NPV'!#REF!/'4. NPV'!BRJ$8,0)</f>
        <v>0</v>
      </c>
      <c r="BRJ54" s="5">
        <f>-IFERROR('4. NPV'!#REF!/'4. NPV'!BRK$8,0)</f>
        <v>0</v>
      </c>
      <c r="BRK54" s="5">
        <f>-IFERROR('4. NPV'!#REF!/'4. NPV'!BRL$8,0)</f>
        <v>0</v>
      </c>
      <c r="BRL54" s="5">
        <f>-IFERROR('4. NPV'!#REF!/'4. NPV'!BRM$8,0)</f>
        <v>0</v>
      </c>
      <c r="BRM54" s="5">
        <f>-IFERROR('4. NPV'!#REF!/'4. NPV'!BRN$8,0)</f>
        <v>0</v>
      </c>
      <c r="BRN54" s="5">
        <f>-IFERROR('4. NPV'!#REF!/'4. NPV'!BRO$8,0)</f>
        <v>0</v>
      </c>
      <c r="BRO54" s="5">
        <f>-IFERROR('4. NPV'!#REF!/'4. NPV'!BRP$8,0)</f>
        <v>0</v>
      </c>
      <c r="BRP54" s="5">
        <f>-IFERROR('4. NPV'!#REF!/'4. NPV'!BRQ$8,0)</f>
        <v>0</v>
      </c>
      <c r="BRQ54" s="5">
        <f>-IFERROR('4. NPV'!#REF!/'4. NPV'!BRR$8,0)</f>
        <v>0</v>
      </c>
      <c r="BRR54" s="5">
        <f>-IFERROR('4. NPV'!#REF!/'4. NPV'!BRS$8,0)</f>
        <v>0</v>
      </c>
      <c r="BRS54" s="5">
        <f>-IFERROR('4. NPV'!#REF!/'4. NPV'!BRT$8,0)</f>
        <v>0</v>
      </c>
      <c r="BRT54" s="5">
        <f>-IFERROR('4. NPV'!#REF!/'4. NPV'!BRU$8,0)</f>
        <v>0</v>
      </c>
      <c r="BRU54" s="5">
        <f>-IFERROR('4. NPV'!#REF!/'4. NPV'!BRV$8,0)</f>
        <v>0</v>
      </c>
      <c r="BRV54" s="5">
        <f>-IFERROR('4. NPV'!#REF!/'4. NPV'!BRW$8,0)</f>
        <v>0</v>
      </c>
      <c r="BRW54" s="5">
        <f>-IFERROR('4. NPV'!#REF!/'4. NPV'!BRX$8,0)</f>
        <v>0</v>
      </c>
      <c r="BRX54" s="5">
        <f>-IFERROR('4. NPV'!#REF!/'4. NPV'!BRY$8,0)</f>
        <v>0</v>
      </c>
      <c r="BRY54" s="5">
        <f>-IFERROR('4. NPV'!#REF!/'4. NPV'!BRZ$8,0)</f>
        <v>0</v>
      </c>
      <c r="BRZ54" s="5">
        <f>-IFERROR('4. NPV'!#REF!/'4. NPV'!BSA$8,0)</f>
        <v>0</v>
      </c>
      <c r="BSA54" s="5">
        <f>-IFERROR('4. NPV'!#REF!/'4. NPV'!BSB$8,0)</f>
        <v>0</v>
      </c>
      <c r="BSB54" s="5">
        <f>-IFERROR('4. NPV'!#REF!/'4. NPV'!BSC$8,0)</f>
        <v>0</v>
      </c>
      <c r="BSC54" s="5">
        <f>-IFERROR('4. NPV'!#REF!/'4. NPV'!BSD$8,0)</f>
        <v>0</v>
      </c>
      <c r="BSD54" s="5">
        <f>-IFERROR('4. NPV'!#REF!/'4. NPV'!BSE$8,0)</f>
        <v>0</v>
      </c>
      <c r="BSE54" s="5">
        <f>-IFERROR('4. NPV'!#REF!/'4. NPV'!BSF$8,0)</f>
        <v>0</v>
      </c>
      <c r="BSF54" s="5">
        <f>-IFERROR('4. NPV'!#REF!/'4. NPV'!BSG$8,0)</f>
        <v>0</v>
      </c>
      <c r="BSG54" s="5">
        <f>-IFERROR('4. NPV'!#REF!/'4. NPV'!BSH$8,0)</f>
        <v>0</v>
      </c>
      <c r="BSH54" s="5">
        <f>-IFERROR('4. NPV'!#REF!/'4. NPV'!BSI$8,0)</f>
        <v>0</v>
      </c>
      <c r="BSI54" s="5">
        <f>-IFERROR('4. NPV'!#REF!/'4. NPV'!BSJ$8,0)</f>
        <v>0</v>
      </c>
      <c r="BSJ54" s="5">
        <f>-IFERROR('4. NPV'!#REF!/'4. NPV'!BSK$8,0)</f>
        <v>0</v>
      </c>
      <c r="BSK54" s="5">
        <f>-IFERROR('4. NPV'!#REF!/'4. NPV'!BSL$8,0)</f>
        <v>0</v>
      </c>
      <c r="BSL54" s="5">
        <f>-IFERROR('4. NPV'!#REF!/'4. NPV'!BSM$8,0)</f>
        <v>0</v>
      </c>
      <c r="BSM54" s="5">
        <f>-IFERROR('4. NPV'!#REF!/'4. NPV'!BSN$8,0)</f>
        <v>0</v>
      </c>
      <c r="BSN54" s="5">
        <f>-IFERROR('4. NPV'!#REF!/'4. NPV'!BSO$8,0)</f>
        <v>0</v>
      </c>
      <c r="BSO54" s="5">
        <f>-IFERROR('4. NPV'!#REF!/'4. NPV'!BSP$8,0)</f>
        <v>0</v>
      </c>
      <c r="BSP54" s="5">
        <f>-IFERROR('4. NPV'!#REF!/'4. NPV'!BSQ$8,0)</f>
        <v>0</v>
      </c>
      <c r="BSQ54" s="5">
        <f>-IFERROR('4. NPV'!#REF!/'4. NPV'!BSR$8,0)</f>
        <v>0</v>
      </c>
      <c r="BSR54" s="5">
        <f>-IFERROR('4. NPV'!#REF!/'4. NPV'!BSS$8,0)</f>
        <v>0</v>
      </c>
      <c r="BSS54" s="5">
        <f>-IFERROR('4. NPV'!#REF!/'4. NPV'!BST$8,0)</f>
        <v>0</v>
      </c>
      <c r="BST54" s="5">
        <f>-IFERROR('4. NPV'!#REF!/'4. NPV'!BSU$8,0)</f>
        <v>0</v>
      </c>
      <c r="BSU54" s="5">
        <f>-IFERROR('4. NPV'!#REF!/'4. NPV'!BSV$8,0)</f>
        <v>0</v>
      </c>
      <c r="BSV54" s="5">
        <f>-IFERROR('4. NPV'!#REF!/'4. NPV'!BSW$8,0)</f>
        <v>0</v>
      </c>
      <c r="BSW54" s="5">
        <f>-IFERROR('4. NPV'!#REF!/'4. NPV'!BSX$8,0)</f>
        <v>0</v>
      </c>
      <c r="BSX54" s="5">
        <f>-IFERROR('4. NPV'!#REF!/'4. NPV'!BSY$8,0)</f>
        <v>0</v>
      </c>
      <c r="BSY54" s="5">
        <f>-IFERROR('4. NPV'!#REF!/'4. NPV'!BSZ$8,0)</f>
        <v>0</v>
      </c>
      <c r="BSZ54" s="5">
        <f>-IFERROR('4. NPV'!#REF!/'4. NPV'!BTA$8,0)</f>
        <v>0</v>
      </c>
      <c r="BTA54" s="5">
        <f>-IFERROR('4. NPV'!#REF!/'4. NPV'!BTB$8,0)</f>
        <v>0</v>
      </c>
      <c r="BTB54" s="5">
        <f>-IFERROR('4. NPV'!#REF!/'4. NPV'!BTC$8,0)</f>
        <v>0</v>
      </c>
      <c r="BTC54" s="5">
        <f>-IFERROR('4. NPV'!#REF!/'4. NPV'!BTD$8,0)</f>
        <v>0</v>
      </c>
      <c r="BTD54" s="5">
        <f>-IFERROR('4. NPV'!#REF!/'4. NPV'!BTE$8,0)</f>
        <v>0</v>
      </c>
      <c r="BTE54" s="5">
        <f>-IFERROR('4. NPV'!#REF!/'4. NPV'!BTF$8,0)</f>
        <v>0</v>
      </c>
      <c r="BTF54" s="5">
        <f>-IFERROR('4. NPV'!#REF!/'4. NPV'!BTG$8,0)</f>
        <v>0</v>
      </c>
      <c r="BTG54" s="5">
        <f>-IFERROR('4. NPV'!#REF!/'4. NPV'!BTH$8,0)</f>
        <v>0</v>
      </c>
      <c r="BTH54" s="5">
        <f>-IFERROR('4. NPV'!#REF!/'4. NPV'!BTI$8,0)</f>
        <v>0</v>
      </c>
      <c r="BTI54" s="5">
        <f>-IFERROR('4. NPV'!#REF!/'4. NPV'!BTJ$8,0)</f>
        <v>0</v>
      </c>
      <c r="BTJ54" s="5">
        <f>-IFERROR('4. NPV'!#REF!/'4. NPV'!BTK$8,0)</f>
        <v>0</v>
      </c>
      <c r="BTK54" s="5">
        <f>-IFERROR('4. NPV'!#REF!/'4. NPV'!BTL$8,0)</f>
        <v>0</v>
      </c>
      <c r="BTL54" s="5">
        <f>-IFERROR('4. NPV'!#REF!/'4. NPV'!BTM$8,0)</f>
        <v>0</v>
      </c>
      <c r="BTM54" s="5">
        <f>-IFERROR('4. NPV'!#REF!/'4. NPV'!BTN$8,0)</f>
        <v>0</v>
      </c>
      <c r="BTN54" s="5">
        <f>-IFERROR('4. NPV'!#REF!/'4. NPV'!BTO$8,0)</f>
        <v>0</v>
      </c>
      <c r="BTO54" s="5">
        <f>-IFERROR('4. NPV'!#REF!/'4. NPV'!BTP$8,0)</f>
        <v>0</v>
      </c>
      <c r="BTP54" s="5">
        <f>-IFERROR('4. NPV'!#REF!/'4. NPV'!BTQ$8,0)</f>
        <v>0</v>
      </c>
      <c r="BTQ54" s="5">
        <f>-IFERROR('4. NPV'!#REF!/'4. NPV'!BTR$8,0)</f>
        <v>0</v>
      </c>
      <c r="BTR54" s="5">
        <f>-IFERROR('4. NPV'!#REF!/'4. NPV'!BTS$8,0)</f>
        <v>0</v>
      </c>
      <c r="BTS54" s="5">
        <f>-IFERROR('4. NPV'!#REF!/'4. NPV'!BTT$8,0)</f>
        <v>0</v>
      </c>
      <c r="BTT54" s="5">
        <f>-IFERROR('4. NPV'!#REF!/'4. NPV'!BTU$8,0)</f>
        <v>0</v>
      </c>
      <c r="BTU54" s="5">
        <f>-IFERROR('4. NPV'!#REF!/'4. NPV'!BTV$8,0)</f>
        <v>0</v>
      </c>
      <c r="BTV54" s="5">
        <f>-IFERROR('4. NPV'!#REF!/'4. NPV'!BTW$8,0)</f>
        <v>0</v>
      </c>
      <c r="BTW54" s="5">
        <f>-IFERROR('4. NPV'!#REF!/'4. NPV'!BTX$8,0)</f>
        <v>0</v>
      </c>
      <c r="BTX54" s="5">
        <f>-IFERROR('4. NPV'!#REF!/'4. NPV'!BTY$8,0)</f>
        <v>0</v>
      </c>
      <c r="BTY54" s="5">
        <f>-IFERROR('4. NPV'!#REF!/'4. NPV'!BTZ$8,0)</f>
        <v>0</v>
      </c>
      <c r="BTZ54" s="5">
        <f>-IFERROR('4. NPV'!#REF!/'4. NPV'!BUA$8,0)</f>
        <v>0</v>
      </c>
      <c r="BUA54" s="5">
        <f>-IFERROR('4. NPV'!#REF!/'4. NPV'!BUB$8,0)</f>
        <v>0</v>
      </c>
      <c r="BUB54" s="5">
        <f>-IFERROR('4. NPV'!#REF!/'4. NPV'!BUC$8,0)</f>
        <v>0</v>
      </c>
      <c r="BUC54" s="5">
        <f>-IFERROR('4. NPV'!#REF!/'4. NPV'!BUD$8,0)</f>
        <v>0</v>
      </c>
      <c r="BUD54" s="5">
        <f>-IFERROR('4. NPV'!#REF!/'4. NPV'!BUE$8,0)</f>
        <v>0</v>
      </c>
      <c r="BUE54" s="5">
        <f>-IFERROR('4. NPV'!#REF!/'4. NPV'!BUF$8,0)</f>
        <v>0</v>
      </c>
      <c r="BUF54" s="5">
        <f>-IFERROR('4. NPV'!#REF!/'4. NPV'!BUG$8,0)</f>
        <v>0</v>
      </c>
      <c r="BUG54" s="5">
        <f>-IFERROR('4. NPV'!#REF!/'4. NPV'!BUH$8,0)</f>
        <v>0</v>
      </c>
      <c r="BUH54" s="5">
        <f>-IFERROR('4. NPV'!#REF!/'4. NPV'!BUI$8,0)</f>
        <v>0</v>
      </c>
      <c r="BUI54" s="5">
        <f>-IFERROR('4. NPV'!#REF!/'4. NPV'!BUJ$8,0)</f>
        <v>0</v>
      </c>
      <c r="BUJ54" s="5">
        <f>-IFERROR('4. NPV'!#REF!/'4. NPV'!BUK$8,0)</f>
        <v>0</v>
      </c>
      <c r="BUK54" s="5">
        <f>-IFERROR('4. NPV'!#REF!/'4. NPV'!BUL$8,0)</f>
        <v>0</v>
      </c>
      <c r="BUL54" s="5">
        <f>-IFERROR('4. NPV'!#REF!/'4. NPV'!BUM$8,0)</f>
        <v>0</v>
      </c>
      <c r="BUM54" s="5">
        <f>-IFERROR('4. NPV'!#REF!/'4. NPV'!BUN$8,0)</f>
        <v>0</v>
      </c>
      <c r="BUN54" s="5">
        <f>-IFERROR('4. NPV'!#REF!/'4. NPV'!BUO$8,0)</f>
        <v>0</v>
      </c>
      <c r="BUO54" s="5">
        <f>-IFERROR('4. NPV'!#REF!/'4. NPV'!BUP$8,0)</f>
        <v>0</v>
      </c>
      <c r="BUP54" s="5">
        <f>-IFERROR('4. NPV'!#REF!/'4. NPV'!BUQ$8,0)</f>
        <v>0</v>
      </c>
      <c r="BUQ54" s="5">
        <f>-IFERROR('4. NPV'!#REF!/'4. NPV'!BUR$8,0)</f>
        <v>0</v>
      </c>
      <c r="BUR54" s="5">
        <f>-IFERROR('4. NPV'!#REF!/'4. NPV'!BUS$8,0)</f>
        <v>0</v>
      </c>
      <c r="BUS54" s="5">
        <f>-IFERROR('4. NPV'!#REF!/'4. NPV'!BUT$8,0)</f>
        <v>0</v>
      </c>
      <c r="BUT54" s="5">
        <f>-IFERROR('4. NPV'!#REF!/'4. NPV'!BUU$8,0)</f>
        <v>0</v>
      </c>
      <c r="BUU54" s="5">
        <f>-IFERROR('4. NPV'!#REF!/'4. NPV'!BUV$8,0)</f>
        <v>0</v>
      </c>
      <c r="BUV54" s="5">
        <f>-IFERROR('4. NPV'!#REF!/'4. NPV'!BUW$8,0)</f>
        <v>0</v>
      </c>
      <c r="BUW54" s="5">
        <f>-IFERROR('4. NPV'!#REF!/'4. NPV'!BUX$8,0)</f>
        <v>0</v>
      </c>
      <c r="BUX54" s="5">
        <f>-IFERROR('4. NPV'!#REF!/'4. NPV'!BUY$8,0)</f>
        <v>0</v>
      </c>
      <c r="BUY54" s="5">
        <f>-IFERROR('4. NPV'!#REF!/'4. NPV'!BUZ$8,0)</f>
        <v>0</v>
      </c>
      <c r="BUZ54" s="5">
        <f>-IFERROR('4. NPV'!#REF!/'4. NPV'!BVA$8,0)</f>
        <v>0</v>
      </c>
      <c r="BVA54" s="5">
        <f>-IFERROR('4. NPV'!#REF!/'4. NPV'!BVB$8,0)</f>
        <v>0</v>
      </c>
      <c r="BVB54" s="5">
        <f>-IFERROR('4. NPV'!#REF!/'4. NPV'!BVC$8,0)</f>
        <v>0</v>
      </c>
      <c r="BVC54" s="5">
        <f>-IFERROR('4. NPV'!#REF!/'4. NPV'!BVD$8,0)</f>
        <v>0</v>
      </c>
      <c r="BVD54" s="5">
        <f>-IFERROR('4. NPV'!#REF!/'4. NPV'!BVE$8,0)</f>
        <v>0</v>
      </c>
      <c r="BVE54" s="5">
        <f>-IFERROR('4. NPV'!#REF!/'4. NPV'!BVF$8,0)</f>
        <v>0</v>
      </c>
      <c r="BVF54" s="5">
        <f>-IFERROR('4. NPV'!#REF!/'4. NPV'!BVG$8,0)</f>
        <v>0</v>
      </c>
      <c r="BVG54" s="5">
        <f>-IFERROR('4. NPV'!#REF!/'4. NPV'!BVH$8,0)</f>
        <v>0</v>
      </c>
      <c r="BVH54" s="5">
        <f>-IFERROR('4. NPV'!#REF!/'4. NPV'!BVI$8,0)</f>
        <v>0</v>
      </c>
      <c r="BVI54" s="5">
        <f>-IFERROR('4. NPV'!#REF!/'4. NPV'!BVJ$8,0)</f>
        <v>0</v>
      </c>
      <c r="BVJ54" s="5">
        <f>-IFERROR('4. NPV'!#REF!/'4. NPV'!BVK$8,0)</f>
        <v>0</v>
      </c>
      <c r="BVK54" s="5">
        <f>-IFERROR('4. NPV'!#REF!/'4. NPV'!BVL$8,0)</f>
        <v>0</v>
      </c>
      <c r="BVL54" s="5">
        <f>-IFERROR('4. NPV'!#REF!/'4. NPV'!BVM$8,0)</f>
        <v>0</v>
      </c>
      <c r="BVM54" s="5">
        <f>-IFERROR('4. NPV'!#REF!/'4. NPV'!BVN$8,0)</f>
        <v>0</v>
      </c>
      <c r="BVN54" s="5">
        <f>-IFERROR('4. NPV'!#REF!/'4. NPV'!BVO$8,0)</f>
        <v>0</v>
      </c>
      <c r="BVO54" s="5">
        <f>-IFERROR('4. NPV'!#REF!/'4. NPV'!BVP$8,0)</f>
        <v>0</v>
      </c>
      <c r="BVP54" s="5">
        <f>-IFERROR('4. NPV'!#REF!/'4. NPV'!BVQ$8,0)</f>
        <v>0</v>
      </c>
      <c r="BVQ54" s="5">
        <f>-IFERROR('4. NPV'!#REF!/'4. NPV'!BVR$8,0)</f>
        <v>0</v>
      </c>
      <c r="BVR54" s="5">
        <f>-IFERROR('4. NPV'!#REF!/'4. NPV'!BVS$8,0)</f>
        <v>0</v>
      </c>
      <c r="BVS54" s="5">
        <f>-IFERROR('4. NPV'!#REF!/'4. NPV'!BVT$8,0)</f>
        <v>0</v>
      </c>
      <c r="BVT54" s="5">
        <f>-IFERROR('4. NPV'!#REF!/'4. NPV'!BVU$8,0)</f>
        <v>0</v>
      </c>
      <c r="BVU54" s="5">
        <f>-IFERROR('4. NPV'!#REF!/'4. NPV'!BVV$8,0)</f>
        <v>0</v>
      </c>
      <c r="BVV54" s="5">
        <f>-IFERROR('4. NPV'!#REF!/'4. NPV'!BVW$8,0)</f>
        <v>0</v>
      </c>
      <c r="BVW54" s="5">
        <f>-IFERROR('4. NPV'!#REF!/'4. NPV'!BVX$8,0)</f>
        <v>0</v>
      </c>
      <c r="BVX54" s="5">
        <f>-IFERROR('4. NPV'!#REF!/'4. NPV'!BVY$8,0)</f>
        <v>0</v>
      </c>
      <c r="BVY54" s="5">
        <f>-IFERROR('4. NPV'!#REF!/'4. NPV'!BVZ$8,0)</f>
        <v>0</v>
      </c>
      <c r="BVZ54" s="5">
        <f>-IFERROR('4. NPV'!#REF!/'4. NPV'!BWA$8,0)</f>
        <v>0</v>
      </c>
      <c r="BWA54" s="5">
        <f>-IFERROR('4. NPV'!#REF!/'4. NPV'!BWB$8,0)</f>
        <v>0</v>
      </c>
      <c r="BWB54" s="5">
        <f>-IFERROR('4. NPV'!#REF!/'4. NPV'!BWC$8,0)</f>
        <v>0</v>
      </c>
      <c r="BWC54" s="5">
        <f>-IFERROR('4. NPV'!#REF!/'4. NPV'!BWD$8,0)</f>
        <v>0</v>
      </c>
      <c r="BWD54" s="5">
        <f>-IFERROR('4. NPV'!#REF!/'4. NPV'!BWE$8,0)</f>
        <v>0</v>
      </c>
      <c r="BWE54" s="5">
        <f>-IFERROR('4. NPV'!#REF!/'4. NPV'!BWF$8,0)</f>
        <v>0</v>
      </c>
      <c r="BWF54" s="5">
        <f>-IFERROR('4. NPV'!#REF!/'4. NPV'!BWG$8,0)</f>
        <v>0</v>
      </c>
      <c r="BWG54" s="5">
        <f>-IFERROR('4. NPV'!#REF!/'4. NPV'!BWH$8,0)</f>
        <v>0</v>
      </c>
      <c r="BWH54" s="5">
        <f>-IFERROR('4. NPV'!#REF!/'4. NPV'!BWI$8,0)</f>
        <v>0</v>
      </c>
      <c r="BWI54" s="5">
        <f>-IFERROR('4. NPV'!#REF!/'4. NPV'!BWJ$8,0)</f>
        <v>0</v>
      </c>
      <c r="BWJ54" s="5">
        <f>-IFERROR('4. NPV'!#REF!/'4. NPV'!BWK$8,0)</f>
        <v>0</v>
      </c>
      <c r="BWK54" s="5">
        <f>-IFERROR('4. NPV'!#REF!/'4. NPV'!BWL$8,0)</f>
        <v>0</v>
      </c>
      <c r="BWL54" s="5">
        <f>-IFERROR('4. NPV'!#REF!/'4. NPV'!BWM$8,0)</f>
        <v>0</v>
      </c>
      <c r="BWM54" s="5">
        <f>-IFERROR('4. NPV'!#REF!/'4. NPV'!BWN$8,0)</f>
        <v>0</v>
      </c>
      <c r="BWN54" s="5">
        <f>-IFERROR('4. NPV'!#REF!/'4. NPV'!BWO$8,0)</f>
        <v>0</v>
      </c>
      <c r="BWO54" s="5">
        <f>-IFERROR('4. NPV'!#REF!/'4. NPV'!BWP$8,0)</f>
        <v>0</v>
      </c>
      <c r="BWP54" s="5">
        <f>-IFERROR('4. NPV'!#REF!/'4. NPV'!BWQ$8,0)</f>
        <v>0</v>
      </c>
      <c r="BWQ54" s="5">
        <f>-IFERROR('4. NPV'!#REF!/'4. NPV'!BWR$8,0)</f>
        <v>0</v>
      </c>
      <c r="BWR54" s="5">
        <f>-IFERROR('4. NPV'!#REF!/'4. NPV'!BWS$8,0)</f>
        <v>0</v>
      </c>
      <c r="BWS54" s="5">
        <f>-IFERROR('4. NPV'!#REF!/'4. NPV'!BWT$8,0)</f>
        <v>0</v>
      </c>
      <c r="BWT54" s="5">
        <f>-IFERROR('4. NPV'!#REF!/'4. NPV'!BWU$8,0)</f>
        <v>0</v>
      </c>
      <c r="BWU54" s="5">
        <f>-IFERROR('4. NPV'!#REF!/'4. NPV'!BWV$8,0)</f>
        <v>0</v>
      </c>
      <c r="BWV54" s="5">
        <f>-IFERROR('4. NPV'!#REF!/'4. NPV'!BWW$8,0)</f>
        <v>0</v>
      </c>
      <c r="BWW54" s="5">
        <f>-IFERROR('4. NPV'!#REF!/'4. NPV'!BWX$8,0)</f>
        <v>0</v>
      </c>
      <c r="BWX54" s="5">
        <f>-IFERROR('4. NPV'!#REF!/'4. NPV'!BWY$8,0)</f>
        <v>0</v>
      </c>
      <c r="BWY54" s="5">
        <f>-IFERROR('4. NPV'!#REF!/'4. NPV'!BWZ$8,0)</f>
        <v>0</v>
      </c>
      <c r="BWZ54" s="5">
        <f>-IFERROR('4. NPV'!#REF!/'4. NPV'!BXA$8,0)</f>
        <v>0</v>
      </c>
      <c r="BXA54" s="5">
        <f>-IFERROR('4. NPV'!#REF!/'4. NPV'!BXB$8,0)</f>
        <v>0</v>
      </c>
      <c r="BXB54" s="5">
        <f>-IFERROR('4. NPV'!#REF!/'4. NPV'!BXC$8,0)</f>
        <v>0</v>
      </c>
      <c r="BXC54" s="5">
        <f>-IFERROR('4. NPV'!#REF!/'4. NPV'!BXD$8,0)</f>
        <v>0</v>
      </c>
      <c r="BXD54" s="5">
        <f>-IFERROR('4. NPV'!#REF!/'4. NPV'!BXE$8,0)</f>
        <v>0</v>
      </c>
      <c r="BXE54" s="5">
        <f>-IFERROR('4. NPV'!#REF!/'4. NPV'!BXF$8,0)</f>
        <v>0</v>
      </c>
      <c r="BXF54" s="5">
        <f>-IFERROR('4. NPV'!#REF!/'4. NPV'!BXG$8,0)</f>
        <v>0</v>
      </c>
      <c r="BXG54" s="5">
        <f>-IFERROR('4. NPV'!#REF!/'4. NPV'!BXH$8,0)</f>
        <v>0</v>
      </c>
      <c r="BXH54" s="5">
        <f>-IFERROR('4. NPV'!#REF!/'4. NPV'!BXI$8,0)</f>
        <v>0</v>
      </c>
      <c r="BXI54" s="5">
        <f>-IFERROR('4. NPV'!#REF!/'4. NPV'!BXJ$8,0)</f>
        <v>0</v>
      </c>
      <c r="BXJ54" s="5">
        <f>-IFERROR('4. NPV'!#REF!/'4. NPV'!BXK$8,0)</f>
        <v>0</v>
      </c>
      <c r="BXK54" s="5">
        <f>-IFERROR('4. NPV'!#REF!/'4. NPV'!BXL$8,0)</f>
        <v>0</v>
      </c>
      <c r="BXL54" s="5">
        <f>-IFERROR('4. NPV'!#REF!/'4. NPV'!BXM$8,0)</f>
        <v>0</v>
      </c>
      <c r="BXM54" s="5">
        <f>-IFERROR('4. NPV'!#REF!/'4. NPV'!BXN$8,0)</f>
        <v>0</v>
      </c>
      <c r="BXN54" s="5">
        <f>-IFERROR('4. NPV'!#REF!/'4. NPV'!BXO$8,0)</f>
        <v>0</v>
      </c>
      <c r="BXO54" s="5">
        <f>-IFERROR('4. NPV'!#REF!/'4. NPV'!BXP$8,0)</f>
        <v>0</v>
      </c>
      <c r="BXP54" s="5">
        <f>-IFERROR('4. NPV'!#REF!/'4. NPV'!BXQ$8,0)</f>
        <v>0</v>
      </c>
      <c r="BXQ54" s="5">
        <f>-IFERROR('4. NPV'!#REF!/'4. NPV'!BXR$8,0)</f>
        <v>0</v>
      </c>
      <c r="BXR54" s="5">
        <f>-IFERROR('4. NPV'!#REF!/'4. NPV'!BXS$8,0)</f>
        <v>0</v>
      </c>
      <c r="BXS54" s="5">
        <f>-IFERROR('4. NPV'!#REF!/'4. NPV'!BXT$8,0)</f>
        <v>0</v>
      </c>
      <c r="BXT54" s="5">
        <f>-IFERROR('4. NPV'!#REF!/'4. NPV'!BXU$8,0)</f>
        <v>0</v>
      </c>
      <c r="BXU54" s="5">
        <f>-IFERROR('4. NPV'!#REF!/'4. NPV'!BXV$8,0)</f>
        <v>0</v>
      </c>
      <c r="BXV54" s="5">
        <f>-IFERROR('4. NPV'!#REF!/'4. NPV'!BXW$8,0)</f>
        <v>0</v>
      </c>
      <c r="BXW54" s="5">
        <f>-IFERROR('4. NPV'!#REF!/'4. NPV'!BXX$8,0)</f>
        <v>0</v>
      </c>
      <c r="BXX54" s="5">
        <f>-IFERROR('4. NPV'!#REF!/'4. NPV'!BXY$8,0)</f>
        <v>0</v>
      </c>
      <c r="BXY54" s="5">
        <f>-IFERROR('4. NPV'!#REF!/'4. NPV'!BXZ$8,0)</f>
        <v>0</v>
      </c>
      <c r="BXZ54" s="5">
        <f>-IFERROR('4. NPV'!#REF!/'4. NPV'!BYA$8,0)</f>
        <v>0</v>
      </c>
      <c r="BYA54" s="5">
        <f>-IFERROR('4. NPV'!#REF!/'4. NPV'!BYB$8,0)</f>
        <v>0</v>
      </c>
      <c r="BYB54" s="5">
        <f>-IFERROR('4. NPV'!#REF!/'4. NPV'!BYC$8,0)</f>
        <v>0</v>
      </c>
      <c r="BYC54" s="5">
        <f>-IFERROR('4. NPV'!#REF!/'4. NPV'!BYD$8,0)</f>
        <v>0</v>
      </c>
      <c r="BYD54" s="5">
        <f>-IFERROR('4. NPV'!#REF!/'4. NPV'!BYE$8,0)</f>
        <v>0</v>
      </c>
      <c r="BYE54" s="5">
        <f>-IFERROR('4. NPV'!#REF!/'4. NPV'!BYF$8,0)</f>
        <v>0</v>
      </c>
      <c r="BYF54" s="5">
        <f>-IFERROR('4. NPV'!#REF!/'4. NPV'!BYG$8,0)</f>
        <v>0</v>
      </c>
      <c r="BYG54" s="5">
        <f>-IFERROR('4. NPV'!#REF!/'4. NPV'!BYH$8,0)</f>
        <v>0</v>
      </c>
      <c r="BYH54" s="5">
        <f>-IFERROR('4. NPV'!#REF!/'4. NPV'!BYI$8,0)</f>
        <v>0</v>
      </c>
      <c r="BYI54" s="5">
        <f>-IFERROR('4. NPV'!#REF!/'4. NPV'!BYJ$8,0)</f>
        <v>0</v>
      </c>
      <c r="BYJ54" s="5">
        <f>-IFERROR('4. NPV'!#REF!/'4. NPV'!BYK$8,0)</f>
        <v>0</v>
      </c>
      <c r="BYK54" s="5">
        <f>-IFERROR('4. NPV'!#REF!/'4. NPV'!BYL$8,0)</f>
        <v>0</v>
      </c>
      <c r="BYL54" s="5">
        <f>-IFERROR('4. NPV'!#REF!/'4. NPV'!BYM$8,0)</f>
        <v>0</v>
      </c>
      <c r="BYM54" s="5">
        <f>-IFERROR('4. NPV'!#REF!/'4. NPV'!BYN$8,0)</f>
        <v>0</v>
      </c>
      <c r="BYN54" s="5">
        <f>-IFERROR('4. NPV'!#REF!/'4. NPV'!BYO$8,0)</f>
        <v>0</v>
      </c>
      <c r="BYO54" s="5">
        <f>-IFERROR('4. NPV'!#REF!/'4. NPV'!BYP$8,0)</f>
        <v>0</v>
      </c>
      <c r="BYP54" s="5">
        <f>-IFERROR('4. NPV'!#REF!/'4. NPV'!BYQ$8,0)</f>
        <v>0</v>
      </c>
      <c r="BYQ54" s="5">
        <f>-IFERROR('4. NPV'!#REF!/'4. NPV'!BYR$8,0)</f>
        <v>0</v>
      </c>
      <c r="BYR54" s="5">
        <f>-IFERROR('4. NPV'!#REF!/'4. NPV'!BYS$8,0)</f>
        <v>0</v>
      </c>
      <c r="BYS54" s="5">
        <f>-IFERROR('4. NPV'!#REF!/'4. NPV'!BYT$8,0)</f>
        <v>0</v>
      </c>
      <c r="BYT54" s="5">
        <f>-IFERROR('4. NPV'!#REF!/'4. NPV'!BYU$8,0)</f>
        <v>0</v>
      </c>
      <c r="BYU54" s="5">
        <f>-IFERROR('4. NPV'!#REF!/'4. NPV'!BYV$8,0)</f>
        <v>0</v>
      </c>
      <c r="BYV54" s="5">
        <f>-IFERROR('4. NPV'!#REF!/'4. NPV'!BYW$8,0)</f>
        <v>0</v>
      </c>
      <c r="BYW54" s="5">
        <f>-IFERROR('4. NPV'!#REF!/'4. NPV'!BYX$8,0)</f>
        <v>0</v>
      </c>
      <c r="BYX54" s="5">
        <f>-IFERROR('4. NPV'!#REF!/'4. NPV'!BYY$8,0)</f>
        <v>0</v>
      </c>
      <c r="BYY54" s="5">
        <f>-IFERROR('4. NPV'!#REF!/'4. NPV'!BYZ$8,0)</f>
        <v>0</v>
      </c>
      <c r="BYZ54" s="5">
        <f>-IFERROR('4. NPV'!#REF!/'4. NPV'!BZA$8,0)</f>
        <v>0</v>
      </c>
      <c r="BZA54" s="5">
        <f>-IFERROR('4. NPV'!#REF!/'4. NPV'!BZB$8,0)</f>
        <v>0</v>
      </c>
      <c r="BZB54" s="5">
        <f>-IFERROR('4. NPV'!#REF!/'4. NPV'!BZC$8,0)</f>
        <v>0</v>
      </c>
      <c r="BZC54" s="5">
        <f>-IFERROR('4. NPV'!#REF!/'4. NPV'!BZD$8,0)</f>
        <v>0</v>
      </c>
      <c r="BZD54" s="5">
        <f>-IFERROR('4. NPV'!#REF!/'4. NPV'!BZE$8,0)</f>
        <v>0</v>
      </c>
      <c r="BZE54" s="5">
        <f>-IFERROR('4. NPV'!#REF!/'4. NPV'!BZF$8,0)</f>
        <v>0</v>
      </c>
      <c r="BZF54" s="5">
        <f>-IFERROR('4. NPV'!#REF!/'4. NPV'!BZG$8,0)</f>
        <v>0</v>
      </c>
      <c r="BZG54" s="5">
        <f>-IFERROR('4. NPV'!#REF!/'4. NPV'!BZH$8,0)</f>
        <v>0</v>
      </c>
      <c r="BZH54" s="5">
        <f>-IFERROR('4. NPV'!#REF!/'4. NPV'!BZI$8,0)</f>
        <v>0</v>
      </c>
      <c r="BZI54" s="5">
        <f>-IFERROR('4. NPV'!#REF!/'4. NPV'!BZJ$8,0)</f>
        <v>0</v>
      </c>
      <c r="BZJ54" s="5">
        <f>-IFERROR('4. NPV'!#REF!/'4. NPV'!BZK$8,0)</f>
        <v>0</v>
      </c>
      <c r="BZK54" s="5">
        <f>-IFERROR('4. NPV'!#REF!/'4. NPV'!BZL$8,0)</f>
        <v>0</v>
      </c>
      <c r="BZL54" s="5">
        <f>-IFERROR('4. NPV'!#REF!/'4. NPV'!BZM$8,0)</f>
        <v>0</v>
      </c>
      <c r="BZM54" s="5">
        <f>-IFERROR('4. NPV'!#REF!/'4. NPV'!BZN$8,0)</f>
        <v>0</v>
      </c>
      <c r="BZN54" s="5">
        <f>-IFERROR('4. NPV'!#REF!/'4. NPV'!BZO$8,0)</f>
        <v>0</v>
      </c>
      <c r="BZO54" s="5">
        <f>-IFERROR('4. NPV'!#REF!/'4. NPV'!BZP$8,0)</f>
        <v>0</v>
      </c>
      <c r="BZP54" s="5">
        <f>-IFERROR('4. NPV'!#REF!/'4. NPV'!BZQ$8,0)</f>
        <v>0</v>
      </c>
      <c r="BZQ54" s="5">
        <f>-IFERROR('4. NPV'!#REF!/'4. NPV'!BZR$8,0)</f>
        <v>0</v>
      </c>
      <c r="BZR54" s="5">
        <f>-IFERROR('4. NPV'!#REF!/'4. NPV'!BZS$8,0)</f>
        <v>0</v>
      </c>
      <c r="BZS54" s="5">
        <f>-IFERROR('4. NPV'!#REF!/'4. NPV'!BZT$8,0)</f>
        <v>0</v>
      </c>
      <c r="BZT54" s="5">
        <f>-IFERROR('4. NPV'!#REF!/'4. NPV'!BZU$8,0)</f>
        <v>0</v>
      </c>
      <c r="BZU54" s="5">
        <f>-IFERROR('4. NPV'!#REF!/'4. NPV'!BZV$8,0)</f>
        <v>0</v>
      </c>
      <c r="BZV54" s="5">
        <f>-IFERROR('4. NPV'!#REF!/'4. NPV'!BZW$8,0)</f>
        <v>0</v>
      </c>
      <c r="BZW54" s="5">
        <f>-IFERROR('4. NPV'!#REF!/'4. NPV'!BZX$8,0)</f>
        <v>0</v>
      </c>
      <c r="BZX54" s="5">
        <f>-IFERROR('4. NPV'!#REF!/'4. NPV'!BZY$8,0)</f>
        <v>0</v>
      </c>
      <c r="BZY54" s="5">
        <f>-IFERROR('4. NPV'!#REF!/'4. NPV'!BZZ$8,0)</f>
        <v>0</v>
      </c>
      <c r="BZZ54" s="5">
        <f>-IFERROR('4. NPV'!#REF!/'4. NPV'!CAA$8,0)</f>
        <v>0</v>
      </c>
      <c r="CAA54" s="5">
        <f>-IFERROR('4. NPV'!#REF!/'4. NPV'!CAB$8,0)</f>
        <v>0</v>
      </c>
      <c r="CAB54" s="5">
        <f>-IFERROR('4. NPV'!#REF!/'4. NPV'!CAC$8,0)</f>
        <v>0</v>
      </c>
      <c r="CAC54" s="5">
        <f>-IFERROR('4. NPV'!#REF!/'4. NPV'!CAD$8,0)</f>
        <v>0</v>
      </c>
      <c r="CAD54" s="5">
        <f>-IFERROR('4. NPV'!#REF!/'4. NPV'!CAE$8,0)</f>
        <v>0</v>
      </c>
      <c r="CAE54" s="5">
        <f>-IFERROR('4. NPV'!#REF!/'4. NPV'!CAF$8,0)</f>
        <v>0</v>
      </c>
      <c r="CAF54" s="5">
        <f>-IFERROR('4. NPV'!#REF!/'4. NPV'!CAG$8,0)</f>
        <v>0</v>
      </c>
      <c r="CAG54" s="5">
        <f>-IFERROR('4. NPV'!#REF!/'4. NPV'!CAH$8,0)</f>
        <v>0</v>
      </c>
      <c r="CAH54" s="5">
        <f>-IFERROR('4. NPV'!#REF!/'4. NPV'!CAI$8,0)</f>
        <v>0</v>
      </c>
      <c r="CAI54" s="5">
        <f>-IFERROR('4. NPV'!#REF!/'4. NPV'!CAJ$8,0)</f>
        <v>0</v>
      </c>
      <c r="CAJ54" s="5">
        <f>-IFERROR('4. NPV'!#REF!/'4. NPV'!CAK$8,0)</f>
        <v>0</v>
      </c>
      <c r="CAK54" s="5">
        <f>-IFERROR('4. NPV'!#REF!/'4. NPV'!CAL$8,0)</f>
        <v>0</v>
      </c>
      <c r="CAL54" s="5">
        <f>-IFERROR('4. NPV'!#REF!/'4. NPV'!CAM$8,0)</f>
        <v>0</v>
      </c>
      <c r="CAM54" s="5">
        <f>-IFERROR('4. NPV'!#REF!/'4. NPV'!CAN$8,0)</f>
        <v>0</v>
      </c>
      <c r="CAN54" s="5">
        <f>-IFERROR('4. NPV'!#REF!/'4. NPV'!CAO$8,0)</f>
        <v>0</v>
      </c>
      <c r="CAO54" s="5">
        <f>-IFERROR('4. NPV'!#REF!/'4. NPV'!CAP$8,0)</f>
        <v>0</v>
      </c>
      <c r="CAP54" s="5">
        <f>-IFERROR('4. NPV'!#REF!/'4. NPV'!CAQ$8,0)</f>
        <v>0</v>
      </c>
      <c r="CAQ54" s="5">
        <f>-IFERROR('4. NPV'!#REF!/'4. NPV'!CAR$8,0)</f>
        <v>0</v>
      </c>
      <c r="CAR54" s="5">
        <f>-IFERROR('4. NPV'!#REF!/'4. NPV'!CAS$8,0)</f>
        <v>0</v>
      </c>
      <c r="CAS54" s="5">
        <f>-IFERROR('4. NPV'!#REF!/'4. NPV'!CAT$8,0)</f>
        <v>0</v>
      </c>
      <c r="CAT54" s="5">
        <f>-IFERROR('4. NPV'!#REF!/'4. NPV'!CAU$8,0)</f>
        <v>0</v>
      </c>
      <c r="CAU54" s="5">
        <f>-IFERROR('4. NPV'!#REF!/'4. NPV'!CAV$8,0)</f>
        <v>0</v>
      </c>
      <c r="CAV54" s="5">
        <f>-IFERROR('4. NPV'!#REF!/'4. NPV'!CAW$8,0)</f>
        <v>0</v>
      </c>
      <c r="CAW54" s="5">
        <f>-IFERROR('4. NPV'!#REF!/'4. NPV'!CAX$8,0)</f>
        <v>0</v>
      </c>
      <c r="CAX54" s="5">
        <f>-IFERROR('4. NPV'!#REF!/'4. NPV'!CAY$8,0)</f>
        <v>0</v>
      </c>
      <c r="CAY54" s="5">
        <f>-IFERROR('4. NPV'!#REF!/'4. NPV'!CAZ$8,0)</f>
        <v>0</v>
      </c>
      <c r="CAZ54" s="5">
        <f>-IFERROR('4. NPV'!#REF!/'4. NPV'!CBA$8,0)</f>
        <v>0</v>
      </c>
      <c r="CBA54" s="5">
        <f>-IFERROR('4. NPV'!#REF!/'4. NPV'!CBB$8,0)</f>
        <v>0</v>
      </c>
      <c r="CBB54" s="5">
        <f>-IFERROR('4. NPV'!#REF!/'4. NPV'!CBC$8,0)</f>
        <v>0</v>
      </c>
      <c r="CBC54" s="5">
        <f>-IFERROR('4. NPV'!#REF!/'4. NPV'!CBD$8,0)</f>
        <v>0</v>
      </c>
      <c r="CBD54" s="5">
        <f>-IFERROR('4. NPV'!#REF!/'4. NPV'!CBE$8,0)</f>
        <v>0</v>
      </c>
      <c r="CBE54" s="5">
        <f>-IFERROR('4. NPV'!#REF!/'4. NPV'!CBF$8,0)</f>
        <v>0</v>
      </c>
      <c r="CBF54" s="5">
        <f>-IFERROR('4. NPV'!#REF!/'4. NPV'!CBG$8,0)</f>
        <v>0</v>
      </c>
      <c r="CBG54" s="5">
        <f>-IFERROR('4. NPV'!#REF!/'4. NPV'!CBH$8,0)</f>
        <v>0</v>
      </c>
      <c r="CBH54" s="5">
        <f>-IFERROR('4. NPV'!#REF!/'4. NPV'!CBI$8,0)</f>
        <v>0</v>
      </c>
      <c r="CBI54" s="5">
        <f>-IFERROR('4. NPV'!#REF!/'4. NPV'!CBJ$8,0)</f>
        <v>0</v>
      </c>
      <c r="CBJ54" s="5">
        <f>-IFERROR('4. NPV'!#REF!/'4. NPV'!CBK$8,0)</f>
        <v>0</v>
      </c>
      <c r="CBK54" s="5">
        <f>-IFERROR('4. NPV'!#REF!/'4. NPV'!CBL$8,0)</f>
        <v>0</v>
      </c>
      <c r="CBL54" s="5">
        <f>-IFERROR('4. NPV'!#REF!/'4. NPV'!CBM$8,0)</f>
        <v>0</v>
      </c>
      <c r="CBM54" s="5">
        <f>-IFERROR('4. NPV'!#REF!/'4. NPV'!CBN$8,0)</f>
        <v>0</v>
      </c>
      <c r="CBN54" s="5">
        <f>-IFERROR('4. NPV'!#REF!/'4. NPV'!CBO$8,0)</f>
        <v>0</v>
      </c>
      <c r="CBO54" s="5">
        <f>-IFERROR('4. NPV'!#REF!/'4. NPV'!CBP$8,0)</f>
        <v>0</v>
      </c>
      <c r="CBP54" s="5">
        <f>-IFERROR('4. NPV'!#REF!/'4. NPV'!CBQ$8,0)</f>
        <v>0</v>
      </c>
      <c r="CBQ54" s="5">
        <f>-IFERROR('4. NPV'!#REF!/'4. NPV'!CBR$8,0)</f>
        <v>0</v>
      </c>
      <c r="CBR54" s="5">
        <f>-IFERROR('4. NPV'!#REF!/'4. NPV'!CBS$8,0)</f>
        <v>0</v>
      </c>
      <c r="CBS54" s="5">
        <f>-IFERROR('4. NPV'!#REF!/'4. NPV'!CBT$8,0)</f>
        <v>0</v>
      </c>
      <c r="CBT54" s="5">
        <f>-IFERROR('4. NPV'!#REF!/'4. NPV'!CBU$8,0)</f>
        <v>0</v>
      </c>
      <c r="CBU54" s="5">
        <f>-IFERROR('4. NPV'!#REF!/'4. NPV'!CBV$8,0)</f>
        <v>0</v>
      </c>
      <c r="CBV54" s="5">
        <f>-IFERROR('4. NPV'!#REF!/'4. NPV'!CBW$8,0)</f>
        <v>0</v>
      </c>
      <c r="CBW54" s="5">
        <f>-IFERROR('4. NPV'!#REF!/'4. NPV'!CBX$8,0)</f>
        <v>0</v>
      </c>
      <c r="CBX54" s="5">
        <f>-IFERROR('4. NPV'!#REF!/'4. NPV'!CBY$8,0)</f>
        <v>0</v>
      </c>
      <c r="CBY54" s="5">
        <f>-IFERROR('4. NPV'!#REF!/'4. NPV'!CBZ$8,0)</f>
        <v>0</v>
      </c>
      <c r="CBZ54" s="5">
        <f>-IFERROR('4. NPV'!#REF!/'4. NPV'!CCA$8,0)</f>
        <v>0</v>
      </c>
      <c r="CCA54" s="5">
        <f>-IFERROR('4. NPV'!#REF!/'4. NPV'!CCB$8,0)</f>
        <v>0</v>
      </c>
      <c r="CCB54" s="5">
        <f>-IFERROR('4. NPV'!#REF!/'4. NPV'!CCC$8,0)</f>
        <v>0</v>
      </c>
      <c r="CCC54" s="5">
        <f>-IFERROR('4. NPV'!#REF!/'4. NPV'!CCD$8,0)</f>
        <v>0</v>
      </c>
      <c r="CCD54" s="5">
        <f>-IFERROR('4. NPV'!#REF!/'4. NPV'!CCE$8,0)</f>
        <v>0</v>
      </c>
      <c r="CCE54" s="5">
        <f>-IFERROR('4. NPV'!#REF!/'4. NPV'!CCF$8,0)</f>
        <v>0</v>
      </c>
      <c r="CCF54" s="5">
        <f>-IFERROR('4. NPV'!#REF!/'4. NPV'!CCG$8,0)</f>
        <v>0</v>
      </c>
      <c r="CCG54" s="5">
        <f>-IFERROR('4. NPV'!#REF!/'4. NPV'!CCH$8,0)</f>
        <v>0</v>
      </c>
      <c r="CCH54" s="5">
        <f>-IFERROR('4. NPV'!#REF!/'4. NPV'!CCI$8,0)</f>
        <v>0</v>
      </c>
      <c r="CCI54" s="5">
        <f>-IFERROR('4. NPV'!#REF!/'4. NPV'!CCJ$8,0)</f>
        <v>0</v>
      </c>
      <c r="CCJ54" s="5">
        <f>-IFERROR('4. NPV'!#REF!/'4. NPV'!CCK$8,0)</f>
        <v>0</v>
      </c>
      <c r="CCK54" s="5">
        <f>-IFERROR('4. NPV'!#REF!/'4. NPV'!CCL$8,0)</f>
        <v>0</v>
      </c>
      <c r="CCL54" s="5">
        <f>-IFERROR('4. NPV'!#REF!/'4. NPV'!CCM$8,0)</f>
        <v>0</v>
      </c>
      <c r="CCM54" s="5">
        <f>-IFERROR('4. NPV'!#REF!/'4. NPV'!CCN$8,0)</f>
        <v>0</v>
      </c>
      <c r="CCN54" s="5">
        <f>-IFERROR('4. NPV'!#REF!/'4. NPV'!CCO$8,0)</f>
        <v>0</v>
      </c>
      <c r="CCO54" s="5">
        <f>-IFERROR('4. NPV'!#REF!/'4. NPV'!CCP$8,0)</f>
        <v>0</v>
      </c>
      <c r="CCP54" s="5">
        <f>-IFERROR('4. NPV'!#REF!/'4. NPV'!CCQ$8,0)</f>
        <v>0</v>
      </c>
      <c r="CCQ54" s="5">
        <f>-IFERROR('4. NPV'!#REF!/'4. NPV'!CCR$8,0)</f>
        <v>0</v>
      </c>
      <c r="CCR54" s="5">
        <f>-IFERROR('4. NPV'!#REF!/'4. NPV'!CCS$8,0)</f>
        <v>0</v>
      </c>
      <c r="CCS54" s="5">
        <f>-IFERROR('4. NPV'!#REF!/'4. NPV'!CCT$8,0)</f>
        <v>0</v>
      </c>
      <c r="CCT54" s="5">
        <f>-IFERROR('4. NPV'!#REF!/'4. NPV'!CCU$8,0)</f>
        <v>0</v>
      </c>
      <c r="CCU54" s="5">
        <f>-IFERROR('4. NPV'!#REF!/'4. NPV'!CCV$8,0)</f>
        <v>0</v>
      </c>
      <c r="CCV54" s="5">
        <f>-IFERROR('4. NPV'!#REF!/'4. NPV'!CCW$8,0)</f>
        <v>0</v>
      </c>
      <c r="CCW54" s="5">
        <f>-IFERROR('4. NPV'!#REF!/'4. NPV'!CCX$8,0)</f>
        <v>0</v>
      </c>
      <c r="CCX54" s="5">
        <f>-IFERROR('4. NPV'!#REF!/'4. NPV'!CCY$8,0)</f>
        <v>0</v>
      </c>
      <c r="CCY54" s="5">
        <f>-IFERROR('4. NPV'!#REF!/'4. NPV'!CCZ$8,0)</f>
        <v>0</v>
      </c>
      <c r="CCZ54" s="5">
        <f>-IFERROR('4. NPV'!#REF!/'4. NPV'!CDA$8,0)</f>
        <v>0</v>
      </c>
      <c r="CDA54" s="5">
        <f>-IFERROR('4. NPV'!#REF!/'4. NPV'!CDB$8,0)</f>
        <v>0</v>
      </c>
      <c r="CDB54" s="5">
        <f>-IFERROR('4. NPV'!#REF!/'4. NPV'!CDC$8,0)</f>
        <v>0</v>
      </c>
      <c r="CDC54" s="5">
        <f>-IFERROR('4. NPV'!#REF!/'4. NPV'!CDD$8,0)</f>
        <v>0</v>
      </c>
      <c r="CDD54" s="5">
        <f>-IFERROR('4. NPV'!#REF!/'4. NPV'!CDE$8,0)</f>
        <v>0</v>
      </c>
      <c r="CDE54" s="5">
        <f>-IFERROR('4. NPV'!#REF!/'4. NPV'!CDF$8,0)</f>
        <v>0</v>
      </c>
      <c r="CDF54" s="5">
        <f>-IFERROR('4. NPV'!#REF!/'4. NPV'!CDG$8,0)</f>
        <v>0</v>
      </c>
      <c r="CDG54" s="5">
        <f>-IFERROR('4. NPV'!#REF!/'4. NPV'!CDH$8,0)</f>
        <v>0</v>
      </c>
      <c r="CDH54" s="5">
        <f>-IFERROR('4. NPV'!#REF!/'4. NPV'!CDI$8,0)</f>
        <v>0</v>
      </c>
      <c r="CDI54" s="5">
        <f>-IFERROR('4. NPV'!#REF!/'4. NPV'!CDJ$8,0)</f>
        <v>0</v>
      </c>
      <c r="CDJ54" s="5">
        <f>-IFERROR('4. NPV'!#REF!/'4. NPV'!CDK$8,0)</f>
        <v>0</v>
      </c>
      <c r="CDK54" s="5">
        <f>-IFERROR('4. NPV'!#REF!/'4. NPV'!CDL$8,0)</f>
        <v>0</v>
      </c>
      <c r="CDL54" s="5">
        <f>-IFERROR('4. NPV'!#REF!/'4. NPV'!CDM$8,0)</f>
        <v>0</v>
      </c>
      <c r="CDM54" s="5">
        <f>-IFERROR('4. NPV'!#REF!/'4. NPV'!CDN$8,0)</f>
        <v>0</v>
      </c>
      <c r="CDN54" s="5">
        <f>-IFERROR('4. NPV'!#REF!/'4. NPV'!CDO$8,0)</f>
        <v>0</v>
      </c>
      <c r="CDO54" s="5">
        <f>-IFERROR('4. NPV'!#REF!/'4. NPV'!CDP$8,0)</f>
        <v>0</v>
      </c>
      <c r="CDP54" s="5">
        <f>-IFERROR('4. NPV'!#REF!/'4. NPV'!CDQ$8,0)</f>
        <v>0</v>
      </c>
      <c r="CDQ54" s="5">
        <f>-IFERROR('4. NPV'!#REF!/'4. NPV'!CDR$8,0)</f>
        <v>0</v>
      </c>
      <c r="CDR54" s="5">
        <f>-IFERROR('4. NPV'!#REF!/'4. NPV'!CDS$8,0)</f>
        <v>0</v>
      </c>
      <c r="CDS54" s="5">
        <f>-IFERROR('4. NPV'!#REF!/'4. NPV'!CDT$8,0)</f>
        <v>0</v>
      </c>
      <c r="CDT54" s="5">
        <f>-IFERROR('4. NPV'!#REF!/'4. NPV'!CDU$8,0)</f>
        <v>0</v>
      </c>
      <c r="CDU54" s="5">
        <f>-IFERROR('4. NPV'!#REF!/'4. NPV'!CDV$8,0)</f>
        <v>0</v>
      </c>
      <c r="CDV54" s="5">
        <f>-IFERROR('4. NPV'!#REF!/'4. NPV'!CDW$8,0)</f>
        <v>0</v>
      </c>
      <c r="CDW54" s="5">
        <f>-IFERROR('4. NPV'!#REF!/'4. NPV'!CDX$8,0)</f>
        <v>0</v>
      </c>
      <c r="CDX54" s="5">
        <f>-IFERROR('4. NPV'!#REF!/'4. NPV'!CDY$8,0)</f>
        <v>0</v>
      </c>
      <c r="CDY54" s="5">
        <f>-IFERROR('4. NPV'!#REF!/'4. NPV'!CDZ$8,0)</f>
        <v>0</v>
      </c>
      <c r="CDZ54" s="5">
        <f>-IFERROR('4. NPV'!#REF!/'4. NPV'!CEA$8,0)</f>
        <v>0</v>
      </c>
      <c r="CEA54" s="5">
        <f>-IFERROR('4. NPV'!#REF!/'4. NPV'!CEB$8,0)</f>
        <v>0</v>
      </c>
      <c r="CEB54" s="5">
        <f>-IFERROR('4. NPV'!#REF!/'4. NPV'!CEC$8,0)</f>
        <v>0</v>
      </c>
      <c r="CEC54" s="5">
        <f>-IFERROR('4. NPV'!#REF!/'4. NPV'!CED$8,0)</f>
        <v>0</v>
      </c>
      <c r="CED54" s="5">
        <f>-IFERROR('4. NPV'!#REF!/'4. NPV'!CEE$8,0)</f>
        <v>0</v>
      </c>
      <c r="CEE54" s="5">
        <f>-IFERROR('4. NPV'!#REF!/'4. NPV'!CEF$8,0)</f>
        <v>0</v>
      </c>
      <c r="CEF54" s="5">
        <f>-IFERROR('4. NPV'!#REF!/'4. NPV'!CEG$8,0)</f>
        <v>0</v>
      </c>
      <c r="CEG54" s="5">
        <f>-IFERROR('4. NPV'!#REF!/'4. NPV'!CEH$8,0)</f>
        <v>0</v>
      </c>
      <c r="CEH54" s="5">
        <f>-IFERROR('4. NPV'!#REF!/'4. NPV'!CEI$8,0)</f>
        <v>0</v>
      </c>
      <c r="CEI54" s="5">
        <f>-IFERROR('4. NPV'!#REF!/'4. NPV'!CEJ$8,0)</f>
        <v>0</v>
      </c>
      <c r="CEJ54" s="5">
        <f>-IFERROR('4. NPV'!#REF!/'4. NPV'!CEK$8,0)</f>
        <v>0</v>
      </c>
      <c r="CEK54" s="5">
        <f>-IFERROR('4. NPV'!#REF!/'4. NPV'!CEL$8,0)</f>
        <v>0</v>
      </c>
      <c r="CEL54" s="5">
        <f>-IFERROR('4. NPV'!#REF!/'4. NPV'!CEM$8,0)</f>
        <v>0</v>
      </c>
      <c r="CEM54" s="5">
        <f>-IFERROR('4. NPV'!#REF!/'4. NPV'!CEN$8,0)</f>
        <v>0</v>
      </c>
      <c r="CEN54" s="5">
        <f>-IFERROR('4. NPV'!#REF!/'4. NPV'!CEO$8,0)</f>
        <v>0</v>
      </c>
      <c r="CEO54" s="5">
        <f>-IFERROR('4. NPV'!#REF!/'4. NPV'!CEP$8,0)</f>
        <v>0</v>
      </c>
      <c r="CEP54" s="5">
        <f>-IFERROR('4. NPV'!#REF!/'4. NPV'!CEQ$8,0)</f>
        <v>0</v>
      </c>
      <c r="CEQ54" s="5">
        <f>-IFERROR('4. NPV'!#REF!/'4. NPV'!CER$8,0)</f>
        <v>0</v>
      </c>
      <c r="CER54" s="5">
        <f>-IFERROR('4. NPV'!#REF!/'4. NPV'!CES$8,0)</f>
        <v>0</v>
      </c>
      <c r="CES54" s="5">
        <f>-IFERROR('4. NPV'!#REF!/'4. NPV'!CET$8,0)</f>
        <v>0</v>
      </c>
      <c r="CET54" s="5">
        <f>-IFERROR('4. NPV'!#REF!/'4. NPV'!CEU$8,0)</f>
        <v>0</v>
      </c>
      <c r="CEU54" s="5">
        <f>-IFERROR('4. NPV'!#REF!/'4. NPV'!CEV$8,0)</f>
        <v>0</v>
      </c>
      <c r="CEV54" s="5">
        <f>-IFERROR('4. NPV'!#REF!/'4. NPV'!CEW$8,0)</f>
        <v>0</v>
      </c>
      <c r="CEW54" s="5">
        <f>-IFERROR('4. NPV'!#REF!/'4. NPV'!CEX$8,0)</f>
        <v>0</v>
      </c>
      <c r="CEX54" s="5">
        <f>-IFERROR('4. NPV'!#REF!/'4. NPV'!CEY$8,0)</f>
        <v>0</v>
      </c>
      <c r="CEY54" s="5">
        <f>-IFERROR('4. NPV'!#REF!/'4. NPV'!CEZ$8,0)</f>
        <v>0</v>
      </c>
      <c r="CEZ54" s="5">
        <f>-IFERROR('4. NPV'!#REF!/'4. NPV'!CFA$8,0)</f>
        <v>0</v>
      </c>
      <c r="CFA54" s="5">
        <f>-IFERROR('4. NPV'!#REF!/'4. NPV'!CFB$8,0)</f>
        <v>0</v>
      </c>
      <c r="CFB54" s="5">
        <f>-IFERROR('4. NPV'!#REF!/'4. NPV'!CFC$8,0)</f>
        <v>0</v>
      </c>
      <c r="CFC54" s="5">
        <f>-IFERROR('4. NPV'!#REF!/'4. NPV'!CFD$8,0)</f>
        <v>0</v>
      </c>
      <c r="CFD54" s="5">
        <f>-IFERROR('4. NPV'!#REF!/'4. NPV'!CFE$8,0)</f>
        <v>0</v>
      </c>
      <c r="CFE54" s="5">
        <f>-IFERROR('4. NPV'!#REF!/'4. NPV'!CFF$8,0)</f>
        <v>0</v>
      </c>
      <c r="CFF54" s="5">
        <f>-IFERROR('4. NPV'!#REF!/'4. NPV'!CFG$8,0)</f>
        <v>0</v>
      </c>
      <c r="CFG54" s="5">
        <f>-IFERROR('4. NPV'!#REF!/'4. NPV'!CFH$8,0)</f>
        <v>0</v>
      </c>
      <c r="CFH54" s="5">
        <f>-IFERROR('4. NPV'!#REF!/'4. NPV'!CFI$8,0)</f>
        <v>0</v>
      </c>
      <c r="CFI54" s="5">
        <f>-IFERROR('4. NPV'!#REF!/'4. NPV'!CFJ$8,0)</f>
        <v>0</v>
      </c>
      <c r="CFJ54" s="5">
        <f>-IFERROR('4. NPV'!#REF!/'4. NPV'!CFK$8,0)</f>
        <v>0</v>
      </c>
      <c r="CFK54" s="5">
        <f>-IFERROR('4. NPV'!#REF!/'4. NPV'!CFL$8,0)</f>
        <v>0</v>
      </c>
      <c r="CFL54" s="5">
        <f>-IFERROR('4. NPV'!#REF!/'4. NPV'!CFM$8,0)</f>
        <v>0</v>
      </c>
      <c r="CFM54" s="5">
        <f>-IFERROR('4. NPV'!#REF!/'4. NPV'!CFN$8,0)</f>
        <v>0</v>
      </c>
      <c r="CFN54" s="5">
        <f>-IFERROR('4. NPV'!#REF!/'4. NPV'!CFO$8,0)</f>
        <v>0</v>
      </c>
      <c r="CFO54" s="5">
        <f>-IFERROR('4. NPV'!#REF!/'4. NPV'!CFP$8,0)</f>
        <v>0</v>
      </c>
      <c r="CFP54" s="5">
        <f>-IFERROR('4. NPV'!#REF!/'4. NPV'!CFQ$8,0)</f>
        <v>0</v>
      </c>
      <c r="CFQ54" s="5">
        <f>-IFERROR('4. NPV'!#REF!/'4. NPV'!CFR$8,0)</f>
        <v>0</v>
      </c>
      <c r="CFR54" s="5">
        <f>-IFERROR('4. NPV'!#REF!/'4. NPV'!CFS$8,0)</f>
        <v>0</v>
      </c>
      <c r="CFS54" s="5">
        <f>-IFERROR('4. NPV'!#REF!/'4. NPV'!CFT$8,0)</f>
        <v>0</v>
      </c>
      <c r="CFT54" s="5">
        <f>-IFERROR('4. NPV'!#REF!/'4. NPV'!CFU$8,0)</f>
        <v>0</v>
      </c>
      <c r="CFU54" s="5">
        <f>-IFERROR('4. NPV'!#REF!/'4. NPV'!CFV$8,0)</f>
        <v>0</v>
      </c>
      <c r="CFV54" s="5">
        <f>-IFERROR('4. NPV'!#REF!/'4. NPV'!CFW$8,0)</f>
        <v>0</v>
      </c>
      <c r="CFW54" s="5">
        <f>-IFERROR('4. NPV'!#REF!/'4. NPV'!CFX$8,0)</f>
        <v>0</v>
      </c>
      <c r="CFX54" s="5">
        <f>-IFERROR('4. NPV'!#REF!/'4. NPV'!CFY$8,0)</f>
        <v>0</v>
      </c>
      <c r="CFY54" s="5">
        <f>-IFERROR('4. NPV'!#REF!/'4. NPV'!CFZ$8,0)</f>
        <v>0</v>
      </c>
      <c r="CFZ54" s="5">
        <f>-IFERROR('4. NPV'!#REF!/'4. NPV'!CGA$8,0)</f>
        <v>0</v>
      </c>
      <c r="CGA54" s="5">
        <f>-IFERROR('4. NPV'!#REF!/'4. NPV'!CGB$8,0)</f>
        <v>0</v>
      </c>
      <c r="CGB54" s="5">
        <f>-IFERROR('4. NPV'!#REF!/'4. NPV'!CGC$8,0)</f>
        <v>0</v>
      </c>
      <c r="CGC54" s="5">
        <f>-IFERROR('4. NPV'!#REF!/'4. NPV'!CGD$8,0)</f>
        <v>0</v>
      </c>
      <c r="CGD54" s="5">
        <f>-IFERROR('4. NPV'!#REF!/'4. NPV'!CGE$8,0)</f>
        <v>0</v>
      </c>
      <c r="CGE54" s="5">
        <f>-IFERROR('4. NPV'!#REF!/'4. NPV'!CGF$8,0)</f>
        <v>0</v>
      </c>
      <c r="CGF54" s="5">
        <f>-IFERROR('4. NPV'!#REF!/'4. NPV'!CGG$8,0)</f>
        <v>0</v>
      </c>
      <c r="CGG54" s="5">
        <f>-IFERROR('4. NPV'!#REF!/'4. NPV'!CGH$8,0)</f>
        <v>0</v>
      </c>
      <c r="CGH54" s="5">
        <f>-IFERROR('4. NPV'!#REF!/'4. NPV'!CGI$8,0)</f>
        <v>0</v>
      </c>
      <c r="CGI54" s="5">
        <f>-IFERROR('4. NPV'!#REF!/'4. NPV'!CGJ$8,0)</f>
        <v>0</v>
      </c>
      <c r="CGJ54" s="5">
        <f>-IFERROR('4. NPV'!#REF!/'4. NPV'!CGK$8,0)</f>
        <v>0</v>
      </c>
      <c r="CGK54" s="5">
        <f>-IFERROR('4. NPV'!#REF!/'4. NPV'!CGL$8,0)</f>
        <v>0</v>
      </c>
      <c r="CGL54" s="5">
        <f>-IFERROR('4. NPV'!#REF!/'4. NPV'!CGM$8,0)</f>
        <v>0</v>
      </c>
      <c r="CGM54" s="5">
        <f>-IFERROR('4. NPV'!#REF!/'4. NPV'!CGN$8,0)</f>
        <v>0</v>
      </c>
      <c r="CGN54" s="5">
        <f>-IFERROR('4. NPV'!#REF!/'4. NPV'!CGO$8,0)</f>
        <v>0</v>
      </c>
      <c r="CGO54" s="5">
        <f>-IFERROR('4. NPV'!#REF!/'4. NPV'!CGP$8,0)</f>
        <v>0</v>
      </c>
      <c r="CGP54" s="5">
        <f>-IFERROR('4. NPV'!#REF!/'4. NPV'!CGQ$8,0)</f>
        <v>0</v>
      </c>
      <c r="CGQ54" s="5">
        <f>-IFERROR('4. NPV'!#REF!/'4. NPV'!CGR$8,0)</f>
        <v>0</v>
      </c>
      <c r="CGR54" s="5">
        <f>-IFERROR('4. NPV'!#REF!/'4. NPV'!CGS$8,0)</f>
        <v>0</v>
      </c>
      <c r="CGS54" s="5">
        <f>-IFERROR('4. NPV'!#REF!/'4. NPV'!CGT$8,0)</f>
        <v>0</v>
      </c>
      <c r="CGT54" s="5">
        <f>-IFERROR('4. NPV'!#REF!/'4. NPV'!CGU$8,0)</f>
        <v>0</v>
      </c>
      <c r="CGU54" s="5">
        <f>-IFERROR('4. NPV'!#REF!/'4. NPV'!CGV$8,0)</f>
        <v>0</v>
      </c>
      <c r="CGV54" s="5">
        <f>-IFERROR('4. NPV'!#REF!/'4. NPV'!CGW$8,0)</f>
        <v>0</v>
      </c>
      <c r="CGW54" s="5">
        <f>-IFERROR('4. NPV'!#REF!/'4. NPV'!CGX$8,0)</f>
        <v>0</v>
      </c>
      <c r="CGX54" s="5">
        <f>-IFERROR('4. NPV'!#REF!/'4. NPV'!CGY$8,0)</f>
        <v>0</v>
      </c>
      <c r="CGY54" s="5">
        <f>-IFERROR('4. NPV'!#REF!/'4. NPV'!CGZ$8,0)</f>
        <v>0</v>
      </c>
      <c r="CGZ54" s="5">
        <f>-IFERROR('4. NPV'!#REF!/'4. NPV'!CHA$8,0)</f>
        <v>0</v>
      </c>
      <c r="CHA54" s="5">
        <f>-IFERROR('4. NPV'!#REF!/'4. NPV'!CHB$8,0)</f>
        <v>0</v>
      </c>
      <c r="CHB54" s="5">
        <f>-IFERROR('4. NPV'!#REF!/'4. NPV'!CHC$8,0)</f>
        <v>0</v>
      </c>
      <c r="CHC54" s="5">
        <f>-IFERROR('4. NPV'!#REF!/'4. NPV'!CHD$8,0)</f>
        <v>0</v>
      </c>
      <c r="CHD54" s="5">
        <f>-IFERROR('4. NPV'!#REF!/'4. NPV'!CHE$8,0)</f>
        <v>0</v>
      </c>
      <c r="CHE54" s="5">
        <f>-IFERROR('4. NPV'!#REF!/'4. NPV'!CHF$8,0)</f>
        <v>0</v>
      </c>
      <c r="CHF54" s="5">
        <f>-IFERROR('4. NPV'!#REF!/'4. NPV'!CHG$8,0)</f>
        <v>0</v>
      </c>
      <c r="CHG54" s="5">
        <f>-IFERROR('4. NPV'!#REF!/'4. NPV'!CHH$8,0)</f>
        <v>0</v>
      </c>
      <c r="CHH54" s="5">
        <f>-IFERROR('4. NPV'!#REF!/'4. NPV'!CHI$8,0)</f>
        <v>0</v>
      </c>
      <c r="CHI54" s="5">
        <f>-IFERROR('4. NPV'!#REF!/'4. NPV'!CHJ$8,0)</f>
        <v>0</v>
      </c>
      <c r="CHJ54" s="5">
        <f>-IFERROR('4. NPV'!#REF!/'4. NPV'!CHK$8,0)</f>
        <v>0</v>
      </c>
      <c r="CHK54" s="5">
        <f>-IFERROR('4. NPV'!#REF!/'4. NPV'!CHL$8,0)</f>
        <v>0</v>
      </c>
      <c r="CHL54" s="5">
        <f>-IFERROR('4. NPV'!#REF!/'4. NPV'!CHM$8,0)</f>
        <v>0</v>
      </c>
      <c r="CHM54" s="5">
        <f>-IFERROR('4. NPV'!#REF!/'4. NPV'!CHN$8,0)</f>
        <v>0</v>
      </c>
      <c r="CHN54" s="5">
        <f>-IFERROR('4. NPV'!#REF!/'4. NPV'!CHO$8,0)</f>
        <v>0</v>
      </c>
      <c r="CHO54" s="5">
        <f>-IFERROR('4. NPV'!#REF!/'4. NPV'!CHP$8,0)</f>
        <v>0</v>
      </c>
      <c r="CHP54" s="5">
        <f>-IFERROR('4. NPV'!#REF!/'4. NPV'!CHQ$8,0)</f>
        <v>0</v>
      </c>
      <c r="CHQ54" s="5">
        <f>-IFERROR('4. NPV'!#REF!/'4. NPV'!CHR$8,0)</f>
        <v>0</v>
      </c>
      <c r="CHR54" s="5">
        <f>-IFERROR('4. NPV'!#REF!/'4. NPV'!CHS$8,0)</f>
        <v>0</v>
      </c>
      <c r="CHS54" s="5">
        <f>-IFERROR('4. NPV'!#REF!/'4. NPV'!CHT$8,0)</f>
        <v>0</v>
      </c>
      <c r="CHT54" s="5">
        <f>-IFERROR('4. NPV'!#REF!/'4. NPV'!CHU$8,0)</f>
        <v>0</v>
      </c>
      <c r="CHU54" s="5">
        <f>-IFERROR('4. NPV'!#REF!/'4. NPV'!CHV$8,0)</f>
        <v>0</v>
      </c>
      <c r="CHV54" s="5">
        <f>-IFERROR('4. NPV'!#REF!/'4. NPV'!CHW$8,0)</f>
        <v>0</v>
      </c>
      <c r="CHW54" s="5">
        <f>-IFERROR('4. NPV'!#REF!/'4. NPV'!CHX$8,0)</f>
        <v>0</v>
      </c>
      <c r="CHX54" s="5">
        <f>-IFERROR('4. NPV'!#REF!/'4. NPV'!CHY$8,0)</f>
        <v>0</v>
      </c>
      <c r="CHY54" s="5">
        <f>-IFERROR('4. NPV'!#REF!/'4. NPV'!CHZ$8,0)</f>
        <v>0</v>
      </c>
      <c r="CHZ54" s="5">
        <f>-IFERROR('4. NPV'!#REF!/'4. NPV'!CIA$8,0)</f>
        <v>0</v>
      </c>
      <c r="CIA54" s="5">
        <f>-IFERROR('4. NPV'!#REF!/'4. NPV'!CIB$8,0)</f>
        <v>0</v>
      </c>
      <c r="CIB54" s="5">
        <f>-IFERROR('4. NPV'!#REF!/'4. NPV'!CIC$8,0)</f>
        <v>0</v>
      </c>
      <c r="CIC54" s="5">
        <f>-IFERROR('4. NPV'!#REF!/'4. NPV'!CID$8,0)</f>
        <v>0</v>
      </c>
      <c r="CID54" s="5">
        <f>-IFERROR('4. NPV'!#REF!/'4. NPV'!CIE$8,0)</f>
        <v>0</v>
      </c>
      <c r="CIE54" s="5">
        <f>-IFERROR('4. NPV'!#REF!/'4. NPV'!CIF$8,0)</f>
        <v>0</v>
      </c>
      <c r="CIF54" s="5">
        <f>-IFERROR('4. NPV'!#REF!/'4. NPV'!CIG$8,0)</f>
        <v>0</v>
      </c>
      <c r="CIG54" s="5">
        <f>-IFERROR('4. NPV'!#REF!/'4. NPV'!CIH$8,0)</f>
        <v>0</v>
      </c>
      <c r="CIH54" s="5">
        <f>-IFERROR('4. NPV'!#REF!/'4. NPV'!CII$8,0)</f>
        <v>0</v>
      </c>
      <c r="CII54" s="5">
        <f>-IFERROR('4. NPV'!#REF!/'4. NPV'!CIJ$8,0)</f>
        <v>0</v>
      </c>
      <c r="CIJ54" s="5">
        <f>-IFERROR('4. NPV'!#REF!/'4. NPV'!CIK$8,0)</f>
        <v>0</v>
      </c>
      <c r="CIK54" s="5">
        <f>-IFERROR('4. NPV'!#REF!/'4. NPV'!CIL$8,0)</f>
        <v>0</v>
      </c>
      <c r="CIL54" s="5">
        <f>-IFERROR('4. NPV'!#REF!/'4. NPV'!CIM$8,0)</f>
        <v>0</v>
      </c>
      <c r="CIM54" s="5">
        <f>-IFERROR('4. NPV'!#REF!/'4. NPV'!CIN$8,0)</f>
        <v>0</v>
      </c>
      <c r="CIN54" s="5">
        <f>-IFERROR('4. NPV'!#REF!/'4. NPV'!CIO$8,0)</f>
        <v>0</v>
      </c>
      <c r="CIO54" s="5">
        <f>-IFERROR('4. NPV'!#REF!/'4. NPV'!CIP$8,0)</f>
        <v>0</v>
      </c>
      <c r="CIP54" s="5">
        <f>-IFERROR('4. NPV'!#REF!/'4. NPV'!CIQ$8,0)</f>
        <v>0</v>
      </c>
      <c r="CIQ54" s="5">
        <f>-IFERROR('4. NPV'!#REF!/'4. NPV'!CIR$8,0)</f>
        <v>0</v>
      </c>
      <c r="CIR54" s="5">
        <f>-IFERROR('4. NPV'!#REF!/'4. NPV'!CIS$8,0)</f>
        <v>0</v>
      </c>
      <c r="CIS54" s="5">
        <f>-IFERROR('4. NPV'!#REF!/'4. NPV'!CIT$8,0)</f>
        <v>0</v>
      </c>
      <c r="CIT54" s="5">
        <f>-IFERROR('4. NPV'!#REF!/'4. NPV'!CIU$8,0)</f>
        <v>0</v>
      </c>
      <c r="CIU54" s="5">
        <f>-IFERROR('4. NPV'!#REF!/'4. NPV'!CIV$8,0)</f>
        <v>0</v>
      </c>
      <c r="CIV54" s="5">
        <f>-IFERROR('4. NPV'!#REF!/'4. NPV'!CIW$8,0)</f>
        <v>0</v>
      </c>
      <c r="CIW54" s="5">
        <f>-IFERROR('4. NPV'!#REF!/'4. NPV'!CIX$8,0)</f>
        <v>0</v>
      </c>
      <c r="CIX54" s="5">
        <f>-IFERROR('4. NPV'!#REF!/'4. NPV'!CIY$8,0)</f>
        <v>0</v>
      </c>
      <c r="CIY54" s="5">
        <f>-IFERROR('4. NPV'!#REF!/'4. NPV'!CIZ$8,0)</f>
        <v>0</v>
      </c>
      <c r="CIZ54" s="5">
        <f>-IFERROR('4. NPV'!#REF!/'4. NPV'!CJA$8,0)</f>
        <v>0</v>
      </c>
      <c r="CJA54" s="5">
        <f>-IFERROR('4. NPV'!#REF!/'4. NPV'!CJB$8,0)</f>
        <v>0</v>
      </c>
      <c r="CJB54" s="5">
        <f>-IFERROR('4. NPV'!#REF!/'4. NPV'!CJC$8,0)</f>
        <v>0</v>
      </c>
      <c r="CJC54" s="5">
        <f>-IFERROR('4. NPV'!#REF!/'4. NPV'!CJD$8,0)</f>
        <v>0</v>
      </c>
      <c r="CJD54" s="5">
        <f>-IFERROR('4. NPV'!#REF!/'4. NPV'!CJE$8,0)</f>
        <v>0</v>
      </c>
      <c r="CJE54" s="5">
        <f>-IFERROR('4. NPV'!#REF!/'4. NPV'!CJF$8,0)</f>
        <v>0</v>
      </c>
      <c r="CJF54" s="5">
        <f>-IFERROR('4. NPV'!#REF!/'4. NPV'!CJG$8,0)</f>
        <v>0</v>
      </c>
      <c r="CJG54" s="5">
        <f>-IFERROR('4. NPV'!#REF!/'4. NPV'!CJH$8,0)</f>
        <v>0</v>
      </c>
      <c r="CJH54" s="5">
        <f>-IFERROR('4. NPV'!#REF!/'4. NPV'!CJI$8,0)</f>
        <v>0</v>
      </c>
      <c r="CJI54" s="5">
        <f>-IFERROR('4. NPV'!#REF!/'4. NPV'!CJJ$8,0)</f>
        <v>0</v>
      </c>
      <c r="CJJ54" s="5">
        <f>-IFERROR('4. NPV'!#REF!/'4. NPV'!CJK$8,0)</f>
        <v>0</v>
      </c>
      <c r="CJK54" s="5">
        <f>-IFERROR('4. NPV'!#REF!/'4. NPV'!CJL$8,0)</f>
        <v>0</v>
      </c>
      <c r="CJL54" s="5">
        <f>-IFERROR('4. NPV'!#REF!/'4. NPV'!CJM$8,0)</f>
        <v>0</v>
      </c>
      <c r="CJM54" s="5">
        <f>-IFERROR('4. NPV'!#REF!/'4. NPV'!CJN$8,0)</f>
        <v>0</v>
      </c>
      <c r="CJN54" s="5">
        <f>-IFERROR('4. NPV'!#REF!/'4. NPV'!CJO$8,0)</f>
        <v>0</v>
      </c>
      <c r="CJO54" s="5">
        <f>-IFERROR('4. NPV'!#REF!/'4. NPV'!CJP$8,0)</f>
        <v>0</v>
      </c>
      <c r="CJP54" s="5">
        <f>-IFERROR('4. NPV'!#REF!/'4. NPV'!CJQ$8,0)</f>
        <v>0</v>
      </c>
      <c r="CJQ54" s="5">
        <f>-IFERROR('4. NPV'!#REF!/'4. NPV'!CJR$8,0)</f>
        <v>0</v>
      </c>
      <c r="CJR54" s="5">
        <f>-IFERROR('4. NPV'!#REF!/'4. NPV'!CJS$8,0)</f>
        <v>0</v>
      </c>
      <c r="CJS54" s="5">
        <f>-IFERROR('4. NPV'!#REF!/'4. NPV'!CJT$8,0)</f>
        <v>0</v>
      </c>
      <c r="CJT54" s="5">
        <f>-IFERROR('4. NPV'!#REF!/'4. NPV'!CJU$8,0)</f>
        <v>0</v>
      </c>
      <c r="CJU54" s="5">
        <f>-IFERROR('4. NPV'!#REF!/'4. NPV'!CJV$8,0)</f>
        <v>0</v>
      </c>
      <c r="CJV54" s="5">
        <f>-IFERROR('4. NPV'!#REF!/'4. NPV'!CJW$8,0)</f>
        <v>0</v>
      </c>
      <c r="CJW54" s="5">
        <f>-IFERROR('4. NPV'!#REF!/'4. NPV'!CJX$8,0)</f>
        <v>0</v>
      </c>
      <c r="CJX54" s="5">
        <f>-IFERROR('4. NPV'!#REF!/'4. NPV'!CJY$8,0)</f>
        <v>0</v>
      </c>
      <c r="CJY54" s="5">
        <f>-IFERROR('4. NPV'!#REF!/'4. NPV'!CJZ$8,0)</f>
        <v>0</v>
      </c>
      <c r="CJZ54" s="5">
        <f>-IFERROR('4. NPV'!#REF!/'4. NPV'!CKA$8,0)</f>
        <v>0</v>
      </c>
      <c r="CKA54" s="5">
        <f>-IFERROR('4. NPV'!#REF!/'4. NPV'!CKB$8,0)</f>
        <v>0</v>
      </c>
      <c r="CKB54" s="5">
        <f>-IFERROR('4. NPV'!#REF!/'4. NPV'!CKC$8,0)</f>
        <v>0</v>
      </c>
      <c r="CKC54" s="5">
        <f>-IFERROR('4. NPV'!#REF!/'4. NPV'!CKD$8,0)</f>
        <v>0</v>
      </c>
      <c r="CKD54" s="5">
        <f>-IFERROR('4. NPV'!#REF!/'4. NPV'!CKE$8,0)</f>
        <v>0</v>
      </c>
      <c r="CKE54" s="5">
        <f>-IFERROR('4. NPV'!#REF!/'4. NPV'!CKF$8,0)</f>
        <v>0</v>
      </c>
      <c r="CKF54" s="5">
        <f>-IFERROR('4. NPV'!#REF!/'4. NPV'!CKG$8,0)</f>
        <v>0</v>
      </c>
      <c r="CKG54" s="5">
        <f>-IFERROR('4. NPV'!#REF!/'4. NPV'!CKH$8,0)</f>
        <v>0</v>
      </c>
      <c r="CKH54" s="5">
        <f>-IFERROR('4. NPV'!#REF!/'4. NPV'!CKI$8,0)</f>
        <v>0</v>
      </c>
      <c r="CKI54" s="5">
        <f>-IFERROR('4. NPV'!#REF!/'4. NPV'!CKJ$8,0)</f>
        <v>0</v>
      </c>
      <c r="CKJ54" s="5">
        <f>-IFERROR('4. NPV'!#REF!/'4. NPV'!CKK$8,0)</f>
        <v>0</v>
      </c>
      <c r="CKK54" s="5">
        <f>-IFERROR('4. NPV'!#REF!/'4. NPV'!CKL$8,0)</f>
        <v>0</v>
      </c>
      <c r="CKL54" s="5">
        <f>-IFERROR('4. NPV'!#REF!/'4. NPV'!CKM$8,0)</f>
        <v>0</v>
      </c>
      <c r="CKM54" s="5">
        <f>-IFERROR('4. NPV'!#REF!/'4. NPV'!CKN$8,0)</f>
        <v>0</v>
      </c>
      <c r="CKN54" s="5">
        <f>-IFERROR('4. NPV'!#REF!/'4. NPV'!CKO$8,0)</f>
        <v>0</v>
      </c>
      <c r="CKO54" s="5">
        <f>-IFERROR('4. NPV'!#REF!/'4. NPV'!CKP$8,0)</f>
        <v>0</v>
      </c>
      <c r="CKP54" s="5">
        <f>-IFERROR('4. NPV'!#REF!/'4. NPV'!CKQ$8,0)</f>
        <v>0</v>
      </c>
      <c r="CKQ54" s="5">
        <f>-IFERROR('4. NPV'!#REF!/'4. NPV'!CKR$8,0)</f>
        <v>0</v>
      </c>
      <c r="CKR54" s="5">
        <f>-IFERROR('4. NPV'!#REF!/'4. NPV'!CKS$8,0)</f>
        <v>0</v>
      </c>
      <c r="CKS54" s="5">
        <f>-IFERROR('4. NPV'!#REF!/'4. NPV'!CKT$8,0)</f>
        <v>0</v>
      </c>
      <c r="CKT54" s="5">
        <f>-IFERROR('4. NPV'!#REF!/'4. NPV'!CKU$8,0)</f>
        <v>0</v>
      </c>
      <c r="CKU54" s="5">
        <f>-IFERROR('4. NPV'!#REF!/'4. NPV'!CKV$8,0)</f>
        <v>0</v>
      </c>
      <c r="CKV54" s="5">
        <f>-IFERROR('4. NPV'!#REF!/'4. NPV'!CKW$8,0)</f>
        <v>0</v>
      </c>
      <c r="CKW54" s="5">
        <f>-IFERROR('4. NPV'!#REF!/'4. NPV'!CKX$8,0)</f>
        <v>0</v>
      </c>
      <c r="CKX54" s="5">
        <f>-IFERROR('4. NPV'!#REF!/'4. NPV'!CKY$8,0)</f>
        <v>0</v>
      </c>
      <c r="CKY54" s="5">
        <f>-IFERROR('4. NPV'!#REF!/'4. NPV'!CKZ$8,0)</f>
        <v>0</v>
      </c>
      <c r="CKZ54" s="5">
        <f>-IFERROR('4. NPV'!#REF!/'4. NPV'!CLA$8,0)</f>
        <v>0</v>
      </c>
      <c r="CLA54" s="5">
        <f>-IFERROR('4. NPV'!#REF!/'4. NPV'!CLB$8,0)</f>
        <v>0</v>
      </c>
      <c r="CLB54" s="5">
        <f>-IFERROR('4. NPV'!#REF!/'4. NPV'!CLC$8,0)</f>
        <v>0</v>
      </c>
      <c r="CLC54" s="5">
        <f>-IFERROR('4. NPV'!#REF!/'4. NPV'!CLD$8,0)</f>
        <v>0</v>
      </c>
      <c r="CLD54" s="5">
        <f>-IFERROR('4. NPV'!#REF!/'4. NPV'!CLE$8,0)</f>
        <v>0</v>
      </c>
      <c r="CLE54" s="5">
        <f>-IFERROR('4. NPV'!#REF!/'4. NPV'!CLF$8,0)</f>
        <v>0</v>
      </c>
      <c r="CLF54" s="5">
        <f>-IFERROR('4. NPV'!#REF!/'4. NPV'!CLG$8,0)</f>
        <v>0</v>
      </c>
      <c r="CLG54" s="5">
        <f>-IFERROR('4. NPV'!#REF!/'4. NPV'!CLH$8,0)</f>
        <v>0</v>
      </c>
      <c r="CLH54" s="5">
        <f>-IFERROR('4. NPV'!#REF!/'4. NPV'!CLI$8,0)</f>
        <v>0</v>
      </c>
      <c r="CLI54" s="5">
        <f>-IFERROR('4. NPV'!#REF!/'4. NPV'!CLJ$8,0)</f>
        <v>0</v>
      </c>
      <c r="CLJ54" s="5">
        <f>-IFERROR('4. NPV'!#REF!/'4. NPV'!CLK$8,0)</f>
        <v>0</v>
      </c>
      <c r="CLK54" s="5">
        <f>-IFERROR('4. NPV'!#REF!/'4. NPV'!CLL$8,0)</f>
        <v>0</v>
      </c>
      <c r="CLL54" s="5">
        <f>-IFERROR('4. NPV'!#REF!/'4. NPV'!CLM$8,0)</f>
        <v>0</v>
      </c>
      <c r="CLM54" s="5">
        <f>-IFERROR('4. NPV'!#REF!/'4. NPV'!CLN$8,0)</f>
        <v>0</v>
      </c>
      <c r="CLN54" s="5">
        <f>-IFERROR('4. NPV'!#REF!/'4. NPV'!CLO$8,0)</f>
        <v>0</v>
      </c>
      <c r="CLO54" s="5">
        <f>-IFERROR('4. NPV'!#REF!/'4. NPV'!CLP$8,0)</f>
        <v>0</v>
      </c>
      <c r="CLP54" s="5">
        <f>-IFERROR('4. NPV'!#REF!/'4. NPV'!CLQ$8,0)</f>
        <v>0</v>
      </c>
      <c r="CLQ54" s="5">
        <f>-IFERROR('4. NPV'!#REF!/'4. NPV'!CLR$8,0)</f>
        <v>0</v>
      </c>
      <c r="CLR54" s="5">
        <f>-IFERROR('4. NPV'!#REF!/'4. NPV'!CLS$8,0)</f>
        <v>0</v>
      </c>
      <c r="CLS54" s="5">
        <f>-IFERROR('4. NPV'!#REF!/'4. NPV'!CLT$8,0)</f>
        <v>0</v>
      </c>
      <c r="CLT54" s="5">
        <f>-IFERROR('4. NPV'!#REF!/'4. NPV'!CLU$8,0)</f>
        <v>0</v>
      </c>
      <c r="CLU54" s="5">
        <f>-IFERROR('4. NPV'!#REF!/'4. NPV'!CLV$8,0)</f>
        <v>0</v>
      </c>
      <c r="CLV54" s="5">
        <f>-IFERROR('4. NPV'!#REF!/'4. NPV'!CLW$8,0)</f>
        <v>0</v>
      </c>
      <c r="CLW54" s="5">
        <f>-IFERROR('4. NPV'!#REF!/'4. NPV'!CLX$8,0)</f>
        <v>0</v>
      </c>
      <c r="CLX54" s="5">
        <f>-IFERROR('4. NPV'!#REF!/'4. NPV'!CLY$8,0)</f>
        <v>0</v>
      </c>
      <c r="CLY54" s="5">
        <f>-IFERROR('4. NPV'!#REF!/'4. NPV'!CLZ$8,0)</f>
        <v>0</v>
      </c>
      <c r="CLZ54" s="5">
        <f>-IFERROR('4. NPV'!#REF!/'4. NPV'!CMA$8,0)</f>
        <v>0</v>
      </c>
      <c r="CMA54" s="5">
        <f>-IFERROR('4. NPV'!#REF!/'4. NPV'!CMB$8,0)</f>
        <v>0</v>
      </c>
      <c r="CMB54" s="5">
        <f>-IFERROR('4. NPV'!#REF!/'4. NPV'!CMC$8,0)</f>
        <v>0</v>
      </c>
      <c r="CMC54" s="5">
        <f>-IFERROR('4. NPV'!#REF!/'4. NPV'!CMD$8,0)</f>
        <v>0</v>
      </c>
      <c r="CMD54" s="5">
        <f>-IFERROR('4. NPV'!#REF!/'4. NPV'!CME$8,0)</f>
        <v>0</v>
      </c>
      <c r="CME54" s="5">
        <f>-IFERROR('4. NPV'!#REF!/'4. NPV'!CMF$8,0)</f>
        <v>0</v>
      </c>
      <c r="CMF54" s="5">
        <f>-IFERROR('4. NPV'!#REF!/'4. NPV'!CMG$8,0)</f>
        <v>0</v>
      </c>
      <c r="CMG54" s="5">
        <f>-IFERROR('4. NPV'!#REF!/'4. NPV'!CMH$8,0)</f>
        <v>0</v>
      </c>
      <c r="CMH54" s="5">
        <f>-IFERROR('4. NPV'!#REF!/'4. NPV'!CMI$8,0)</f>
        <v>0</v>
      </c>
      <c r="CMI54" s="5">
        <f>-IFERROR('4. NPV'!#REF!/'4. NPV'!CMJ$8,0)</f>
        <v>0</v>
      </c>
      <c r="CMJ54" s="5">
        <f>-IFERROR('4. NPV'!#REF!/'4. NPV'!CMK$8,0)</f>
        <v>0</v>
      </c>
      <c r="CMK54" s="5">
        <f>-IFERROR('4. NPV'!#REF!/'4. NPV'!CML$8,0)</f>
        <v>0</v>
      </c>
      <c r="CML54" s="5">
        <f>-IFERROR('4. NPV'!#REF!/'4. NPV'!CMM$8,0)</f>
        <v>0</v>
      </c>
      <c r="CMM54" s="5">
        <f>-IFERROR('4. NPV'!#REF!/'4. NPV'!CMN$8,0)</f>
        <v>0</v>
      </c>
      <c r="CMN54" s="5">
        <f>-IFERROR('4. NPV'!#REF!/'4. NPV'!CMO$8,0)</f>
        <v>0</v>
      </c>
      <c r="CMO54" s="5">
        <f>-IFERROR('4. NPV'!#REF!/'4. NPV'!CMP$8,0)</f>
        <v>0</v>
      </c>
      <c r="CMP54" s="5">
        <f>-IFERROR('4. NPV'!#REF!/'4. NPV'!CMQ$8,0)</f>
        <v>0</v>
      </c>
      <c r="CMQ54" s="5">
        <f>-IFERROR('4. NPV'!#REF!/'4. NPV'!CMR$8,0)</f>
        <v>0</v>
      </c>
      <c r="CMR54" s="5">
        <f>-IFERROR('4. NPV'!#REF!/'4. NPV'!CMS$8,0)</f>
        <v>0</v>
      </c>
      <c r="CMS54" s="5">
        <f>-IFERROR('4. NPV'!#REF!/'4. NPV'!CMT$8,0)</f>
        <v>0</v>
      </c>
      <c r="CMT54" s="5">
        <f>-IFERROR('4. NPV'!#REF!/'4. NPV'!CMU$8,0)</f>
        <v>0</v>
      </c>
      <c r="CMU54" s="5">
        <f>-IFERROR('4. NPV'!#REF!/'4. NPV'!CMV$8,0)</f>
        <v>0</v>
      </c>
      <c r="CMV54" s="5">
        <f>-IFERROR('4. NPV'!#REF!/'4. NPV'!CMW$8,0)</f>
        <v>0</v>
      </c>
      <c r="CMW54" s="5">
        <f>-IFERROR('4. NPV'!#REF!/'4. NPV'!CMX$8,0)</f>
        <v>0</v>
      </c>
      <c r="CMX54" s="5">
        <f>-IFERROR('4. NPV'!#REF!/'4. NPV'!CMY$8,0)</f>
        <v>0</v>
      </c>
      <c r="CMY54" s="5">
        <f>-IFERROR('4. NPV'!#REF!/'4. NPV'!CMZ$8,0)</f>
        <v>0</v>
      </c>
      <c r="CMZ54" s="5">
        <f>-IFERROR('4. NPV'!#REF!/'4. NPV'!CNA$8,0)</f>
        <v>0</v>
      </c>
      <c r="CNA54" s="5">
        <f>-IFERROR('4. NPV'!#REF!/'4. NPV'!CNB$8,0)</f>
        <v>0</v>
      </c>
      <c r="CNB54" s="5">
        <f>-IFERROR('4. NPV'!#REF!/'4. NPV'!CNC$8,0)</f>
        <v>0</v>
      </c>
      <c r="CNC54" s="5">
        <f>-IFERROR('4. NPV'!#REF!/'4. NPV'!CND$8,0)</f>
        <v>0</v>
      </c>
      <c r="CND54" s="5">
        <f>-IFERROR('4. NPV'!#REF!/'4. NPV'!CNE$8,0)</f>
        <v>0</v>
      </c>
      <c r="CNE54" s="5">
        <f>-IFERROR('4. NPV'!#REF!/'4. NPV'!CNF$8,0)</f>
        <v>0</v>
      </c>
      <c r="CNF54" s="5">
        <f>-IFERROR('4. NPV'!#REF!/'4. NPV'!CNG$8,0)</f>
        <v>0</v>
      </c>
      <c r="CNG54" s="5">
        <f>-IFERROR('4. NPV'!#REF!/'4. NPV'!CNH$8,0)</f>
        <v>0</v>
      </c>
      <c r="CNH54" s="5">
        <f>-IFERROR('4. NPV'!#REF!/'4. NPV'!CNI$8,0)</f>
        <v>0</v>
      </c>
      <c r="CNI54" s="5">
        <f>-IFERROR('4. NPV'!#REF!/'4. NPV'!CNJ$8,0)</f>
        <v>0</v>
      </c>
      <c r="CNJ54" s="5">
        <f>-IFERROR('4. NPV'!#REF!/'4. NPV'!CNK$8,0)</f>
        <v>0</v>
      </c>
      <c r="CNK54" s="5">
        <f>-IFERROR('4. NPV'!#REF!/'4. NPV'!CNL$8,0)</f>
        <v>0</v>
      </c>
      <c r="CNL54" s="5">
        <f>-IFERROR('4. NPV'!#REF!/'4. NPV'!CNM$8,0)</f>
        <v>0</v>
      </c>
      <c r="CNM54" s="5">
        <f>-IFERROR('4. NPV'!#REF!/'4. NPV'!CNN$8,0)</f>
        <v>0</v>
      </c>
      <c r="CNN54" s="5">
        <f>-IFERROR('4. NPV'!#REF!/'4. NPV'!CNO$8,0)</f>
        <v>0</v>
      </c>
      <c r="CNO54" s="5">
        <f>-IFERROR('4. NPV'!#REF!/'4. NPV'!CNP$8,0)</f>
        <v>0</v>
      </c>
      <c r="CNP54" s="5">
        <f>-IFERROR('4. NPV'!#REF!/'4. NPV'!CNQ$8,0)</f>
        <v>0</v>
      </c>
      <c r="CNQ54" s="5">
        <f>-IFERROR('4. NPV'!#REF!/'4. NPV'!CNR$8,0)</f>
        <v>0</v>
      </c>
      <c r="CNR54" s="5">
        <f>-IFERROR('4. NPV'!#REF!/'4. NPV'!CNS$8,0)</f>
        <v>0</v>
      </c>
      <c r="CNS54" s="5">
        <f>-IFERROR('4. NPV'!#REF!/'4. NPV'!CNT$8,0)</f>
        <v>0</v>
      </c>
      <c r="CNT54" s="5">
        <f>-IFERROR('4. NPV'!#REF!/'4. NPV'!CNU$8,0)</f>
        <v>0</v>
      </c>
      <c r="CNU54" s="5">
        <f>-IFERROR('4. NPV'!#REF!/'4. NPV'!CNV$8,0)</f>
        <v>0</v>
      </c>
      <c r="CNV54" s="5">
        <f>-IFERROR('4. NPV'!#REF!/'4. NPV'!CNW$8,0)</f>
        <v>0</v>
      </c>
      <c r="CNW54" s="5">
        <f>-IFERROR('4. NPV'!#REF!/'4. NPV'!CNX$8,0)</f>
        <v>0</v>
      </c>
      <c r="CNX54" s="5">
        <f>-IFERROR('4. NPV'!#REF!/'4. NPV'!CNY$8,0)</f>
        <v>0</v>
      </c>
      <c r="CNY54" s="5">
        <f>-IFERROR('4. NPV'!#REF!/'4. NPV'!CNZ$8,0)</f>
        <v>0</v>
      </c>
      <c r="CNZ54" s="5">
        <f>-IFERROR('4. NPV'!#REF!/'4. NPV'!COA$8,0)</f>
        <v>0</v>
      </c>
      <c r="COA54" s="5">
        <f>-IFERROR('4. NPV'!#REF!/'4. NPV'!COB$8,0)</f>
        <v>0</v>
      </c>
      <c r="COB54" s="5">
        <f>-IFERROR('4. NPV'!#REF!/'4. NPV'!COC$8,0)</f>
        <v>0</v>
      </c>
      <c r="COC54" s="5">
        <f>-IFERROR('4. NPV'!#REF!/'4. NPV'!COD$8,0)</f>
        <v>0</v>
      </c>
      <c r="COD54" s="5">
        <f>-IFERROR('4. NPV'!#REF!/'4. NPV'!COE$8,0)</f>
        <v>0</v>
      </c>
      <c r="COE54" s="5">
        <f>-IFERROR('4. NPV'!#REF!/'4. NPV'!COF$8,0)</f>
        <v>0</v>
      </c>
      <c r="COF54" s="5">
        <f>-IFERROR('4. NPV'!#REF!/'4. NPV'!COG$8,0)</f>
        <v>0</v>
      </c>
      <c r="COG54" s="5">
        <f>-IFERROR('4. NPV'!#REF!/'4. NPV'!COH$8,0)</f>
        <v>0</v>
      </c>
      <c r="COH54" s="5">
        <f>-IFERROR('4. NPV'!#REF!/'4. NPV'!COI$8,0)</f>
        <v>0</v>
      </c>
      <c r="COI54" s="5">
        <f>-IFERROR('4. NPV'!#REF!/'4. NPV'!COJ$8,0)</f>
        <v>0</v>
      </c>
      <c r="COJ54" s="5">
        <f>-IFERROR('4. NPV'!#REF!/'4. NPV'!COK$8,0)</f>
        <v>0</v>
      </c>
      <c r="COK54" s="5">
        <f>-IFERROR('4. NPV'!#REF!/'4. NPV'!COL$8,0)</f>
        <v>0</v>
      </c>
      <c r="COL54" s="5">
        <f>-IFERROR('4. NPV'!#REF!/'4. NPV'!COM$8,0)</f>
        <v>0</v>
      </c>
      <c r="COM54" s="5">
        <f>-IFERROR('4. NPV'!#REF!/'4. NPV'!CON$8,0)</f>
        <v>0</v>
      </c>
      <c r="CON54" s="5">
        <f>-IFERROR('4. NPV'!#REF!/'4. NPV'!COO$8,0)</f>
        <v>0</v>
      </c>
      <c r="COO54" s="5">
        <f>-IFERROR('4. NPV'!#REF!/'4. NPV'!COP$8,0)</f>
        <v>0</v>
      </c>
      <c r="COP54" s="5">
        <f>-IFERROR('4. NPV'!#REF!/'4. NPV'!COQ$8,0)</f>
        <v>0</v>
      </c>
      <c r="COQ54" s="5">
        <f>-IFERROR('4. NPV'!#REF!/'4. NPV'!COR$8,0)</f>
        <v>0</v>
      </c>
      <c r="COR54" s="5">
        <f>-IFERROR('4. NPV'!#REF!/'4. NPV'!COS$8,0)</f>
        <v>0</v>
      </c>
      <c r="COS54" s="5">
        <f>-IFERROR('4. NPV'!#REF!/'4. NPV'!COT$8,0)</f>
        <v>0</v>
      </c>
      <c r="COT54" s="5">
        <f>-IFERROR('4. NPV'!#REF!/'4. NPV'!COU$8,0)</f>
        <v>0</v>
      </c>
      <c r="COU54" s="5">
        <f>-IFERROR('4. NPV'!#REF!/'4. NPV'!COV$8,0)</f>
        <v>0</v>
      </c>
      <c r="COV54" s="5">
        <f>-IFERROR('4. NPV'!#REF!/'4. NPV'!COW$8,0)</f>
        <v>0</v>
      </c>
      <c r="COW54" s="5">
        <f>-IFERROR('4. NPV'!#REF!/'4. NPV'!COX$8,0)</f>
        <v>0</v>
      </c>
      <c r="COX54" s="5">
        <f>-IFERROR('4. NPV'!#REF!/'4. NPV'!COY$8,0)</f>
        <v>0</v>
      </c>
      <c r="COY54" s="5">
        <f>-IFERROR('4. NPV'!#REF!/'4. NPV'!COZ$8,0)</f>
        <v>0</v>
      </c>
      <c r="COZ54" s="5">
        <f>-IFERROR('4. NPV'!#REF!/'4. NPV'!CPA$8,0)</f>
        <v>0</v>
      </c>
      <c r="CPA54" s="5">
        <f>-IFERROR('4. NPV'!#REF!/'4. NPV'!CPB$8,0)</f>
        <v>0</v>
      </c>
      <c r="CPB54" s="5">
        <f>-IFERROR('4. NPV'!#REF!/'4. NPV'!CPC$8,0)</f>
        <v>0</v>
      </c>
      <c r="CPC54" s="5">
        <f>-IFERROR('4. NPV'!#REF!/'4. NPV'!CPD$8,0)</f>
        <v>0</v>
      </c>
      <c r="CPD54" s="5">
        <f>-IFERROR('4. NPV'!#REF!/'4. NPV'!CPE$8,0)</f>
        <v>0</v>
      </c>
      <c r="CPE54" s="5">
        <f>-IFERROR('4. NPV'!#REF!/'4. NPV'!CPF$8,0)</f>
        <v>0</v>
      </c>
      <c r="CPF54" s="5">
        <f>-IFERROR('4. NPV'!#REF!/'4. NPV'!CPG$8,0)</f>
        <v>0</v>
      </c>
      <c r="CPG54" s="5">
        <f>-IFERROR('4. NPV'!#REF!/'4. NPV'!CPH$8,0)</f>
        <v>0</v>
      </c>
      <c r="CPH54" s="5">
        <f>-IFERROR('4. NPV'!#REF!/'4. NPV'!CPI$8,0)</f>
        <v>0</v>
      </c>
      <c r="CPI54" s="5">
        <f>-IFERROR('4. NPV'!#REF!/'4. NPV'!CPJ$8,0)</f>
        <v>0</v>
      </c>
      <c r="CPJ54" s="5">
        <f>-IFERROR('4. NPV'!#REF!/'4. NPV'!CPK$8,0)</f>
        <v>0</v>
      </c>
      <c r="CPK54" s="5">
        <f>-IFERROR('4. NPV'!#REF!/'4. NPV'!CPL$8,0)</f>
        <v>0</v>
      </c>
      <c r="CPL54" s="5">
        <f>-IFERROR('4. NPV'!#REF!/'4. NPV'!CPM$8,0)</f>
        <v>0</v>
      </c>
      <c r="CPM54" s="5">
        <f>-IFERROR('4. NPV'!#REF!/'4. NPV'!CPN$8,0)</f>
        <v>0</v>
      </c>
      <c r="CPN54" s="5">
        <f>-IFERROR('4. NPV'!#REF!/'4. NPV'!CPO$8,0)</f>
        <v>0</v>
      </c>
      <c r="CPO54" s="5">
        <f>-IFERROR('4. NPV'!#REF!/'4. NPV'!CPP$8,0)</f>
        <v>0</v>
      </c>
      <c r="CPP54" s="5">
        <f>-IFERROR('4. NPV'!#REF!/'4. NPV'!CPQ$8,0)</f>
        <v>0</v>
      </c>
      <c r="CPQ54" s="5">
        <f>-IFERROR('4. NPV'!#REF!/'4. NPV'!CPR$8,0)</f>
        <v>0</v>
      </c>
      <c r="CPR54" s="5">
        <f>-IFERROR('4. NPV'!#REF!/'4. NPV'!CPS$8,0)</f>
        <v>0</v>
      </c>
      <c r="CPS54" s="5">
        <f>-IFERROR('4. NPV'!#REF!/'4. NPV'!CPT$8,0)</f>
        <v>0</v>
      </c>
      <c r="CPT54" s="5">
        <f>-IFERROR('4. NPV'!#REF!/'4. NPV'!CPU$8,0)</f>
        <v>0</v>
      </c>
      <c r="CPU54" s="5">
        <f>-IFERROR('4. NPV'!#REF!/'4. NPV'!CPV$8,0)</f>
        <v>0</v>
      </c>
      <c r="CPV54" s="5">
        <f>-IFERROR('4. NPV'!#REF!/'4. NPV'!CPW$8,0)</f>
        <v>0</v>
      </c>
      <c r="CPW54" s="5">
        <f>-IFERROR('4. NPV'!#REF!/'4. NPV'!CPX$8,0)</f>
        <v>0</v>
      </c>
      <c r="CPX54" s="5">
        <f>-IFERROR('4. NPV'!#REF!/'4. NPV'!CPY$8,0)</f>
        <v>0</v>
      </c>
      <c r="CPY54" s="5">
        <f>-IFERROR('4. NPV'!#REF!/'4. NPV'!CPZ$8,0)</f>
        <v>0</v>
      </c>
      <c r="CPZ54" s="5">
        <f>-IFERROR('4. NPV'!#REF!/'4. NPV'!CQA$8,0)</f>
        <v>0</v>
      </c>
      <c r="CQA54" s="5">
        <f>-IFERROR('4. NPV'!#REF!/'4. NPV'!CQB$8,0)</f>
        <v>0</v>
      </c>
      <c r="CQB54" s="5">
        <f>-IFERROR('4. NPV'!#REF!/'4. NPV'!CQC$8,0)</f>
        <v>0</v>
      </c>
      <c r="CQC54" s="5">
        <f>-IFERROR('4. NPV'!#REF!/'4. NPV'!CQD$8,0)</f>
        <v>0</v>
      </c>
      <c r="CQD54" s="5">
        <f>-IFERROR('4. NPV'!#REF!/'4. NPV'!CQE$8,0)</f>
        <v>0</v>
      </c>
      <c r="CQE54" s="5">
        <f>-IFERROR('4. NPV'!#REF!/'4. NPV'!CQF$8,0)</f>
        <v>0</v>
      </c>
      <c r="CQF54" s="5">
        <f>-IFERROR('4. NPV'!#REF!/'4. NPV'!CQG$8,0)</f>
        <v>0</v>
      </c>
      <c r="CQG54" s="5">
        <f>-IFERROR('4. NPV'!#REF!/'4. NPV'!CQH$8,0)</f>
        <v>0</v>
      </c>
      <c r="CQH54" s="5">
        <f>-IFERROR('4. NPV'!#REF!/'4. NPV'!CQI$8,0)</f>
        <v>0</v>
      </c>
      <c r="CQI54" s="5">
        <f>-IFERROR('4. NPV'!#REF!/'4. NPV'!CQJ$8,0)</f>
        <v>0</v>
      </c>
      <c r="CQJ54" s="5">
        <f>-IFERROR('4. NPV'!#REF!/'4. NPV'!CQK$8,0)</f>
        <v>0</v>
      </c>
      <c r="CQK54" s="5">
        <f>-IFERROR('4. NPV'!#REF!/'4. NPV'!CQL$8,0)</f>
        <v>0</v>
      </c>
      <c r="CQL54" s="5">
        <f>-IFERROR('4. NPV'!#REF!/'4. NPV'!CQM$8,0)</f>
        <v>0</v>
      </c>
      <c r="CQM54" s="5">
        <f>-IFERROR('4. NPV'!#REF!/'4. NPV'!CQN$8,0)</f>
        <v>0</v>
      </c>
      <c r="CQN54" s="5">
        <f>-IFERROR('4. NPV'!#REF!/'4. NPV'!CQO$8,0)</f>
        <v>0</v>
      </c>
      <c r="CQO54" s="5">
        <f>-IFERROR('4. NPV'!#REF!/'4. NPV'!CQP$8,0)</f>
        <v>0</v>
      </c>
      <c r="CQP54" s="5">
        <f>-IFERROR('4. NPV'!#REF!/'4. NPV'!CQQ$8,0)</f>
        <v>0</v>
      </c>
      <c r="CQQ54" s="5">
        <f>-IFERROR('4. NPV'!#REF!/'4. NPV'!CQR$8,0)</f>
        <v>0</v>
      </c>
      <c r="CQR54" s="5">
        <f>-IFERROR('4. NPV'!#REF!/'4. NPV'!CQS$8,0)</f>
        <v>0</v>
      </c>
      <c r="CQS54" s="5">
        <f>-IFERROR('4. NPV'!#REF!/'4. NPV'!CQT$8,0)</f>
        <v>0</v>
      </c>
      <c r="CQT54" s="5">
        <f>-IFERROR('4. NPV'!#REF!/'4. NPV'!CQU$8,0)</f>
        <v>0</v>
      </c>
      <c r="CQU54" s="5">
        <f>-IFERROR('4. NPV'!#REF!/'4. NPV'!CQV$8,0)</f>
        <v>0</v>
      </c>
      <c r="CQV54" s="5">
        <f>-IFERROR('4. NPV'!#REF!/'4. NPV'!CQW$8,0)</f>
        <v>0</v>
      </c>
      <c r="CQW54" s="5">
        <f>-IFERROR('4. NPV'!#REF!/'4. NPV'!CQX$8,0)</f>
        <v>0</v>
      </c>
      <c r="CQX54" s="5">
        <f>-IFERROR('4. NPV'!#REF!/'4. NPV'!CQY$8,0)</f>
        <v>0</v>
      </c>
      <c r="CQY54" s="5">
        <f>-IFERROR('4. NPV'!#REF!/'4. NPV'!CQZ$8,0)</f>
        <v>0</v>
      </c>
      <c r="CQZ54" s="5">
        <f>-IFERROR('4. NPV'!#REF!/'4. NPV'!CRA$8,0)</f>
        <v>0</v>
      </c>
      <c r="CRA54" s="5">
        <f>-IFERROR('4. NPV'!#REF!/'4. NPV'!CRB$8,0)</f>
        <v>0</v>
      </c>
      <c r="CRB54" s="5">
        <f>-IFERROR('4. NPV'!#REF!/'4. NPV'!CRC$8,0)</f>
        <v>0</v>
      </c>
      <c r="CRC54" s="5">
        <f>-IFERROR('4. NPV'!#REF!/'4. NPV'!CRD$8,0)</f>
        <v>0</v>
      </c>
      <c r="CRD54" s="5">
        <f>-IFERROR('4. NPV'!#REF!/'4. NPV'!CRE$8,0)</f>
        <v>0</v>
      </c>
      <c r="CRE54" s="5">
        <f>-IFERROR('4. NPV'!#REF!/'4. NPV'!CRF$8,0)</f>
        <v>0</v>
      </c>
      <c r="CRF54" s="5">
        <f>-IFERROR('4. NPV'!#REF!/'4. NPV'!CRG$8,0)</f>
        <v>0</v>
      </c>
      <c r="CRG54" s="5">
        <f>-IFERROR('4. NPV'!#REF!/'4. NPV'!CRH$8,0)</f>
        <v>0</v>
      </c>
      <c r="CRH54" s="5">
        <f>-IFERROR('4. NPV'!#REF!/'4. NPV'!CRI$8,0)</f>
        <v>0</v>
      </c>
      <c r="CRI54" s="5">
        <f>-IFERROR('4. NPV'!#REF!/'4. NPV'!CRJ$8,0)</f>
        <v>0</v>
      </c>
      <c r="CRJ54" s="5">
        <f>-IFERROR('4. NPV'!#REF!/'4. NPV'!CRK$8,0)</f>
        <v>0</v>
      </c>
      <c r="CRK54" s="5">
        <f>-IFERROR('4. NPV'!#REF!/'4. NPV'!CRL$8,0)</f>
        <v>0</v>
      </c>
      <c r="CRL54" s="5">
        <f>-IFERROR('4. NPV'!#REF!/'4. NPV'!CRM$8,0)</f>
        <v>0</v>
      </c>
      <c r="CRM54" s="5">
        <f>-IFERROR('4. NPV'!#REF!/'4. NPV'!CRN$8,0)</f>
        <v>0</v>
      </c>
      <c r="CRN54" s="5">
        <f>-IFERROR('4. NPV'!#REF!/'4. NPV'!CRO$8,0)</f>
        <v>0</v>
      </c>
      <c r="CRO54" s="5">
        <f>-IFERROR('4. NPV'!#REF!/'4. NPV'!CRP$8,0)</f>
        <v>0</v>
      </c>
      <c r="CRP54" s="5">
        <f>-IFERROR('4. NPV'!#REF!/'4. NPV'!CRQ$8,0)</f>
        <v>0</v>
      </c>
      <c r="CRQ54" s="5">
        <f>-IFERROR('4. NPV'!#REF!/'4. NPV'!CRR$8,0)</f>
        <v>0</v>
      </c>
      <c r="CRR54" s="5">
        <f>-IFERROR('4. NPV'!#REF!/'4. NPV'!CRS$8,0)</f>
        <v>0</v>
      </c>
      <c r="CRS54" s="5">
        <f>-IFERROR('4. NPV'!#REF!/'4. NPV'!CRT$8,0)</f>
        <v>0</v>
      </c>
      <c r="CRT54" s="5">
        <f>-IFERROR('4. NPV'!#REF!/'4. NPV'!CRU$8,0)</f>
        <v>0</v>
      </c>
      <c r="CRU54" s="5">
        <f>-IFERROR('4. NPV'!#REF!/'4. NPV'!CRV$8,0)</f>
        <v>0</v>
      </c>
      <c r="CRV54" s="5">
        <f>-IFERROR('4. NPV'!#REF!/'4. NPV'!CRW$8,0)</f>
        <v>0</v>
      </c>
      <c r="CRW54" s="5">
        <f>-IFERROR('4. NPV'!#REF!/'4. NPV'!CRX$8,0)</f>
        <v>0</v>
      </c>
      <c r="CRX54" s="5">
        <f>-IFERROR('4. NPV'!#REF!/'4. NPV'!CRY$8,0)</f>
        <v>0</v>
      </c>
      <c r="CRY54" s="5">
        <f>-IFERROR('4. NPV'!#REF!/'4. NPV'!CRZ$8,0)</f>
        <v>0</v>
      </c>
      <c r="CRZ54" s="5">
        <f>-IFERROR('4. NPV'!#REF!/'4. NPV'!CSA$8,0)</f>
        <v>0</v>
      </c>
      <c r="CSA54" s="5">
        <f>-IFERROR('4. NPV'!#REF!/'4. NPV'!CSB$8,0)</f>
        <v>0</v>
      </c>
      <c r="CSB54" s="5">
        <f>-IFERROR('4. NPV'!#REF!/'4. NPV'!CSC$8,0)</f>
        <v>0</v>
      </c>
      <c r="CSC54" s="5">
        <f>-IFERROR('4. NPV'!#REF!/'4. NPV'!CSD$8,0)</f>
        <v>0</v>
      </c>
      <c r="CSD54" s="5">
        <f>-IFERROR('4. NPV'!#REF!/'4. NPV'!CSE$8,0)</f>
        <v>0</v>
      </c>
      <c r="CSE54" s="5">
        <f>-IFERROR('4. NPV'!#REF!/'4. NPV'!CSF$8,0)</f>
        <v>0</v>
      </c>
      <c r="CSF54" s="5">
        <f>-IFERROR('4. NPV'!#REF!/'4. NPV'!CSG$8,0)</f>
        <v>0</v>
      </c>
      <c r="CSG54" s="5">
        <f>-IFERROR('4. NPV'!#REF!/'4. NPV'!CSH$8,0)</f>
        <v>0</v>
      </c>
      <c r="CSH54" s="5">
        <f>-IFERROR('4. NPV'!#REF!/'4. NPV'!CSI$8,0)</f>
        <v>0</v>
      </c>
      <c r="CSI54" s="5">
        <f>-IFERROR('4. NPV'!#REF!/'4. NPV'!CSJ$8,0)</f>
        <v>0</v>
      </c>
      <c r="CSJ54" s="5">
        <f>-IFERROR('4. NPV'!#REF!/'4. NPV'!CSK$8,0)</f>
        <v>0</v>
      </c>
      <c r="CSK54" s="5">
        <f>-IFERROR('4. NPV'!#REF!/'4. NPV'!CSL$8,0)</f>
        <v>0</v>
      </c>
      <c r="CSL54" s="5">
        <f>-IFERROR('4. NPV'!#REF!/'4. NPV'!CSM$8,0)</f>
        <v>0</v>
      </c>
      <c r="CSM54" s="5">
        <f>-IFERROR('4. NPV'!#REF!/'4. NPV'!CSN$8,0)</f>
        <v>0</v>
      </c>
      <c r="CSN54" s="5">
        <f>-IFERROR('4. NPV'!#REF!/'4. NPV'!CSO$8,0)</f>
        <v>0</v>
      </c>
      <c r="CSO54" s="5">
        <f>-IFERROR('4. NPV'!#REF!/'4. NPV'!CSP$8,0)</f>
        <v>0</v>
      </c>
      <c r="CSP54" s="5">
        <f>-IFERROR('4. NPV'!#REF!/'4. NPV'!CSQ$8,0)</f>
        <v>0</v>
      </c>
      <c r="CSQ54" s="5">
        <f>-IFERROR('4. NPV'!#REF!/'4. NPV'!CSR$8,0)</f>
        <v>0</v>
      </c>
      <c r="CSR54" s="5">
        <f>-IFERROR('4. NPV'!#REF!/'4. NPV'!CSS$8,0)</f>
        <v>0</v>
      </c>
      <c r="CSS54" s="5">
        <f>-IFERROR('4. NPV'!#REF!/'4. NPV'!CST$8,0)</f>
        <v>0</v>
      </c>
      <c r="CST54" s="5">
        <f>-IFERROR('4. NPV'!#REF!/'4. NPV'!CSU$8,0)</f>
        <v>0</v>
      </c>
      <c r="CSU54" s="5">
        <f>-IFERROR('4. NPV'!#REF!/'4. NPV'!CSV$8,0)</f>
        <v>0</v>
      </c>
      <c r="CSV54" s="5">
        <f>-IFERROR('4. NPV'!#REF!/'4. NPV'!CSW$8,0)</f>
        <v>0</v>
      </c>
      <c r="CSW54" s="5">
        <f>-IFERROR('4. NPV'!#REF!/'4. NPV'!CSX$8,0)</f>
        <v>0</v>
      </c>
      <c r="CSX54" s="5">
        <f>-IFERROR('4. NPV'!#REF!/'4. NPV'!CSY$8,0)</f>
        <v>0</v>
      </c>
      <c r="CSY54" s="5">
        <f>-IFERROR('4. NPV'!#REF!/'4. NPV'!CSZ$8,0)</f>
        <v>0</v>
      </c>
      <c r="CSZ54" s="5">
        <f>-IFERROR('4. NPV'!#REF!/'4. NPV'!CTA$8,0)</f>
        <v>0</v>
      </c>
      <c r="CTA54" s="5">
        <f>-IFERROR('4. NPV'!#REF!/'4. NPV'!CTB$8,0)</f>
        <v>0</v>
      </c>
      <c r="CTB54" s="5">
        <f>-IFERROR('4. NPV'!#REF!/'4. NPV'!CTC$8,0)</f>
        <v>0</v>
      </c>
      <c r="CTC54" s="5">
        <f>-IFERROR('4. NPV'!#REF!/'4. NPV'!CTD$8,0)</f>
        <v>0</v>
      </c>
      <c r="CTD54" s="5">
        <f>-IFERROR('4. NPV'!#REF!/'4. NPV'!CTE$8,0)</f>
        <v>0</v>
      </c>
      <c r="CTE54" s="5">
        <f>-IFERROR('4. NPV'!#REF!/'4. NPV'!CTF$8,0)</f>
        <v>0</v>
      </c>
      <c r="CTF54" s="5">
        <f>-IFERROR('4. NPV'!#REF!/'4. NPV'!CTG$8,0)</f>
        <v>0</v>
      </c>
      <c r="CTG54" s="5">
        <f>-IFERROR('4. NPV'!#REF!/'4. NPV'!CTH$8,0)</f>
        <v>0</v>
      </c>
      <c r="CTH54" s="5">
        <f>-IFERROR('4. NPV'!#REF!/'4. NPV'!CTI$8,0)</f>
        <v>0</v>
      </c>
      <c r="CTI54" s="5">
        <f>-IFERROR('4. NPV'!#REF!/'4. NPV'!CTJ$8,0)</f>
        <v>0</v>
      </c>
      <c r="CTJ54" s="5">
        <f>-IFERROR('4. NPV'!#REF!/'4. NPV'!CTK$8,0)</f>
        <v>0</v>
      </c>
      <c r="CTK54" s="5">
        <f>-IFERROR('4. NPV'!#REF!/'4. NPV'!CTL$8,0)</f>
        <v>0</v>
      </c>
      <c r="CTL54" s="5">
        <f>-IFERROR('4. NPV'!#REF!/'4. NPV'!CTM$8,0)</f>
        <v>0</v>
      </c>
      <c r="CTM54" s="5">
        <f>-IFERROR('4. NPV'!#REF!/'4. NPV'!CTN$8,0)</f>
        <v>0</v>
      </c>
      <c r="CTN54" s="5">
        <f>-IFERROR('4. NPV'!#REF!/'4. NPV'!CTO$8,0)</f>
        <v>0</v>
      </c>
      <c r="CTO54" s="5">
        <f>-IFERROR('4. NPV'!#REF!/'4. NPV'!CTP$8,0)</f>
        <v>0</v>
      </c>
      <c r="CTP54" s="5">
        <f>-IFERROR('4. NPV'!#REF!/'4. NPV'!CTQ$8,0)</f>
        <v>0</v>
      </c>
      <c r="CTQ54" s="5">
        <f>-IFERROR('4. NPV'!#REF!/'4. NPV'!CTR$8,0)</f>
        <v>0</v>
      </c>
      <c r="CTR54" s="5">
        <f>-IFERROR('4. NPV'!#REF!/'4. NPV'!CTS$8,0)</f>
        <v>0</v>
      </c>
      <c r="CTS54" s="5">
        <f>-IFERROR('4. NPV'!#REF!/'4. NPV'!CTT$8,0)</f>
        <v>0</v>
      </c>
      <c r="CTT54" s="5">
        <f>-IFERROR('4. NPV'!#REF!/'4. NPV'!CTU$8,0)</f>
        <v>0</v>
      </c>
      <c r="CTU54" s="5">
        <f>-IFERROR('4. NPV'!#REF!/'4. NPV'!CTV$8,0)</f>
        <v>0</v>
      </c>
      <c r="CTV54" s="5">
        <f>-IFERROR('4. NPV'!#REF!/'4. NPV'!CTW$8,0)</f>
        <v>0</v>
      </c>
      <c r="CTW54" s="5">
        <f>-IFERROR('4. NPV'!#REF!/'4. NPV'!CTX$8,0)</f>
        <v>0</v>
      </c>
      <c r="CTX54" s="5">
        <f>-IFERROR('4. NPV'!#REF!/'4. NPV'!CTY$8,0)</f>
        <v>0</v>
      </c>
      <c r="CTY54" s="5">
        <f>-IFERROR('4. NPV'!#REF!/'4. NPV'!CTZ$8,0)</f>
        <v>0</v>
      </c>
      <c r="CTZ54" s="5">
        <f>-IFERROR('4. NPV'!#REF!/'4. NPV'!CUA$8,0)</f>
        <v>0</v>
      </c>
      <c r="CUA54" s="5">
        <f>-IFERROR('4. NPV'!#REF!/'4. NPV'!CUB$8,0)</f>
        <v>0</v>
      </c>
      <c r="CUB54" s="5">
        <f>-IFERROR('4. NPV'!#REF!/'4. NPV'!CUC$8,0)</f>
        <v>0</v>
      </c>
      <c r="CUC54" s="5">
        <f>-IFERROR('4. NPV'!#REF!/'4. NPV'!CUD$8,0)</f>
        <v>0</v>
      </c>
      <c r="CUD54" s="5">
        <f>-IFERROR('4. NPV'!#REF!/'4. NPV'!CUE$8,0)</f>
        <v>0</v>
      </c>
      <c r="CUE54" s="5">
        <f>-IFERROR('4. NPV'!#REF!/'4. NPV'!CUF$8,0)</f>
        <v>0</v>
      </c>
      <c r="CUF54" s="5">
        <f>-IFERROR('4. NPV'!#REF!/'4. NPV'!CUG$8,0)</f>
        <v>0</v>
      </c>
      <c r="CUG54" s="5">
        <f>-IFERROR('4. NPV'!#REF!/'4. NPV'!CUH$8,0)</f>
        <v>0</v>
      </c>
      <c r="CUH54" s="5">
        <f>-IFERROR('4. NPV'!#REF!/'4. NPV'!CUI$8,0)</f>
        <v>0</v>
      </c>
      <c r="CUI54" s="5">
        <f>-IFERROR('4. NPV'!#REF!/'4. NPV'!CUJ$8,0)</f>
        <v>0</v>
      </c>
      <c r="CUJ54" s="5">
        <f>-IFERROR('4. NPV'!#REF!/'4. NPV'!CUK$8,0)</f>
        <v>0</v>
      </c>
      <c r="CUK54" s="5">
        <f>-IFERROR('4. NPV'!#REF!/'4. NPV'!CUL$8,0)</f>
        <v>0</v>
      </c>
      <c r="CUL54" s="5">
        <f>-IFERROR('4. NPV'!#REF!/'4. NPV'!CUM$8,0)</f>
        <v>0</v>
      </c>
      <c r="CUM54" s="5">
        <f>-IFERROR('4. NPV'!#REF!/'4. NPV'!CUN$8,0)</f>
        <v>0</v>
      </c>
      <c r="CUN54" s="5">
        <f>-IFERROR('4. NPV'!#REF!/'4. NPV'!CUO$8,0)</f>
        <v>0</v>
      </c>
      <c r="CUO54" s="5">
        <f>-IFERROR('4. NPV'!#REF!/'4. NPV'!CUP$8,0)</f>
        <v>0</v>
      </c>
      <c r="CUP54" s="5">
        <f>-IFERROR('4. NPV'!#REF!/'4. NPV'!CUQ$8,0)</f>
        <v>0</v>
      </c>
      <c r="CUQ54" s="5">
        <f>-IFERROR('4. NPV'!#REF!/'4. NPV'!CUR$8,0)</f>
        <v>0</v>
      </c>
      <c r="CUR54" s="5">
        <f>-IFERROR('4. NPV'!#REF!/'4. NPV'!CUS$8,0)</f>
        <v>0</v>
      </c>
      <c r="CUS54" s="5">
        <f>-IFERROR('4. NPV'!#REF!/'4. NPV'!CUT$8,0)</f>
        <v>0</v>
      </c>
      <c r="CUT54" s="5">
        <f>-IFERROR('4. NPV'!#REF!/'4. NPV'!CUU$8,0)</f>
        <v>0</v>
      </c>
      <c r="CUU54" s="5">
        <f>-IFERROR('4. NPV'!#REF!/'4. NPV'!CUV$8,0)</f>
        <v>0</v>
      </c>
      <c r="CUV54" s="5">
        <f>-IFERROR('4. NPV'!#REF!/'4. NPV'!CUW$8,0)</f>
        <v>0</v>
      </c>
      <c r="CUW54" s="5">
        <f>-IFERROR('4. NPV'!#REF!/'4. NPV'!CUX$8,0)</f>
        <v>0</v>
      </c>
      <c r="CUX54" s="5">
        <f>-IFERROR('4. NPV'!#REF!/'4. NPV'!CUY$8,0)</f>
        <v>0</v>
      </c>
      <c r="CUY54" s="5">
        <f>-IFERROR('4. NPV'!#REF!/'4. NPV'!CUZ$8,0)</f>
        <v>0</v>
      </c>
      <c r="CUZ54" s="5">
        <f>-IFERROR('4. NPV'!#REF!/'4. NPV'!CVA$8,0)</f>
        <v>0</v>
      </c>
      <c r="CVA54" s="5">
        <f>-IFERROR('4. NPV'!#REF!/'4. NPV'!CVB$8,0)</f>
        <v>0</v>
      </c>
      <c r="CVB54" s="5">
        <f>-IFERROR('4. NPV'!#REF!/'4. NPV'!CVC$8,0)</f>
        <v>0</v>
      </c>
      <c r="CVC54" s="5">
        <f>-IFERROR('4. NPV'!#REF!/'4. NPV'!CVD$8,0)</f>
        <v>0</v>
      </c>
      <c r="CVD54" s="5">
        <f>-IFERROR('4. NPV'!#REF!/'4. NPV'!CVE$8,0)</f>
        <v>0</v>
      </c>
      <c r="CVE54" s="5">
        <f>-IFERROR('4. NPV'!#REF!/'4. NPV'!CVF$8,0)</f>
        <v>0</v>
      </c>
      <c r="CVF54" s="5">
        <f>-IFERROR('4. NPV'!#REF!/'4. NPV'!CVG$8,0)</f>
        <v>0</v>
      </c>
      <c r="CVG54" s="5">
        <f>-IFERROR('4. NPV'!#REF!/'4. NPV'!CVH$8,0)</f>
        <v>0</v>
      </c>
      <c r="CVH54" s="5">
        <f>-IFERROR('4. NPV'!#REF!/'4. NPV'!CVI$8,0)</f>
        <v>0</v>
      </c>
      <c r="CVI54" s="5">
        <f>-IFERROR('4. NPV'!#REF!/'4. NPV'!CVJ$8,0)</f>
        <v>0</v>
      </c>
      <c r="CVJ54" s="5">
        <f>-IFERROR('4. NPV'!#REF!/'4. NPV'!CVK$8,0)</f>
        <v>0</v>
      </c>
      <c r="CVK54" s="5">
        <f>-IFERROR('4. NPV'!#REF!/'4. NPV'!CVL$8,0)</f>
        <v>0</v>
      </c>
      <c r="CVL54" s="5">
        <f>-IFERROR('4. NPV'!#REF!/'4. NPV'!CVM$8,0)</f>
        <v>0</v>
      </c>
      <c r="CVM54" s="5">
        <f>-IFERROR('4. NPV'!#REF!/'4. NPV'!CVN$8,0)</f>
        <v>0</v>
      </c>
      <c r="CVN54" s="5">
        <f>-IFERROR('4. NPV'!#REF!/'4. NPV'!CVO$8,0)</f>
        <v>0</v>
      </c>
      <c r="CVO54" s="5">
        <f>-IFERROR('4. NPV'!#REF!/'4. NPV'!CVP$8,0)</f>
        <v>0</v>
      </c>
      <c r="CVP54" s="5">
        <f>-IFERROR('4. NPV'!#REF!/'4. NPV'!CVQ$8,0)</f>
        <v>0</v>
      </c>
      <c r="CVQ54" s="5">
        <f>-IFERROR('4. NPV'!#REF!/'4. NPV'!CVR$8,0)</f>
        <v>0</v>
      </c>
      <c r="CVR54" s="5">
        <f>-IFERROR('4. NPV'!#REF!/'4. NPV'!CVS$8,0)</f>
        <v>0</v>
      </c>
      <c r="CVS54" s="5">
        <f>-IFERROR('4. NPV'!#REF!/'4. NPV'!CVT$8,0)</f>
        <v>0</v>
      </c>
      <c r="CVT54" s="5">
        <f>-IFERROR('4. NPV'!#REF!/'4. NPV'!CVU$8,0)</f>
        <v>0</v>
      </c>
      <c r="CVU54" s="5">
        <f>-IFERROR('4. NPV'!#REF!/'4. NPV'!CVV$8,0)</f>
        <v>0</v>
      </c>
      <c r="CVV54" s="5">
        <f>-IFERROR('4. NPV'!#REF!/'4. NPV'!CVW$8,0)</f>
        <v>0</v>
      </c>
      <c r="CVW54" s="5">
        <f>-IFERROR('4. NPV'!#REF!/'4. NPV'!CVX$8,0)</f>
        <v>0</v>
      </c>
      <c r="CVX54" s="5">
        <f>-IFERROR('4. NPV'!#REF!/'4. NPV'!CVY$8,0)</f>
        <v>0</v>
      </c>
      <c r="CVY54" s="5">
        <f>-IFERROR('4. NPV'!#REF!/'4. NPV'!CVZ$8,0)</f>
        <v>0</v>
      </c>
      <c r="CVZ54" s="5">
        <f>-IFERROR('4. NPV'!#REF!/'4. NPV'!CWA$8,0)</f>
        <v>0</v>
      </c>
      <c r="CWA54" s="5">
        <f>-IFERROR('4. NPV'!#REF!/'4. NPV'!CWB$8,0)</f>
        <v>0</v>
      </c>
      <c r="CWB54" s="5">
        <f>-IFERROR('4. NPV'!#REF!/'4. NPV'!CWC$8,0)</f>
        <v>0</v>
      </c>
      <c r="CWC54" s="5">
        <f>-IFERROR('4. NPV'!#REF!/'4. NPV'!CWD$8,0)</f>
        <v>0</v>
      </c>
      <c r="CWD54" s="5">
        <f>-IFERROR('4. NPV'!#REF!/'4. NPV'!CWE$8,0)</f>
        <v>0</v>
      </c>
      <c r="CWE54" s="5">
        <f>-IFERROR('4. NPV'!#REF!/'4. NPV'!CWF$8,0)</f>
        <v>0</v>
      </c>
      <c r="CWF54" s="5">
        <f>-IFERROR('4. NPV'!#REF!/'4. NPV'!CWG$8,0)</f>
        <v>0</v>
      </c>
      <c r="CWG54" s="5">
        <f>-IFERROR('4. NPV'!#REF!/'4. NPV'!CWH$8,0)</f>
        <v>0</v>
      </c>
      <c r="CWH54" s="5">
        <f>-IFERROR('4. NPV'!#REF!/'4. NPV'!CWI$8,0)</f>
        <v>0</v>
      </c>
      <c r="CWI54" s="5">
        <f>-IFERROR('4. NPV'!#REF!/'4. NPV'!CWJ$8,0)</f>
        <v>0</v>
      </c>
      <c r="CWJ54" s="5">
        <f>-IFERROR('4. NPV'!#REF!/'4. NPV'!CWK$8,0)</f>
        <v>0</v>
      </c>
      <c r="CWK54" s="5">
        <f>-IFERROR('4. NPV'!#REF!/'4. NPV'!CWL$8,0)</f>
        <v>0</v>
      </c>
      <c r="CWL54" s="5">
        <f>-IFERROR('4. NPV'!#REF!/'4. NPV'!CWM$8,0)</f>
        <v>0</v>
      </c>
      <c r="CWM54" s="5">
        <f>-IFERROR('4. NPV'!#REF!/'4. NPV'!CWN$8,0)</f>
        <v>0</v>
      </c>
      <c r="CWN54" s="5">
        <f>-IFERROR('4. NPV'!#REF!/'4. NPV'!CWO$8,0)</f>
        <v>0</v>
      </c>
      <c r="CWO54" s="5">
        <f>-IFERROR('4. NPV'!#REF!/'4. NPV'!CWP$8,0)</f>
        <v>0</v>
      </c>
      <c r="CWP54" s="5">
        <f>-IFERROR('4. NPV'!#REF!/'4. NPV'!CWQ$8,0)</f>
        <v>0</v>
      </c>
      <c r="CWQ54" s="5">
        <f>-IFERROR('4. NPV'!#REF!/'4. NPV'!CWR$8,0)</f>
        <v>0</v>
      </c>
      <c r="CWR54" s="5">
        <f>-IFERROR('4. NPV'!#REF!/'4. NPV'!CWS$8,0)</f>
        <v>0</v>
      </c>
      <c r="CWS54" s="5">
        <f>-IFERROR('4. NPV'!#REF!/'4. NPV'!CWT$8,0)</f>
        <v>0</v>
      </c>
      <c r="CWT54" s="5">
        <f>-IFERROR('4. NPV'!#REF!/'4. NPV'!CWU$8,0)</f>
        <v>0</v>
      </c>
      <c r="CWU54" s="5">
        <f>-IFERROR('4. NPV'!#REF!/'4. NPV'!CWV$8,0)</f>
        <v>0</v>
      </c>
      <c r="CWV54" s="5">
        <f>-IFERROR('4. NPV'!#REF!/'4. NPV'!CWW$8,0)</f>
        <v>0</v>
      </c>
      <c r="CWW54" s="5">
        <f>-IFERROR('4. NPV'!#REF!/'4. NPV'!CWX$8,0)</f>
        <v>0</v>
      </c>
      <c r="CWX54" s="5">
        <f>-IFERROR('4. NPV'!#REF!/'4. NPV'!CWY$8,0)</f>
        <v>0</v>
      </c>
      <c r="CWY54" s="5">
        <f>-IFERROR('4. NPV'!#REF!/'4. NPV'!CWZ$8,0)</f>
        <v>0</v>
      </c>
      <c r="CWZ54" s="5">
        <f>-IFERROR('4. NPV'!#REF!/'4. NPV'!CXA$8,0)</f>
        <v>0</v>
      </c>
      <c r="CXA54" s="5">
        <f>-IFERROR('4. NPV'!#REF!/'4. NPV'!CXB$8,0)</f>
        <v>0</v>
      </c>
      <c r="CXB54" s="5">
        <f>-IFERROR('4. NPV'!#REF!/'4. NPV'!CXC$8,0)</f>
        <v>0</v>
      </c>
      <c r="CXC54" s="5">
        <f>-IFERROR('4. NPV'!#REF!/'4. NPV'!CXD$8,0)</f>
        <v>0</v>
      </c>
      <c r="CXD54" s="5">
        <f>-IFERROR('4. NPV'!#REF!/'4. NPV'!CXE$8,0)</f>
        <v>0</v>
      </c>
      <c r="CXE54" s="5">
        <f>-IFERROR('4. NPV'!#REF!/'4. NPV'!CXF$8,0)</f>
        <v>0</v>
      </c>
      <c r="CXF54" s="5">
        <f>-IFERROR('4. NPV'!#REF!/'4. NPV'!CXG$8,0)</f>
        <v>0</v>
      </c>
      <c r="CXG54" s="5">
        <f>-IFERROR('4. NPV'!#REF!/'4. NPV'!CXH$8,0)</f>
        <v>0</v>
      </c>
      <c r="CXH54" s="5">
        <f>-IFERROR('4. NPV'!#REF!/'4. NPV'!CXI$8,0)</f>
        <v>0</v>
      </c>
      <c r="CXI54" s="5">
        <f>-IFERROR('4. NPV'!#REF!/'4. NPV'!CXJ$8,0)</f>
        <v>0</v>
      </c>
      <c r="CXJ54" s="5">
        <f>-IFERROR('4. NPV'!#REF!/'4. NPV'!CXK$8,0)</f>
        <v>0</v>
      </c>
      <c r="CXK54" s="5">
        <f>-IFERROR('4. NPV'!#REF!/'4. NPV'!CXL$8,0)</f>
        <v>0</v>
      </c>
      <c r="CXL54" s="5">
        <f>-IFERROR('4. NPV'!#REF!/'4. NPV'!CXM$8,0)</f>
        <v>0</v>
      </c>
      <c r="CXM54" s="5">
        <f>-IFERROR('4. NPV'!#REF!/'4. NPV'!CXN$8,0)</f>
        <v>0</v>
      </c>
      <c r="CXN54" s="5">
        <f>-IFERROR('4. NPV'!#REF!/'4. NPV'!CXO$8,0)</f>
        <v>0</v>
      </c>
      <c r="CXO54" s="5">
        <f>-IFERROR('4. NPV'!#REF!/'4. NPV'!CXP$8,0)</f>
        <v>0</v>
      </c>
      <c r="CXP54" s="5">
        <f>-IFERROR('4. NPV'!#REF!/'4. NPV'!CXQ$8,0)</f>
        <v>0</v>
      </c>
      <c r="CXQ54" s="5">
        <f>-IFERROR('4. NPV'!#REF!/'4. NPV'!CXR$8,0)</f>
        <v>0</v>
      </c>
      <c r="CXR54" s="5">
        <f>-IFERROR('4. NPV'!#REF!/'4. NPV'!CXS$8,0)</f>
        <v>0</v>
      </c>
      <c r="CXS54" s="5">
        <f>-IFERROR('4. NPV'!#REF!/'4. NPV'!CXT$8,0)</f>
        <v>0</v>
      </c>
      <c r="CXT54" s="5">
        <f>-IFERROR('4. NPV'!#REF!/'4. NPV'!CXU$8,0)</f>
        <v>0</v>
      </c>
      <c r="CXU54" s="5">
        <f>-IFERROR('4. NPV'!#REF!/'4. NPV'!CXV$8,0)</f>
        <v>0</v>
      </c>
      <c r="CXV54" s="5">
        <f>-IFERROR('4. NPV'!#REF!/'4. NPV'!CXW$8,0)</f>
        <v>0</v>
      </c>
      <c r="CXW54" s="5">
        <f>-IFERROR('4. NPV'!#REF!/'4. NPV'!CXX$8,0)</f>
        <v>0</v>
      </c>
      <c r="CXX54" s="5">
        <f>-IFERROR('4. NPV'!#REF!/'4. NPV'!CXY$8,0)</f>
        <v>0</v>
      </c>
      <c r="CXY54" s="5">
        <f>-IFERROR('4. NPV'!#REF!/'4. NPV'!CXZ$8,0)</f>
        <v>0</v>
      </c>
      <c r="CXZ54" s="5">
        <f>-IFERROR('4. NPV'!#REF!/'4. NPV'!CYA$8,0)</f>
        <v>0</v>
      </c>
      <c r="CYA54" s="5">
        <f>-IFERROR('4. NPV'!#REF!/'4. NPV'!CYB$8,0)</f>
        <v>0</v>
      </c>
      <c r="CYB54" s="5">
        <f>-IFERROR('4. NPV'!#REF!/'4. NPV'!CYC$8,0)</f>
        <v>0</v>
      </c>
      <c r="CYC54" s="5">
        <f>-IFERROR('4. NPV'!#REF!/'4. NPV'!CYD$8,0)</f>
        <v>0</v>
      </c>
      <c r="CYD54" s="5">
        <f>-IFERROR('4. NPV'!#REF!/'4. NPV'!CYE$8,0)</f>
        <v>0</v>
      </c>
      <c r="CYE54" s="5">
        <f>-IFERROR('4. NPV'!#REF!/'4. NPV'!CYF$8,0)</f>
        <v>0</v>
      </c>
      <c r="CYF54" s="5">
        <f>-IFERROR('4. NPV'!#REF!/'4. NPV'!CYG$8,0)</f>
        <v>0</v>
      </c>
      <c r="CYG54" s="5">
        <f>-IFERROR('4. NPV'!#REF!/'4. NPV'!CYH$8,0)</f>
        <v>0</v>
      </c>
      <c r="CYH54" s="5">
        <f>-IFERROR('4. NPV'!#REF!/'4. NPV'!CYI$8,0)</f>
        <v>0</v>
      </c>
      <c r="CYI54" s="5">
        <f>-IFERROR('4. NPV'!#REF!/'4. NPV'!CYJ$8,0)</f>
        <v>0</v>
      </c>
      <c r="CYJ54" s="5">
        <f>-IFERROR('4. NPV'!#REF!/'4. NPV'!CYK$8,0)</f>
        <v>0</v>
      </c>
      <c r="CYK54" s="5">
        <f>-IFERROR('4. NPV'!#REF!/'4. NPV'!CYL$8,0)</f>
        <v>0</v>
      </c>
      <c r="CYL54" s="5">
        <f>-IFERROR('4. NPV'!#REF!/'4. NPV'!CYM$8,0)</f>
        <v>0</v>
      </c>
      <c r="CYM54" s="5">
        <f>-IFERROR('4. NPV'!#REF!/'4. NPV'!CYN$8,0)</f>
        <v>0</v>
      </c>
      <c r="CYN54" s="5">
        <f>-IFERROR('4. NPV'!#REF!/'4. NPV'!CYO$8,0)</f>
        <v>0</v>
      </c>
      <c r="CYO54" s="5">
        <f>-IFERROR('4. NPV'!#REF!/'4. NPV'!CYP$8,0)</f>
        <v>0</v>
      </c>
      <c r="CYP54" s="5">
        <f>-IFERROR('4. NPV'!#REF!/'4. NPV'!CYQ$8,0)</f>
        <v>0</v>
      </c>
      <c r="CYQ54" s="5">
        <f>-IFERROR('4. NPV'!#REF!/'4. NPV'!CYR$8,0)</f>
        <v>0</v>
      </c>
      <c r="CYR54" s="5">
        <f>-IFERROR('4. NPV'!#REF!/'4. NPV'!CYS$8,0)</f>
        <v>0</v>
      </c>
      <c r="CYS54" s="5">
        <f>-IFERROR('4. NPV'!#REF!/'4. NPV'!CYT$8,0)</f>
        <v>0</v>
      </c>
      <c r="CYT54" s="5">
        <f>-IFERROR('4. NPV'!#REF!/'4. NPV'!CYU$8,0)</f>
        <v>0</v>
      </c>
      <c r="CYU54" s="5">
        <f>-IFERROR('4. NPV'!#REF!/'4. NPV'!CYV$8,0)</f>
        <v>0</v>
      </c>
      <c r="CYV54" s="5">
        <f>-IFERROR('4. NPV'!#REF!/'4. NPV'!CYW$8,0)</f>
        <v>0</v>
      </c>
      <c r="CYW54" s="5">
        <f>-IFERROR('4. NPV'!#REF!/'4. NPV'!CYX$8,0)</f>
        <v>0</v>
      </c>
      <c r="CYX54" s="5">
        <f>-IFERROR('4. NPV'!#REF!/'4. NPV'!CYY$8,0)</f>
        <v>0</v>
      </c>
      <c r="CYY54" s="5">
        <f>-IFERROR('4. NPV'!#REF!/'4. NPV'!CYZ$8,0)</f>
        <v>0</v>
      </c>
      <c r="CYZ54" s="5">
        <f>-IFERROR('4. NPV'!#REF!/'4. NPV'!CZA$8,0)</f>
        <v>0</v>
      </c>
      <c r="CZA54" s="5">
        <f>-IFERROR('4. NPV'!#REF!/'4. NPV'!CZB$8,0)</f>
        <v>0</v>
      </c>
      <c r="CZB54" s="5">
        <f>-IFERROR('4. NPV'!#REF!/'4. NPV'!CZC$8,0)</f>
        <v>0</v>
      </c>
      <c r="CZC54" s="5">
        <f>-IFERROR('4. NPV'!#REF!/'4. NPV'!CZD$8,0)</f>
        <v>0</v>
      </c>
      <c r="CZD54" s="5">
        <f>-IFERROR('4. NPV'!#REF!/'4. NPV'!CZE$8,0)</f>
        <v>0</v>
      </c>
      <c r="CZE54" s="5">
        <f>-IFERROR('4. NPV'!#REF!/'4. NPV'!CZF$8,0)</f>
        <v>0</v>
      </c>
      <c r="CZF54" s="5">
        <f>-IFERROR('4. NPV'!#REF!/'4. NPV'!CZG$8,0)</f>
        <v>0</v>
      </c>
      <c r="CZG54" s="5">
        <f>-IFERROR('4. NPV'!#REF!/'4. NPV'!CZH$8,0)</f>
        <v>0</v>
      </c>
      <c r="CZH54" s="5">
        <f>-IFERROR('4. NPV'!#REF!/'4. NPV'!CZI$8,0)</f>
        <v>0</v>
      </c>
      <c r="CZI54" s="5">
        <f>-IFERROR('4. NPV'!#REF!/'4. NPV'!CZJ$8,0)</f>
        <v>0</v>
      </c>
      <c r="CZJ54" s="5">
        <f>-IFERROR('4. NPV'!#REF!/'4. NPV'!CZK$8,0)</f>
        <v>0</v>
      </c>
      <c r="CZK54" s="5">
        <f>-IFERROR('4. NPV'!#REF!/'4. NPV'!CZL$8,0)</f>
        <v>0</v>
      </c>
      <c r="CZL54" s="5">
        <f>-IFERROR('4. NPV'!#REF!/'4. NPV'!CZM$8,0)</f>
        <v>0</v>
      </c>
      <c r="CZM54" s="5">
        <f>-IFERROR('4. NPV'!#REF!/'4. NPV'!CZN$8,0)</f>
        <v>0</v>
      </c>
      <c r="CZN54" s="5">
        <f>-IFERROR('4. NPV'!#REF!/'4. NPV'!CZO$8,0)</f>
        <v>0</v>
      </c>
      <c r="CZO54" s="5">
        <f>-IFERROR('4. NPV'!#REF!/'4. NPV'!CZP$8,0)</f>
        <v>0</v>
      </c>
      <c r="CZP54" s="5">
        <f>-IFERROR('4. NPV'!#REF!/'4. NPV'!CZQ$8,0)</f>
        <v>0</v>
      </c>
      <c r="CZQ54" s="5">
        <f>-IFERROR('4. NPV'!#REF!/'4. NPV'!CZR$8,0)</f>
        <v>0</v>
      </c>
      <c r="CZR54" s="5">
        <f>-IFERROR('4. NPV'!#REF!/'4. NPV'!CZS$8,0)</f>
        <v>0</v>
      </c>
      <c r="CZS54" s="5">
        <f>-IFERROR('4. NPV'!#REF!/'4. NPV'!CZT$8,0)</f>
        <v>0</v>
      </c>
      <c r="CZT54" s="5">
        <f>-IFERROR('4. NPV'!#REF!/'4. NPV'!CZU$8,0)</f>
        <v>0</v>
      </c>
      <c r="CZU54" s="5">
        <f>-IFERROR('4. NPV'!#REF!/'4. NPV'!CZV$8,0)</f>
        <v>0</v>
      </c>
      <c r="CZV54" s="5">
        <f>-IFERROR('4. NPV'!#REF!/'4. NPV'!CZW$8,0)</f>
        <v>0</v>
      </c>
      <c r="CZW54" s="5">
        <f>-IFERROR('4. NPV'!#REF!/'4. NPV'!CZX$8,0)</f>
        <v>0</v>
      </c>
      <c r="CZX54" s="5">
        <f>-IFERROR('4. NPV'!#REF!/'4. NPV'!CZY$8,0)</f>
        <v>0</v>
      </c>
      <c r="CZY54" s="5">
        <f>-IFERROR('4. NPV'!#REF!/'4. NPV'!CZZ$8,0)</f>
        <v>0</v>
      </c>
      <c r="CZZ54" s="5">
        <f>-IFERROR('4. NPV'!#REF!/'4. NPV'!DAA$8,0)</f>
        <v>0</v>
      </c>
      <c r="DAA54" s="5">
        <f>-IFERROR('4. NPV'!#REF!/'4. NPV'!DAB$8,0)</f>
        <v>0</v>
      </c>
      <c r="DAB54" s="5">
        <f>-IFERROR('4. NPV'!#REF!/'4. NPV'!DAC$8,0)</f>
        <v>0</v>
      </c>
      <c r="DAC54" s="5">
        <f>-IFERROR('4. NPV'!#REF!/'4. NPV'!DAD$8,0)</f>
        <v>0</v>
      </c>
      <c r="DAD54" s="5">
        <f>-IFERROR('4. NPV'!#REF!/'4. NPV'!DAE$8,0)</f>
        <v>0</v>
      </c>
      <c r="DAE54" s="5">
        <f>-IFERROR('4. NPV'!#REF!/'4. NPV'!DAF$8,0)</f>
        <v>0</v>
      </c>
      <c r="DAF54" s="5">
        <f>-IFERROR('4. NPV'!#REF!/'4. NPV'!DAG$8,0)</f>
        <v>0</v>
      </c>
      <c r="DAG54" s="5">
        <f>-IFERROR('4. NPV'!#REF!/'4. NPV'!DAH$8,0)</f>
        <v>0</v>
      </c>
      <c r="DAH54" s="5">
        <f>-IFERROR('4. NPV'!#REF!/'4. NPV'!DAI$8,0)</f>
        <v>0</v>
      </c>
      <c r="DAI54" s="5">
        <f>-IFERROR('4. NPV'!#REF!/'4. NPV'!DAJ$8,0)</f>
        <v>0</v>
      </c>
      <c r="DAJ54" s="5">
        <f>-IFERROR('4. NPV'!#REF!/'4. NPV'!DAK$8,0)</f>
        <v>0</v>
      </c>
      <c r="DAK54" s="5">
        <f>-IFERROR('4. NPV'!#REF!/'4. NPV'!DAL$8,0)</f>
        <v>0</v>
      </c>
      <c r="DAL54" s="5">
        <f>-IFERROR('4. NPV'!#REF!/'4. NPV'!DAM$8,0)</f>
        <v>0</v>
      </c>
      <c r="DAM54" s="5">
        <f>-IFERROR('4. NPV'!#REF!/'4. NPV'!DAN$8,0)</f>
        <v>0</v>
      </c>
      <c r="DAN54" s="5">
        <f>-IFERROR('4. NPV'!#REF!/'4. NPV'!DAO$8,0)</f>
        <v>0</v>
      </c>
      <c r="DAO54" s="5">
        <f>-IFERROR('4. NPV'!#REF!/'4. NPV'!DAP$8,0)</f>
        <v>0</v>
      </c>
      <c r="DAP54" s="5">
        <f>-IFERROR('4. NPV'!#REF!/'4. NPV'!DAQ$8,0)</f>
        <v>0</v>
      </c>
      <c r="DAQ54" s="5">
        <f>-IFERROR('4. NPV'!#REF!/'4. NPV'!DAR$8,0)</f>
        <v>0</v>
      </c>
      <c r="DAR54" s="5">
        <f>-IFERROR('4. NPV'!#REF!/'4. NPV'!DAS$8,0)</f>
        <v>0</v>
      </c>
      <c r="DAS54" s="5">
        <f>-IFERROR('4. NPV'!#REF!/'4. NPV'!DAT$8,0)</f>
        <v>0</v>
      </c>
      <c r="DAT54" s="5">
        <f>-IFERROR('4. NPV'!#REF!/'4. NPV'!DAU$8,0)</f>
        <v>0</v>
      </c>
      <c r="DAU54" s="5">
        <f>-IFERROR('4. NPV'!#REF!/'4. NPV'!DAV$8,0)</f>
        <v>0</v>
      </c>
      <c r="DAV54" s="5">
        <f>-IFERROR('4. NPV'!#REF!/'4. NPV'!DAW$8,0)</f>
        <v>0</v>
      </c>
      <c r="DAW54" s="5">
        <f>-IFERROR('4. NPV'!#REF!/'4. NPV'!DAX$8,0)</f>
        <v>0</v>
      </c>
      <c r="DAX54" s="5">
        <f>-IFERROR('4. NPV'!#REF!/'4. NPV'!DAY$8,0)</f>
        <v>0</v>
      </c>
      <c r="DAY54" s="5">
        <f>-IFERROR('4. NPV'!#REF!/'4. NPV'!DAZ$8,0)</f>
        <v>0</v>
      </c>
      <c r="DAZ54" s="5">
        <f>-IFERROR('4. NPV'!#REF!/'4. NPV'!DBA$8,0)</f>
        <v>0</v>
      </c>
      <c r="DBA54" s="5">
        <f>-IFERROR('4. NPV'!#REF!/'4. NPV'!DBB$8,0)</f>
        <v>0</v>
      </c>
      <c r="DBB54" s="5">
        <f>-IFERROR('4. NPV'!#REF!/'4. NPV'!DBC$8,0)</f>
        <v>0</v>
      </c>
      <c r="DBC54" s="5">
        <f>-IFERROR('4. NPV'!#REF!/'4. NPV'!DBD$8,0)</f>
        <v>0</v>
      </c>
      <c r="DBD54" s="5">
        <f>-IFERROR('4. NPV'!#REF!/'4. NPV'!DBE$8,0)</f>
        <v>0</v>
      </c>
      <c r="DBE54" s="5">
        <f>-IFERROR('4. NPV'!#REF!/'4. NPV'!DBF$8,0)</f>
        <v>0</v>
      </c>
      <c r="DBF54" s="5">
        <f>-IFERROR('4. NPV'!#REF!/'4. NPV'!DBG$8,0)</f>
        <v>0</v>
      </c>
      <c r="DBG54" s="5">
        <f>-IFERROR('4. NPV'!#REF!/'4. NPV'!DBH$8,0)</f>
        <v>0</v>
      </c>
      <c r="DBH54" s="5">
        <f>-IFERROR('4. NPV'!#REF!/'4. NPV'!DBI$8,0)</f>
        <v>0</v>
      </c>
      <c r="DBI54" s="5">
        <f>-IFERROR('4. NPV'!#REF!/'4. NPV'!DBJ$8,0)</f>
        <v>0</v>
      </c>
      <c r="DBJ54" s="5">
        <f>-IFERROR('4. NPV'!#REF!/'4. NPV'!DBK$8,0)</f>
        <v>0</v>
      </c>
      <c r="DBK54" s="5">
        <f>-IFERROR('4. NPV'!#REF!/'4. NPV'!DBL$8,0)</f>
        <v>0</v>
      </c>
      <c r="DBL54" s="5">
        <f>-IFERROR('4. NPV'!#REF!/'4. NPV'!DBM$8,0)</f>
        <v>0</v>
      </c>
      <c r="DBM54" s="5">
        <f>-IFERROR('4. NPV'!#REF!/'4. NPV'!DBN$8,0)</f>
        <v>0</v>
      </c>
      <c r="DBN54" s="5">
        <f>-IFERROR('4. NPV'!#REF!/'4. NPV'!DBO$8,0)</f>
        <v>0</v>
      </c>
      <c r="DBO54" s="5">
        <f>-IFERROR('4. NPV'!#REF!/'4. NPV'!DBP$8,0)</f>
        <v>0</v>
      </c>
      <c r="DBP54" s="5">
        <f>-IFERROR('4. NPV'!#REF!/'4. NPV'!DBQ$8,0)</f>
        <v>0</v>
      </c>
      <c r="DBQ54" s="5">
        <f>-IFERROR('4. NPV'!#REF!/'4. NPV'!DBR$8,0)</f>
        <v>0</v>
      </c>
      <c r="DBR54" s="5">
        <f>-IFERROR('4. NPV'!#REF!/'4. NPV'!DBS$8,0)</f>
        <v>0</v>
      </c>
      <c r="DBS54" s="5">
        <f>-IFERROR('4. NPV'!#REF!/'4. NPV'!DBT$8,0)</f>
        <v>0</v>
      </c>
      <c r="DBT54" s="5">
        <f>-IFERROR('4. NPV'!#REF!/'4. NPV'!DBU$8,0)</f>
        <v>0</v>
      </c>
      <c r="DBU54" s="5">
        <f>-IFERROR('4. NPV'!#REF!/'4. NPV'!DBV$8,0)</f>
        <v>0</v>
      </c>
      <c r="DBV54" s="5">
        <f>-IFERROR('4. NPV'!#REF!/'4. NPV'!DBW$8,0)</f>
        <v>0</v>
      </c>
      <c r="DBW54" s="5">
        <f>-IFERROR('4. NPV'!#REF!/'4. NPV'!DBX$8,0)</f>
        <v>0</v>
      </c>
      <c r="DBX54" s="5">
        <f>-IFERROR('4. NPV'!#REF!/'4. NPV'!DBY$8,0)</f>
        <v>0</v>
      </c>
      <c r="DBY54" s="5">
        <f>-IFERROR('4. NPV'!#REF!/'4. NPV'!DBZ$8,0)</f>
        <v>0</v>
      </c>
      <c r="DBZ54" s="5">
        <f>-IFERROR('4. NPV'!#REF!/'4. NPV'!DCA$8,0)</f>
        <v>0</v>
      </c>
      <c r="DCA54" s="5">
        <f>-IFERROR('4. NPV'!#REF!/'4. NPV'!DCB$8,0)</f>
        <v>0</v>
      </c>
      <c r="DCB54" s="5">
        <f>-IFERROR('4. NPV'!#REF!/'4. NPV'!DCC$8,0)</f>
        <v>0</v>
      </c>
      <c r="DCC54" s="5">
        <f>-IFERROR('4. NPV'!#REF!/'4. NPV'!DCD$8,0)</f>
        <v>0</v>
      </c>
      <c r="DCD54" s="5">
        <f>-IFERROR('4. NPV'!#REF!/'4. NPV'!DCE$8,0)</f>
        <v>0</v>
      </c>
      <c r="DCE54" s="5">
        <f>-IFERROR('4. NPV'!#REF!/'4. NPV'!DCF$8,0)</f>
        <v>0</v>
      </c>
      <c r="DCF54" s="5">
        <f>-IFERROR('4. NPV'!#REF!/'4. NPV'!DCG$8,0)</f>
        <v>0</v>
      </c>
      <c r="DCG54" s="5">
        <f>-IFERROR('4. NPV'!#REF!/'4. NPV'!DCH$8,0)</f>
        <v>0</v>
      </c>
      <c r="DCH54" s="5">
        <f>-IFERROR('4. NPV'!#REF!/'4. NPV'!DCI$8,0)</f>
        <v>0</v>
      </c>
      <c r="DCI54" s="5">
        <f>-IFERROR('4. NPV'!#REF!/'4. NPV'!DCJ$8,0)</f>
        <v>0</v>
      </c>
      <c r="DCJ54" s="5">
        <f>-IFERROR('4. NPV'!#REF!/'4. NPV'!DCK$8,0)</f>
        <v>0</v>
      </c>
      <c r="DCK54" s="5">
        <f>-IFERROR('4. NPV'!#REF!/'4. NPV'!DCL$8,0)</f>
        <v>0</v>
      </c>
      <c r="DCL54" s="5">
        <f>-IFERROR('4. NPV'!#REF!/'4. NPV'!DCM$8,0)</f>
        <v>0</v>
      </c>
      <c r="DCM54" s="5">
        <f>-IFERROR('4. NPV'!#REF!/'4. NPV'!DCN$8,0)</f>
        <v>0</v>
      </c>
      <c r="DCN54" s="5">
        <f>-IFERROR('4. NPV'!#REF!/'4. NPV'!DCO$8,0)</f>
        <v>0</v>
      </c>
      <c r="DCO54" s="5">
        <f>-IFERROR('4. NPV'!#REF!/'4. NPV'!DCP$8,0)</f>
        <v>0</v>
      </c>
      <c r="DCP54" s="5">
        <f>-IFERROR('4. NPV'!#REF!/'4. NPV'!DCQ$8,0)</f>
        <v>0</v>
      </c>
      <c r="DCQ54" s="5">
        <f>-IFERROR('4. NPV'!#REF!/'4. NPV'!DCR$8,0)</f>
        <v>0</v>
      </c>
      <c r="DCR54" s="5">
        <f>-IFERROR('4. NPV'!#REF!/'4. NPV'!DCS$8,0)</f>
        <v>0</v>
      </c>
      <c r="DCS54" s="5">
        <f>-IFERROR('4. NPV'!#REF!/'4. NPV'!DCT$8,0)</f>
        <v>0</v>
      </c>
      <c r="DCT54" s="5">
        <f>-IFERROR('4. NPV'!#REF!/'4. NPV'!DCU$8,0)</f>
        <v>0</v>
      </c>
      <c r="DCU54" s="5">
        <f>-IFERROR('4. NPV'!#REF!/'4. NPV'!DCV$8,0)</f>
        <v>0</v>
      </c>
      <c r="DCV54" s="5">
        <f>-IFERROR('4. NPV'!#REF!/'4. NPV'!DCW$8,0)</f>
        <v>0</v>
      </c>
      <c r="DCW54" s="5">
        <f>-IFERROR('4. NPV'!#REF!/'4. NPV'!DCX$8,0)</f>
        <v>0</v>
      </c>
      <c r="DCX54" s="5">
        <f>-IFERROR('4. NPV'!#REF!/'4. NPV'!DCY$8,0)</f>
        <v>0</v>
      </c>
      <c r="DCY54" s="5">
        <f>-IFERROR('4. NPV'!#REF!/'4. NPV'!DCZ$8,0)</f>
        <v>0</v>
      </c>
      <c r="DCZ54" s="5">
        <f>-IFERROR('4. NPV'!#REF!/'4. NPV'!DDA$8,0)</f>
        <v>0</v>
      </c>
      <c r="DDA54" s="5">
        <f>-IFERROR('4. NPV'!#REF!/'4. NPV'!DDB$8,0)</f>
        <v>0</v>
      </c>
      <c r="DDB54" s="5">
        <f>-IFERROR('4. NPV'!#REF!/'4. NPV'!DDC$8,0)</f>
        <v>0</v>
      </c>
      <c r="DDC54" s="5">
        <f>-IFERROR('4. NPV'!#REF!/'4. NPV'!DDD$8,0)</f>
        <v>0</v>
      </c>
      <c r="DDD54" s="5">
        <f>-IFERROR('4. NPV'!#REF!/'4. NPV'!DDE$8,0)</f>
        <v>0</v>
      </c>
      <c r="DDE54" s="5">
        <f>-IFERROR('4. NPV'!#REF!/'4. NPV'!DDF$8,0)</f>
        <v>0</v>
      </c>
      <c r="DDF54" s="5">
        <f>-IFERROR('4. NPV'!#REF!/'4. NPV'!DDG$8,0)</f>
        <v>0</v>
      </c>
      <c r="DDG54" s="5">
        <f>-IFERROR('4. NPV'!#REF!/'4. NPV'!DDH$8,0)</f>
        <v>0</v>
      </c>
      <c r="DDH54" s="5">
        <f>-IFERROR('4. NPV'!#REF!/'4. NPV'!DDI$8,0)</f>
        <v>0</v>
      </c>
      <c r="DDI54" s="5">
        <f>-IFERROR('4. NPV'!#REF!/'4. NPV'!DDJ$8,0)</f>
        <v>0</v>
      </c>
      <c r="DDJ54" s="5">
        <f>-IFERROR('4. NPV'!#REF!/'4. NPV'!DDK$8,0)</f>
        <v>0</v>
      </c>
      <c r="DDK54" s="5">
        <f>-IFERROR('4. NPV'!#REF!/'4. NPV'!DDL$8,0)</f>
        <v>0</v>
      </c>
      <c r="DDL54" s="5">
        <f>-IFERROR('4. NPV'!#REF!/'4. NPV'!DDM$8,0)</f>
        <v>0</v>
      </c>
      <c r="DDM54" s="5">
        <f>-IFERROR('4. NPV'!#REF!/'4. NPV'!DDN$8,0)</f>
        <v>0</v>
      </c>
      <c r="DDN54" s="5">
        <f>-IFERROR('4. NPV'!#REF!/'4. NPV'!DDO$8,0)</f>
        <v>0</v>
      </c>
      <c r="DDO54" s="5">
        <f>-IFERROR('4. NPV'!#REF!/'4. NPV'!DDP$8,0)</f>
        <v>0</v>
      </c>
      <c r="DDP54" s="5">
        <f>-IFERROR('4. NPV'!#REF!/'4. NPV'!DDQ$8,0)</f>
        <v>0</v>
      </c>
      <c r="DDQ54" s="5">
        <f>-IFERROR('4. NPV'!#REF!/'4. NPV'!DDR$8,0)</f>
        <v>0</v>
      </c>
      <c r="DDR54" s="5">
        <f>-IFERROR('4. NPV'!#REF!/'4. NPV'!DDS$8,0)</f>
        <v>0</v>
      </c>
      <c r="DDS54" s="5">
        <f>-IFERROR('4. NPV'!#REF!/'4. NPV'!DDT$8,0)</f>
        <v>0</v>
      </c>
      <c r="DDT54" s="5">
        <f>-IFERROR('4. NPV'!#REF!/'4. NPV'!DDU$8,0)</f>
        <v>0</v>
      </c>
      <c r="DDU54" s="5">
        <f>-IFERROR('4. NPV'!#REF!/'4. NPV'!DDV$8,0)</f>
        <v>0</v>
      </c>
      <c r="DDV54" s="5">
        <f>-IFERROR('4. NPV'!#REF!/'4. NPV'!DDW$8,0)</f>
        <v>0</v>
      </c>
      <c r="DDW54" s="5">
        <f>-IFERROR('4. NPV'!#REF!/'4. NPV'!DDX$8,0)</f>
        <v>0</v>
      </c>
      <c r="DDX54" s="5">
        <f>-IFERROR('4. NPV'!#REF!/'4. NPV'!DDY$8,0)</f>
        <v>0</v>
      </c>
      <c r="DDY54" s="5">
        <f>-IFERROR('4. NPV'!#REF!/'4. NPV'!DDZ$8,0)</f>
        <v>0</v>
      </c>
      <c r="DDZ54" s="5">
        <f>-IFERROR('4. NPV'!#REF!/'4. NPV'!DEA$8,0)</f>
        <v>0</v>
      </c>
      <c r="DEA54" s="5">
        <f>-IFERROR('4. NPV'!#REF!/'4. NPV'!DEB$8,0)</f>
        <v>0</v>
      </c>
      <c r="DEB54" s="5">
        <f>-IFERROR('4. NPV'!#REF!/'4. NPV'!DEC$8,0)</f>
        <v>0</v>
      </c>
      <c r="DEC54" s="5">
        <f>-IFERROR('4. NPV'!#REF!/'4. NPV'!DED$8,0)</f>
        <v>0</v>
      </c>
      <c r="DED54" s="5">
        <f>-IFERROR('4. NPV'!#REF!/'4. NPV'!DEE$8,0)</f>
        <v>0</v>
      </c>
      <c r="DEE54" s="5">
        <f>-IFERROR('4. NPV'!#REF!/'4. NPV'!DEF$8,0)</f>
        <v>0</v>
      </c>
      <c r="DEF54" s="5">
        <f>-IFERROR('4. NPV'!#REF!/'4. NPV'!DEG$8,0)</f>
        <v>0</v>
      </c>
      <c r="DEG54" s="5">
        <f>-IFERROR('4. NPV'!#REF!/'4. NPV'!DEH$8,0)</f>
        <v>0</v>
      </c>
      <c r="DEH54" s="5">
        <f>-IFERROR('4. NPV'!#REF!/'4. NPV'!DEI$8,0)</f>
        <v>0</v>
      </c>
      <c r="DEI54" s="5">
        <f>-IFERROR('4. NPV'!#REF!/'4. NPV'!DEJ$8,0)</f>
        <v>0</v>
      </c>
      <c r="DEJ54" s="5">
        <f>-IFERROR('4. NPV'!#REF!/'4. NPV'!DEK$8,0)</f>
        <v>0</v>
      </c>
      <c r="DEK54" s="5">
        <f>-IFERROR('4. NPV'!#REF!/'4. NPV'!DEL$8,0)</f>
        <v>0</v>
      </c>
      <c r="DEL54" s="5">
        <f>-IFERROR('4. NPV'!#REF!/'4. NPV'!DEM$8,0)</f>
        <v>0</v>
      </c>
      <c r="DEM54" s="5">
        <f>-IFERROR('4. NPV'!#REF!/'4. NPV'!DEN$8,0)</f>
        <v>0</v>
      </c>
      <c r="DEN54" s="5">
        <f>-IFERROR('4. NPV'!#REF!/'4. NPV'!DEO$8,0)</f>
        <v>0</v>
      </c>
      <c r="DEO54" s="5">
        <f>-IFERROR('4. NPV'!#REF!/'4. NPV'!DEP$8,0)</f>
        <v>0</v>
      </c>
      <c r="DEP54" s="5">
        <f>-IFERROR('4. NPV'!#REF!/'4. NPV'!DEQ$8,0)</f>
        <v>0</v>
      </c>
      <c r="DEQ54" s="5">
        <f>-IFERROR('4. NPV'!#REF!/'4. NPV'!DER$8,0)</f>
        <v>0</v>
      </c>
      <c r="DER54" s="5">
        <f>-IFERROR('4. NPV'!#REF!/'4. NPV'!DES$8,0)</f>
        <v>0</v>
      </c>
      <c r="DES54" s="5">
        <f>-IFERROR('4. NPV'!#REF!/'4. NPV'!DET$8,0)</f>
        <v>0</v>
      </c>
      <c r="DET54" s="5">
        <f>-IFERROR('4. NPV'!#REF!/'4. NPV'!DEU$8,0)</f>
        <v>0</v>
      </c>
      <c r="DEU54" s="5">
        <f>-IFERROR('4. NPV'!#REF!/'4. NPV'!DEV$8,0)</f>
        <v>0</v>
      </c>
      <c r="DEV54" s="5">
        <f>-IFERROR('4. NPV'!#REF!/'4. NPV'!DEW$8,0)</f>
        <v>0</v>
      </c>
      <c r="DEW54" s="5">
        <f>-IFERROR('4. NPV'!#REF!/'4. NPV'!DEX$8,0)</f>
        <v>0</v>
      </c>
      <c r="DEX54" s="5">
        <f>-IFERROR('4. NPV'!#REF!/'4. NPV'!DEY$8,0)</f>
        <v>0</v>
      </c>
      <c r="DEY54" s="5">
        <f>-IFERROR('4. NPV'!#REF!/'4. NPV'!DEZ$8,0)</f>
        <v>0</v>
      </c>
      <c r="DEZ54" s="5">
        <f>-IFERROR('4. NPV'!#REF!/'4. NPV'!DFA$8,0)</f>
        <v>0</v>
      </c>
      <c r="DFA54" s="5">
        <f>-IFERROR('4. NPV'!#REF!/'4. NPV'!DFB$8,0)</f>
        <v>0</v>
      </c>
      <c r="DFB54" s="5">
        <f>-IFERROR('4. NPV'!#REF!/'4. NPV'!DFC$8,0)</f>
        <v>0</v>
      </c>
      <c r="DFC54" s="5">
        <f>-IFERROR('4. NPV'!#REF!/'4. NPV'!DFD$8,0)</f>
        <v>0</v>
      </c>
      <c r="DFD54" s="5">
        <f>-IFERROR('4. NPV'!#REF!/'4. NPV'!DFE$8,0)</f>
        <v>0</v>
      </c>
      <c r="DFE54" s="5">
        <f>-IFERROR('4. NPV'!#REF!/'4. NPV'!DFF$8,0)</f>
        <v>0</v>
      </c>
      <c r="DFF54" s="5">
        <f>-IFERROR('4. NPV'!#REF!/'4. NPV'!DFG$8,0)</f>
        <v>0</v>
      </c>
      <c r="DFG54" s="5">
        <f>-IFERROR('4. NPV'!#REF!/'4. NPV'!DFH$8,0)</f>
        <v>0</v>
      </c>
      <c r="DFH54" s="5">
        <f>-IFERROR('4. NPV'!#REF!/'4. NPV'!DFI$8,0)</f>
        <v>0</v>
      </c>
      <c r="DFI54" s="5">
        <f>-IFERROR('4. NPV'!#REF!/'4. NPV'!DFJ$8,0)</f>
        <v>0</v>
      </c>
      <c r="DFJ54" s="5">
        <f>-IFERROR('4. NPV'!#REF!/'4. NPV'!DFK$8,0)</f>
        <v>0</v>
      </c>
      <c r="DFK54" s="5">
        <f>-IFERROR('4. NPV'!#REF!/'4. NPV'!DFL$8,0)</f>
        <v>0</v>
      </c>
      <c r="DFL54" s="5">
        <f>-IFERROR('4. NPV'!#REF!/'4. NPV'!DFM$8,0)</f>
        <v>0</v>
      </c>
      <c r="DFM54" s="5">
        <f>-IFERROR('4. NPV'!#REF!/'4. NPV'!DFN$8,0)</f>
        <v>0</v>
      </c>
      <c r="DFN54" s="5">
        <f>-IFERROR('4. NPV'!#REF!/'4. NPV'!DFO$8,0)</f>
        <v>0</v>
      </c>
      <c r="DFO54" s="5">
        <f>-IFERROR('4. NPV'!#REF!/'4. NPV'!DFP$8,0)</f>
        <v>0</v>
      </c>
      <c r="DFP54" s="5">
        <f>-IFERROR('4. NPV'!#REF!/'4. NPV'!DFQ$8,0)</f>
        <v>0</v>
      </c>
      <c r="DFQ54" s="5">
        <f>-IFERROR('4. NPV'!#REF!/'4. NPV'!DFR$8,0)</f>
        <v>0</v>
      </c>
      <c r="DFR54" s="5">
        <f>-IFERROR('4. NPV'!#REF!/'4. NPV'!DFS$8,0)</f>
        <v>0</v>
      </c>
      <c r="DFS54" s="5">
        <f>-IFERROR('4. NPV'!#REF!/'4. NPV'!DFT$8,0)</f>
        <v>0</v>
      </c>
      <c r="DFT54" s="5">
        <f>-IFERROR('4. NPV'!#REF!/'4. NPV'!DFU$8,0)</f>
        <v>0</v>
      </c>
      <c r="DFU54" s="5">
        <f>-IFERROR('4. NPV'!#REF!/'4. NPV'!DFV$8,0)</f>
        <v>0</v>
      </c>
      <c r="DFV54" s="5">
        <f>-IFERROR('4. NPV'!#REF!/'4. NPV'!DFW$8,0)</f>
        <v>0</v>
      </c>
      <c r="DFW54" s="5">
        <f>-IFERROR('4. NPV'!#REF!/'4. NPV'!DFX$8,0)</f>
        <v>0</v>
      </c>
      <c r="DFX54" s="5">
        <f>-IFERROR('4. NPV'!#REF!/'4. NPV'!DFY$8,0)</f>
        <v>0</v>
      </c>
      <c r="DFY54" s="5">
        <f>-IFERROR('4. NPV'!#REF!/'4. NPV'!DFZ$8,0)</f>
        <v>0</v>
      </c>
      <c r="DFZ54" s="5">
        <f>-IFERROR('4. NPV'!#REF!/'4. NPV'!DGA$8,0)</f>
        <v>0</v>
      </c>
      <c r="DGA54" s="5">
        <f>-IFERROR('4. NPV'!#REF!/'4. NPV'!DGB$8,0)</f>
        <v>0</v>
      </c>
      <c r="DGB54" s="5">
        <f>-IFERROR('4. NPV'!#REF!/'4. NPV'!DGC$8,0)</f>
        <v>0</v>
      </c>
      <c r="DGC54" s="5">
        <f>-IFERROR('4. NPV'!#REF!/'4. NPV'!DGD$8,0)</f>
        <v>0</v>
      </c>
      <c r="DGD54" s="5">
        <f>-IFERROR('4. NPV'!#REF!/'4. NPV'!DGE$8,0)</f>
        <v>0</v>
      </c>
      <c r="DGE54" s="5">
        <f>-IFERROR('4. NPV'!#REF!/'4. NPV'!DGF$8,0)</f>
        <v>0</v>
      </c>
      <c r="DGF54" s="5">
        <f>-IFERROR('4. NPV'!#REF!/'4. NPV'!DGG$8,0)</f>
        <v>0</v>
      </c>
      <c r="DGG54" s="5">
        <f>-IFERROR('4. NPV'!#REF!/'4. NPV'!DGH$8,0)</f>
        <v>0</v>
      </c>
      <c r="DGH54" s="5">
        <f>-IFERROR('4. NPV'!#REF!/'4. NPV'!DGI$8,0)</f>
        <v>0</v>
      </c>
      <c r="DGI54" s="5">
        <f>-IFERROR('4. NPV'!#REF!/'4. NPV'!DGJ$8,0)</f>
        <v>0</v>
      </c>
      <c r="DGJ54" s="5">
        <f>-IFERROR('4. NPV'!#REF!/'4. NPV'!DGK$8,0)</f>
        <v>0</v>
      </c>
      <c r="DGK54" s="5">
        <f>-IFERROR('4. NPV'!#REF!/'4. NPV'!DGL$8,0)</f>
        <v>0</v>
      </c>
      <c r="DGL54" s="5">
        <f>-IFERROR('4. NPV'!#REF!/'4. NPV'!DGM$8,0)</f>
        <v>0</v>
      </c>
      <c r="DGM54" s="5">
        <f>-IFERROR('4. NPV'!#REF!/'4. NPV'!DGN$8,0)</f>
        <v>0</v>
      </c>
      <c r="DGN54" s="5">
        <f>-IFERROR('4. NPV'!#REF!/'4. NPV'!DGO$8,0)</f>
        <v>0</v>
      </c>
      <c r="DGO54" s="5">
        <f>-IFERROR('4. NPV'!#REF!/'4. NPV'!DGP$8,0)</f>
        <v>0</v>
      </c>
      <c r="DGP54" s="5">
        <f>-IFERROR('4. NPV'!#REF!/'4. NPV'!DGQ$8,0)</f>
        <v>0</v>
      </c>
      <c r="DGQ54" s="5">
        <f>-IFERROR('4. NPV'!#REF!/'4. NPV'!DGR$8,0)</f>
        <v>0</v>
      </c>
      <c r="DGR54" s="5">
        <f>-IFERROR('4. NPV'!#REF!/'4. NPV'!DGS$8,0)</f>
        <v>0</v>
      </c>
      <c r="DGS54" s="5">
        <f>-IFERROR('4. NPV'!#REF!/'4. NPV'!DGT$8,0)</f>
        <v>0</v>
      </c>
      <c r="DGT54" s="5">
        <f>-IFERROR('4. NPV'!#REF!/'4. NPV'!DGU$8,0)</f>
        <v>0</v>
      </c>
      <c r="DGU54" s="5">
        <f>-IFERROR('4. NPV'!#REF!/'4. NPV'!DGV$8,0)</f>
        <v>0</v>
      </c>
      <c r="DGV54" s="5">
        <f>-IFERROR('4. NPV'!#REF!/'4. NPV'!DGW$8,0)</f>
        <v>0</v>
      </c>
      <c r="DGW54" s="5">
        <f>-IFERROR('4. NPV'!#REF!/'4. NPV'!DGX$8,0)</f>
        <v>0</v>
      </c>
      <c r="DGX54" s="5">
        <f>-IFERROR('4. NPV'!#REF!/'4. NPV'!DGY$8,0)</f>
        <v>0</v>
      </c>
      <c r="DGY54" s="5">
        <f>-IFERROR('4. NPV'!#REF!/'4. NPV'!DGZ$8,0)</f>
        <v>0</v>
      </c>
      <c r="DGZ54" s="5">
        <f>-IFERROR('4. NPV'!#REF!/'4. NPV'!DHA$8,0)</f>
        <v>0</v>
      </c>
      <c r="DHA54" s="5">
        <f>-IFERROR('4. NPV'!#REF!/'4. NPV'!DHB$8,0)</f>
        <v>0</v>
      </c>
      <c r="DHB54" s="5">
        <f>-IFERROR('4. NPV'!#REF!/'4. NPV'!DHC$8,0)</f>
        <v>0</v>
      </c>
      <c r="DHC54" s="5">
        <f>-IFERROR('4. NPV'!#REF!/'4. NPV'!DHD$8,0)</f>
        <v>0</v>
      </c>
      <c r="DHD54" s="5">
        <f>-IFERROR('4. NPV'!#REF!/'4. NPV'!DHE$8,0)</f>
        <v>0</v>
      </c>
      <c r="DHE54" s="5">
        <f>-IFERROR('4. NPV'!#REF!/'4. NPV'!DHF$8,0)</f>
        <v>0</v>
      </c>
      <c r="DHF54" s="5">
        <f>-IFERROR('4. NPV'!#REF!/'4. NPV'!DHG$8,0)</f>
        <v>0</v>
      </c>
      <c r="DHG54" s="5">
        <f>-IFERROR('4. NPV'!#REF!/'4. NPV'!DHH$8,0)</f>
        <v>0</v>
      </c>
      <c r="DHH54" s="5">
        <f>-IFERROR('4. NPV'!#REF!/'4. NPV'!DHI$8,0)</f>
        <v>0</v>
      </c>
      <c r="DHI54" s="5">
        <f>-IFERROR('4. NPV'!#REF!/'4. NPV'!DHJ$8,0)</f>
        <v>0</v>
      </c>
      <c r="DHJ54" s="5">
        <f>-IFERROR('4. NPV'!#REF!/'4. NPV'!DHK$8,0)</f>
        <v>0</v>
      </c>
      <c r="DHK54" s="5">
        <f>-IFERROR('4. NPV'!#REF!/'4. NPV'!DHL$8,0)</f>
        <v>0</v>
      </c>
      <c r="DHL54" s="5">
        <f>-IFERROR('4. NPV'!#REF!/'4. NPV'!DHM$8,0)</f>
        <v>0</v>
      </c>
      <c r="DHM54" s="5">
        <f>-IFERROR('4. NPV'!#REF!/'4. NPV'!DHN$8,0)</f>
        <v>0</v>
      </c>
      <c r="DHN54" s="5">
        <f>-IFERROR('4. NPV'!#REF!/'4. NPV'!DHO$8,0)</f>
        <v>0</v>
      </c>
      <c r="DHO54" s="5">
        <f>-IFERROR('4. NPV'!#REF!/'4. NPV'!DHP$8,0)</f>
        <v>0</v>
      </c>
      <c r="DHP54" s="5">
        <f>-IFERROR('4. NPV'!#REF!/'4. NPV'!DHQ$8,0)</f>
        <v>0</v>
      </c>
      <c r="DHQ54" s="5">
        <f>-IFERROR('4. NPV'!#REF!/'4. NPV'!DHR$8,0)</f>
        <v>0</v>
      </c>
      <c r="DHR54" s="5">
        <f>-IFERROR('4. NPV'!#REF!/'4. NPV'!DHS$8,0)</f>
        <v>0</v>
      </c>
      <c r="DHS54" s="5">
        <f>-IFERROR('4. NPV'!#REF!/'4. NPV'!DHT$8,0)</f>
        <v>0</v>
      </c>
      <c r="DHT54" s="5">
        <f>-IFERROR('4. NPV'!#REF!/'4. NPV'!DHU$8,0)</f>
        <v>0</v>
      </c>
      <c r="DHU54" s="5">
        <f>-IFERROR('4. NPV'!#REF!/'4. NPV'!DHV$8,0)</f>
        <v>0</v>
      </c>
      <c r="DHV54" s="5">
        <f>-IFERROR('4. NPV'!#REF!/'4. NPV'!DHW$8,0)</f>
        <v>0</v>
      </c>
      <c r="DHW54" s="5">
        <f>-IFERROR('4. NPV'!#REF!/'4. NPV'!DHX$8,0)</f>
        <v>0</v>
      </c>
      <c r="DHX54" s="5">
        <f>-IFERROR('4. NPV'!#REF!/'4. NPV'!DHY$8,0)</f>
        <v>0</v>
      </c>
      <c r="DHY54" s="5">
        <f>-IFERROR('4. NPV'!#REF!/'4. NPV'!DHZ$8,0)</f>
        <v>0</v>
      </c>
      <c r="DHZ54" s="5">
        <f>-IFERROR('4. NPV'!#REF!/'4. NPV'!DIA$8,0)</f>
        <v>0</v>
      </c>
      <c r="DIA54" s="5">
        <f>-IFERROR('4. NPV'!#REF!/'4. NPV'!DIB$8,0)</f>
        <v>0</v>
      </c>
      <c r="DIB54" s="5">
        <f>-IFERROR('4. NPV'!#REF!/'4. NPV'!DIC$8,0)</f>
        <v>0</v>
      </c>
      <c r="DIC54" s="5">
        <f>-IFERROR('4. NPV'!#REF!/'4. NPV'!DID$8,0)</f>
        <v>0</v>
      </c>
      <c r="DID54" s="5">
        <f>-IFERROR('4. NPV'!#REF!/'4. NPV'!DIE$8,0)</f>
        <v>0</v>
      </c>
      <c r="DIE54" s="5">
        <f>-IFERROR('4. NPV'!#REF!/'4. NPV'!DIF$8,0)</f>
        <v>0</v>
      </c>
      <c r="DIF54" s="5">
        <f>-IFERROR('4. NPV'!#REF!/'4. NPV'!DIG$8,0)</f>
        <v>0</v>
      </c>
      <c r="DIG54" s="5">
        <f>-IFERROR('4. NPV'!#REF!/'4. NPV'!DIH$8,0)</f>
        <v>0</v>
      </c>
      <c r="DIH54" s="5">
        <f>-IFERROR('4. NPV'!#REF!/'4. NPV'!DII$8,0)</f>
        <v>0</v>
      </c>
      <c r="DII54" s="5">
        <f>-IFERROR('4. NPV'!#REF!/'4. NPV'!DIJ$8,0)</f>
        <v>0</v>
      </c>
      <c r="DIJ54" s="5">
        <f>-IFERROR('4. NPV'!#REF!/'4. NPV'!DIK$8,0)</f>
        <v>0</v>
      </c>
      <c r="DIK54" s="5">
        <f>-IFERROR('4. NPV'!#REF!/'4. NPV'!DIL$8,0)</f>
        <v>0</v>
      </c>
      <c r="DIL54" s="5">
        <f>-IFERROR('4. NPV'!#REF!/'4. NPV'!DIM$8,0)</f>
        <v>0</v>
      </c>
      <c r="DIM54" s="5">
        <f>-IFERROR('4. NPV'!#REF!/'4. NPV'!DIN$8,0)</f>
        <v>0</v>
      </c>
      <c r="DIN54" s="5">
        <f>-IFERROR('4. NPV'!#REF!/'4. NPV'!DIO$8,0)</f>
        <v>0</v>
      </c>
      <c r="DIO54" s="5">
        <f>-IFERROR('4. NPV'!#REF!/'4. NPV'!DIP$8,0)</f>
        <v>0</v>
      </c>
      <c r="DIP54" s="5">
        <f>-IFERROR('4. NPV'!#REF!/'4. NPV'!DIQ$8,0)</f>
        <v>0</v>
      </c>
      <c r="DIQ54" s="5">
        <f>-IFERROR('4. NPV'!#REF!/'4. NPV'!DIR$8,0)</f>
        <v>0</v>
      </c>
      <c r="DIR54" s="5">
        <f>-IFERROR('4. NPV'!#REF!/'4. NPV'!DIS$8,0)</f>
        <v>0</v>
      </c>
      <c r="DIS54" s="5">
        <f>-IFERROR('4. NPV'!#REF!/'4. NPV'!DIT$8,0)</f>
        <v>0</v>
      </c>
      <c r="DIT54" s="5">
        <f>-IFERROR('4. NPV'!#REF!/'4. NPV'!DIU$8,0)</f>
        <v>0</v>
      </c>
      <c r="DIU54" s="5">
        <f>-IFERROR('4. NPV'!#REF!/'4. NPV'!DIV$8,0)</f>
        <v>0</v>
      </c>
      <c r="DIV54" s="5">
        <f>-IFERROR('4. NPV'!#REF!/'4. NPV'!DIW$8,0)</f>
        <v>0</v>
      </c>
      <c r="DIW54" s="5">
        <f>-IFERROR('4. NPV'!#REF!/'4. NPV'!DIX$8,0)</f>
        <v>0</v>
      </c>
      <c r="DIX54" s="5">
        <f>-IFERROR('4. NPV'!#REF!/'4. NPV'!DIY$8,0)</f>
        <v>0</v>
      </c>
      <c r="DIY54" s="5">
        <f>-IFERROR('4. NPV'!#REF!/'4. NPV'!DIZ$8,0)</f>
        <v>0</v>
      </c>
      <c r="DIZ54" s="5">
        <f>-IFERROR('4. NPV'!#REF!/'4. NPV'!DJA$8,0)</f>
        <v>0</v>
      </c>
      <c r="DJA54" s="5">
        <f>-IFERROR('4. NPV'!#REF!/'4. NPV'!DJB$8,0)</f>
        <v>0</v>
      </c>
      <c r="DJB54" s="5">
        <f>-IFERROR('4. NPV'!#REF!/'4. NPV'!DJC$8,0)</f>
        <v>0</v>
      </c>
      <c r="DJC54" s="5">
        <f>-IFERROR('4. NPV'!#REF!/'4. NPV'!DJD$8,0)</f>
        <v>0</v>
      </c>
      <c r="DJD54" s="5">
        <f>-IFERROR('4. NPV'!#REF!/'4. NPV'!DJE$8,0)</f>
        <v>0</v>
      </c>
      <c r="DJE54" s="5">
        <f>-IFERROR('4. NPV'!#REF!/'4. NPV'!DJF$8,0)</f>
        <v>0</v>
      </c>
      <c r="DJF54" s="5">
        <f>-IFERROR('4. NPV'!#REF!/'4. NPV'!DJG$8,0)</f>
        <v>0</v>
      </c>
      <c r="DJG54" s="5">
        <f>-IFERROR('4. NPV'!#REF!/'4. NPV'!DJH$8,0)</f>
        <v>0</v>
      </c>
      <c r="DJH54" s="5">
        <f>-IFERROR('4. NPV'!#REF!/'4. NPV'!DJI$8,0)</f>
        <v>0</v>
      </c>
      <c r="DJI54" s="5">
        <f>-IFERROR('4. NPV'!#REF!/'4. NPV'!DJJ$8,0)</f>
        <v>0</v>
      </c>
      <c r="DJJ54" s="5">
        <f>-IFERROR('4. NPV'!#REF!/'4. NPV'!DJK$8,0)</f>
        <v>0</v>
      </c>
      <c r="DJK54" s="5">
        <f>-IFERROR('4. NPV'!#REF!/'4. NPV'!DJL$8,0)</f>
        <v>0</v>
      </c>
      <c r="DJL54" s="5">
        <f>-IFERROR('4. NPV'!#REF!/'4. NPV'!DJM$8,0)</f>
        <v>0</v>
      </c>
      <c r="DJM54" s="5">
        <f>-IFERROR('4. NPV'!#REF!/'4. NPV'!DJN$8,0)</f>
        <v>0</v>
      </c>
      <c r="DJN54" s="5">
        <f>-IFERROR('4. NPV'!#REF!/'4. NPV'!DJO$8,0)</f>
        <v>0</v>
      </c>
      <c r="DJO54" s="5">
        <f>-IFERROR('4. NPV'!#REF!/'4. NPV'!DJP$8,0)</f>
        <v>0</v>
      </c>
      <c r="DJP54" s="5">
        <f>-IFERROR('4. NPV'!#REF!/'4. NPV'!DJQ$8,0)</f>
        <v>0</v>
      </c>
      <c r="DJQ54" s="5">
        <f>-IFERROR('4. NPV'!#REF!/'4. NPV'!DJR$8,0)</f>
        <v>0</v>
      </c>
      <c r="DJR54" s="5">
        <f>-IFERROR('4. NPV'!#REF!/'4. NPV'!DJS$8,0)</f>
        <v>0</v>
      </c>
      <c r="DJS54" s="5">
        <f>-IFERROR('4. NPV'!#REF!/'4. NPV'!DJT$8,0)</f>
        <v>0</v>
      </c>
      <c r="DJT54" s="5">
        <f>-IFERROR('4. NPV'!#REF!/'4. NPV'!DJU$8,0)</f>
        <v>0</v>
      </c>
      <c r="DJU54" s="5">
        <f>-IFERROR('4. NPV'!#REF!/'4. NPV'!DJV$8,0)</f>
        <v>0</v>
      </c>
      <c r="DJV54" s="5">
        <f>-IFERROR('4. NPV'!#REF!/'4. NPV'!DJW$8,0)</f>
        <v>0</v>
      </c>
      <c r="DJW54" s="5">
        <f>-IFERROR('4. NPV'!#REF!/'4. NPV'!DJX$8,0)</f>
        <v>0</v>
      </c>
      <c r="DJX54" s="5">
        <f>-IFERROR('4. NPV'!#REF!/'4. NPV'!DJY$8,0)</f>
        <v>0</v>
      </c>
      <c r="DJY54" s="5">
        <f>-IFERROR('4. NPV'!#REF!/'4. NPV'!DJZ$8,0)</f>
        <v>0</v>
      </c>
      <c r="DJZ54" s="5">
        <f>-IFERROR('4. NPV'!#REF!/'4. NPV'!DKA$8,0)</f>
        <v>0</v>
      </c>
      <c r="DKA54" s="5">
        <f>-IFERROR('4. NPV'!#REF!/'4. NPV'!DKB$8,0)</f>
        <v>0</v>
      </c>
      <c r="DKB54" s="5">
        <f>-IFERROR('4. NPV'!#REF!/'4. NPV'!DKC$8,0)</f>
        <v>0</v>
      </c>
      <c r="DKC54" s="5">
        <f>-IFERROR('4. NPV'!#REF!/'4. NPV'!DKD$8,0)</f>
        <v>0</v>
      </c>
      <c r="DKD54" s="5">
        <f>-IFERROR('4. NPV'!#REF!/'4. NPV'!DKE$8,0)</f>
        <v>0</v>
      </c>
      <c r="DKE54" s="5">
        <f>-IFERROR('4. NPV'!#REF!/'4. NPV'!DKF$8,0)</f>
        <v>0</v>
      </c>
      <c r="DKF54" s="5">
        <f>-IFERROR('4. NPV'!#REF!/'4. NPV'!DKG$8,0)</f>
        <v>0</v>
      </c>
      <c r="DKG54" s="5">
        <f>-IFERROR('4. NPV'!#REF!/'4. NPV'!DKH$8,0)</f>
        <v>0</v>
      </c>
      <c r="DKH54" s="5">
        <f>-IFERROR('4. NPV'!#REF!/'4. NPV'!DKI$8,0)</f>
        <v>0</v>
      </c>
      <c r="DKI54" s="5">
        <f>-IFERROR('4. NPV'!#REF!/'4. NPV'!DKJ$8,0)</f>
        <v>0</v>
      </c>
      <c r="DKJ54" s="5">
        <f>-IFERROR('4. NPV'!#REF!/'4. NPV'!DKK$8,0)</f>
        <v>0</v>
      </c>
      <c r="DKK54" s="5">
        <f>-IFERROR('4. NPV'!#REF!/'4. NPV'!DKL$8,0)</f>
        <v>0</v>
      </c>
      <c r="DKL54" s="5">
        <f>-IFERROR('4. NPV'!#REF!/'4. NPV'!DKM$8,0)</f>
        <v>0</v>
      </c>
      <c r="DKM54" s="5">
        <f>-IFERROR('4. NPV'!#REF!/'4. NPV'!DKN$8,0)</f>
        <v>0</v>
      </c>
      <c r="DKN54" s="5">
        <f>-IFERROR('4. NPV'!#REF!/'4. NPV'!DKO$8,0)</f>
        <v>0</v>
      </c>
      <c r="DKO54" s="5">
        <f>-IFERROR('4. NPV'!#REF!/'4. NPV'!DKP$8,0)</f>
        <v>0</v>
      </c>
      <c r="DKP54" s="5">
        <f>-IFERROR('4. NPV'!#REF!/'4. NPV'!DKQ$8,0)</f>
        <v>0</v>
      </c>
      <c r="DKQ54" s="5">
        <f>-IFERROR('4. NPV'!#REF!/'4. NPV'!DKR$8,0)</f>
        <v>0</v>
      </c>
      <c r="DKR54" s="5">
        <f>-IFERROR('4. NPV'!#REF!/'4. NPV'!DKS$8,0)</f>
        <v>0</v>
      </c>
      <c r="DKS54" s="5">
        <f>-IFERROR('4. NPV'!#REF!/'4. NPV'!DKT$8,0)</f>
        <v>0</v>
      </c>
      <c r="DKT54" s="5">
        <f>-IFERROR('4. NPV'!#REF!/'4. NPV'!DKU$8,0)</f>
        <v>0</v>
      </c>
      <c r="DKU54" s="5">
        <f>-IFERROR('4. NPV'!#REF!/'4. NPV'!DKV$8,0)</f>
        <v>0</v>
      </c>
      <c r="DKV54" s="5">
        <f>-IFERROR('4. NPV'!#REF!/'4. NPV'!DKW$8,0)</f>
        <v>0</v>
      </c>
      <c r="DKW54" s="5">
        <f>-IFERROR('4. NPV'!#REF!/'4. NPV'!DKX$8,0)</f>
        <v>0</v>
      </c>
      <c r="DKX54" s="5">
        <f>-IFERROR('4. NPV'!#REF!/'4. NPV'!DKY$8,0)</f>
        <v>0</v>
      </c>
      <c r="DKY54" s="5">
        <f>-IFERROR('4. NPV'!#REF!/'4. NPV'!DKZ$8,0)</f>
        <v>0</v>
      </c>
      <c r="DKZ54" s="5">
        <f>-IFERROR('4. NPV'!#REF!/'4. NPV'!DLA$8,0)</f>
        <v>0</v>
      </c>
      <c r="DLA54" s="5">
        <f>-IFERROR('4. NPV'!#REF!/'4. NPV'!DLB$8,0)</f>
        <v>0</v>
      </c>
      <c r="DLB54" s="5">
        <f>-IFERROR('4. NPV'!#REF!/'4. NPV'!DLC$8,0)</f>
        <v>0</v>
      </c>
      <c r="DLC54" s="5">
        <f>-IFERROR('4. NPV'!#REF!/'4. NPV'!DLD$8,0)</f>
        <v>0</v>
      </c>
      <c r="DLD54" s="5">
        <f>-IFERROR('4. NPV'!#REF!/'4. NPV'!DLE$8,0)</f>
        <v>0</v>
      </c>
      <c r="DLE54" s="5">
        <f>-IFERROR('4. NPV'!#REF!/'4. NPV'!DLF$8,0)</f>
        <v>0</v>
      </c>
      <c r="DLF54" s="5">
        <f>-IFERROR('4. NPV'!#REF!/'4. NPV'!DLG$8,0)</f>
        <v>0</v>
      </c>
      <c r="DLG54" s="5">
        <f>-IFERROR('4. NPV'!#REF!/'4. NPV'!DLH$8,0)</f>
        <v>0</v>
      </c>
      <c r="DLH54" s="5">
        <f>-IFERROR('4. NPV'!#REF!/'4. NPV'!DLI$8,0)</f>
        <v>0</v>
      </c>
      <c r="DLI54" s="5">
        <f>-IFERROR('4. NPV'!#REF!/'4. NPV'!DLJ$8,0)</f>
        <v>0</v>
      </c>
      <c r="DLJ54" s="5">
        <f>-IFERROR('4. NPV'!#REF!/'4. NPV'!DLK$8,0)</f>
        <v>0</v>
      </c>
      <c r="DLK54" s="5">
        <f>-IFERROR('4. NPV'!#REF!/'4. NPV'!DLL$8,0)</f>
        <v>0</v>
      </c>
      <c r="DLL54" s="5">
        <f>-IFERROR('4. NPV'!#REF!/'4. NPV'!DLM$8,0)</f>
        <v>0</v>
      </c>
      <c r="DLM54" s="5">
        <f>-IFERROR('4. NPV'!#REF!/'4. NPV'!DLN$8,0)</f>
        <v>0</v>
      </c>
      <c r="DLN54" s="5">
        <f>-IFERROR('4. NPV'!#REF!/'4. NPV'!DLO$8,0)</f>
        <v>0</v>
      </c>
      <c r="DLO54" s="5">
        <f>-IFERROR('4. NPV'!#REF!/'4. NPV'!DLP$8,0)</f>
        <v>0</v>
      </c>
      <c r="DLP54" s="5">
        <f>-IFERROR('4. NPV'!#REF!/'4. NPV'!DLQ$8,0)</f>
        <v>0</v>
      </c>
      <c r="DLQ54" s="5">
        <f>-IFERROR('4. NPV'!#REF!/'4. NPV'!DLR$8,0)</f>
        <v>0</v>
      </c>
      <c r="DLR54" s="5">
        <f>-IFERROR('4. NPV'!#REF!/'4. NPV'!DLS$8,0)</f>
        <v>0</v>
      </c>
      <c r="DLS54" s="5">
        <f>-IFERROR('4. NPV'!#REF!/'4. NPV'!DLT$8,0)</f>
        <v>0</v>
      </c>
      <c r="DLT54" s="5">
        <f>-IFERROR('4. NPV'!#REF!/'4. NPV'!DLU$8,0)</f>
        <v>0</v>
      </c>
      <c r="DLU54" s="5">
        <f>-IFERROR('4. NPV'!#REF!/'4. NPV'!DLV$8,0)</f>
        <v>0</v>
      </c>
      <c r="DLV54" s="5">
        <f>-IFERROR('4. NPV'!#REF!/'4. NPV'!DLW$8,0)</f>
        <v>0</v>
      </c>
      <c r="DLW54" s="5">
        <f>-IFERROR('4. NPV'!#REF!/'4. NPV'!DLX$8,0)</f>
        <v>0</v>
      </c>
      <c r="DLX54" s="5">
        <f>-IFERROR('4. NPV'!#REF!/'4. NPV'!DLY$8,0)</f>
        <v>0</v>
      </c>
      <c r="DLY54" s="5">
        <f>-IFERROR('4. NPV'!#REF!/'4. NPV'!DLZ$8,0)</f>
        <v>0</v>
      </c>
      <c r="DLZ54" s="5">
        <f>-IFERROR('4. NPV'!#REF!/'4. NPV'!DMA$8,0)</f>
        <v>0</v>
      </c>
      <c r="DMA54" s="5">
        <f>-IFERROR('4. NPV'!#REF!/'4. NPV'!DMB$8,0)</f>
        <v>0</v>
      </c>
      <c r="DMB54" s="5">
        <f>-IFERROR('4. NPV'!#REF!/'4. NPV'!DMC$8,0)</f>
        <v>0</v>
      </c>
      <c r="DMC54" s="5">
        <f>-IFERROR('4. NPV'!#REF!/'4. NPV'!DMD$8,0)</f>
        <v>0</v>
      </c>
      <c r="DMD54" s="5">
        <f>-IFERROR('4. NPV'!#REF!/'4. NPV'!DME$8,0)</f>
        <v>0</v>
      </c>
      <c r="DME54" s="5">
        <f>-IFERROR('4. NPV'!#REF!/'4. NPV'!DMF$8,0)</f>
        <v>0</v>
      </c>
      <c r="DMF54" s="5">
        <f>-IFERROR('4. NPV'!#REF!/'4. NPV'!DMG$8,0)</f>
        <v>0</v>
      </c>
      <c r="DMG54" s="5">
        <f>-IFERROR('4. NPV'!#REF!/'4. NPV'!DMH$8,0)</f>
        <v>0</v>
      </c>
      <c r="DMH54" s="5">
        <f>-IFERROR('4. NPV'!#REF!/'4. NPV'!DMI$8,0)</f>
        <v>0</v>
      </c>
      <c r="DMI54" s="5">
        <f>-IFERROR('4. NPV'!#REF!/'4. NPV'!DMJ$8,0)</f>
        <v>0</v>
      </c>
      <c r="DMJ54" s="5">
        <f>-IFERROR('4. NPV'!#REF!/'4. NPV'!DMK$8,0)</f>
        <v>0</v>
      </c>
      <c r="DMK54" s="5">
        <f>-IFERROR('4. NPV'!#REF!/'4. NPV'!DML$8,0)</f>
        <v>0</v>
      </c>
      <c r="DML54" s="5">
        <f>-IFERROR('4. NPV'!#REF!/'4. NPV'!DMM$8,0)</f>
        <v>0</v>
      </c>
      <c r="DMM54" s="5">
        <f>-IFERROR('4. NPV'!#REF!/'4. NPV'!DMN$8,0)</f>
        <v>0</v>
      </c>
      <c r="DMN54" s="5">
        <f>-IFERROR('4. NPV'!#REF!/'4. NPV'!DMO$8,0)</f>
        <v>0</v>
      </c>
      <c r="DMO54" s="5">
        <f>-IFERROR('4. NPV'!#REF!/'4. NPV'!DMP$8,0)</f>
        <v>0</v>
      </c>
      <c r="DMP54" s="5">
        <f>-IFERROR('4. NPV'!#REF!/'4. NPV'!DMQ$8,0)</f>
        <v>0</v>
      </c>
      <c r="DMQ54" s="5">
        <f>-IFERROR('4. NPV'!#REF!/'4. NPV'!DMR$8,0)</f>
        <v>0</v>
      </c>
      <c r="DMR54" s="5">
        <f>-IFERROR('4. NPV'!#REF!/'4. NPV'!DMS$8,0)</f>
        <v>0</v>
      </c>
      <c r="DMS54" s="5">
        <f>-IFERROR('4. NPV'!#REF!/'4. NPV'!DMT$8,0)</f>
        <v>0</v>
      </c>
      <c r="DMT54" s="5">
        <f>-IFERROR('4. NPV'!#REF!/'4. NPV'!DMU$8,0)</f>
        <v>0</v>
      </c>
      <c r="DMU54" s="5">
        <f>-IFERROR('4. NPV'!#REF!/'4. NPV'!DMV$8,0)</f>
        <v>0</v>
      </c>
      <c r="DMV54" s="5">
        <f>-IFERROR('4. NPV'!#REF!/'4. NPV'!DMW$8,0)</f>
        <v>0</v>
      </c>
      <c r="DMW54" s="5">
        <f>-IFERROR('4. NPV'!#REF!/'4. NPV'!DMX$8,0)</f>
        <v>0</v>
      </c>
      <c r="DMX54" s="5">
        <f>-IFERROR('4. NPV'!#REF!/'4. NPV'!DMY$8,0)</f>
        <v>0</v>
      </c>
      <c r="DMY54" s="5">
        <f>-IFERROR('4. NPV'!#REF!/'4. NPV'!DMZ$8,0)</f>
        <v>0</v>
      </c>
      <c r="DMZ54" s="5">
        <f>-IFERROR('4. NPV'!#REF!/'4. NPV'!DNA$8,0)</f>
        <v>0</v>
      </c>
      <c r="DNA54" s="5">
        <f>-IFERROR('4. NPV'!#REF!/'4. NPV'!DNB$8,0)</f>
        <v>0</v>
      </c>
      <c r="DNB54" s="5">
        <f>-IFERROR('4. NPV'!#REF!/'4. NPV'!DNC$8,0)</f>
        <v>0</v>
      </c>
      <c r="DNC54" s="5">
        <f>-IFERROR('4. NPV'!#REF!/'4. NPV'!DND$8,0)</f>
        <v>0</v>
      </c>
      <c r="DND54" s="5">
        <f>-IFERROR('4. NPV'!#REF!/'4. NPV'!DNE$8,0)</f>
        <v>0</v>
      </c>
      <c r="DNE54" s="5">
        <f>-IFERROR('4. NPV'!#REF!/'4. NPV'!DNF$8,0)</f>
        <v>0</v>
      </c>
      <c r="DNF54" s="5">
        <f>-IFERROR('4. NPV'!#REF!/'4. NPV'!DNG$8,0)</f>
        <v>0</v>
      </c>
      <c r="DNG54" s="5">
        <f>-IFERROR('4. NPV'!#REF!/'4. NPV'!DNH$8,0)</f>
        <v>0</v>
      </c>
      <c r="DNH54" s="5">
        <f>-IFERROR('4. NPV'!#REF!/'4. NPV'!DNI$8,0)</f>
        <v>0</v>
      </c>
      <c r="DNI54" s="5">
        <f>-IFERROR('4. NPV'!#REF!/'4. NPV'!DNJ$8,0)</f>
        <v>0</v>
      </c>
      <c r="DNJ54" s="5">
        <f>-IFERROR('4. NPV'!#REF!/'4. NPV'!DNK$8,0)</f>
        <v>0</v>
      </c>
      <c r="DNK54" s="5">
        <f>-IFERROR('4. NPV'!#REF!/'4. NPV'!DNL$8,0)</f>
        <v>0</v>
      </c>
      <c r="DNL54" s="5">
        <f>-IFERROR('4. NPV'!#REF!/'4. NPV'!DNM$8,0)</f>
        <v>0</v>
      </c>
      <c r="DNM54" s="5">
        <f>-IFERROR('4. NPV'!#REF!/'4. NPV'!DNN$8,0)</f>
        <v>0</v>
      </c>
      <c r="DNN54" s="5">
        <f>-IFERROR('4. NPV'!#REF!/'4. NPV'!DNO$8,0)</f>
        <v>0</v>
      </c>
      <c r="DNO54" s="5">
        <f>-IFERROR('4. NPV'!#REF!/'4. NPV'!DNP$8,0)</f>
        <v>0</v>
      </c>
      <c r="DNP54" s="5">
        <f>-IFERROR('4. NPV'!#REF!/'4. NPV'!DNQ$8,0)</f>
        <v>0</v>
      </c>
      <c r="DNQ54" s="5">
        <f>-IFERROR('4. NPV'!#REF!/'4. NPV'!DNR$8,0)</f>
        <v>0</v>
      </c>
      <c r="DNR54" s="5">
        <f>-IFERROR('4. NPV'!#REF!/'4. NPV'!DNS$8,0)</f>
        <v>0</v>
      </c>
      <c r="DNS54" s="5">
        <f>-IFERROR('4. NPV'!#REF!/'4. NPV'!DNT$8,0)</f>
        <v>0</v>
      </c>
      <c r="DNT54" s="5">
        <f>-IFERROR('4. NPV'!#REF!/'4. NPV'!DNU$8,0)</f>
        <v>0</v>
      </c>
      <c r="DNU54" s="5">
        <f>-IFERROR('4. NPV'!#REF!/'4. NPV'!DNV$8,0)</f>
        <v>0</v>
      </c>
      <c r="DNV54" s="5">
        <f>-IFERROR('4. NPV'!#REF!/'4. NPV'!DNW$8,0)</f>
        <v>0</v>
      </c>
      <c r="DNW54" s="5">
        <f>-IFERROR('4. NPV'!#REF!/'4. NPV'!DNX$8,0)</f>
        <v>0</v>
      </c>
      <c r="DNX54" s="5">
        <f>-IFERROR('4. NPV'!#REF!/'4. NPV'!DNY$8,0)</f>
        <v>0</v>
      </c>
      <c r="DNY54" s="5">
        <f>-IFERROR('4. NPV'!#REF!/'4. NPV'!DNZ$8,0)</f>
        <v>0</v>
      </c>
      <c r="DNZ54" s="5">
        <f>-IFERROR('4. NPV'!#REF!/'4. NPV'!DOA$8,0)</f>
        <v>0</v>
      </c>
      <c r="DOA54" s="5">
        <f>-IFERROR('4. NPV'!#REF!/'4. NPV'!DOB$8,0)</f>
        <v>0</v>
      </c>
      <c r="DOB54" s="5">
        <f>-IFERROR('4. NPV'!#REF!/'4. NPV'!DOC$8,0)</f>
        <v>0</v>
      </c>
      <c r="DOC54" s="5">
        <f>-IFERROR('4. NPV'!#REF!/'4. NPV'!DOD$8,0)</f>
        <v>0</v>
      </c>
      <c r="DOD54" s="5">
        <f>-IFERROR('4. NPV'!#REF!/'4. NPV'!DOE$8,0)</f>
        <v>0</v>
      </c>
      <c r="DOE54" s="5">
        <f>-IFERROR('4. NPV'!#REF!/'4. NPV'!DOF$8,0)</f>
        <v>0</v>
      </c>
      <c r="DOF54" s="5">
        <f>-IFERROR('4. NPV'!#REF!/'4. NPV'!DOG$8,0)</f>
        <v>0</v>
      </c>
      <c r="DOG54" s="5">
        <f>-IFERROR('4. NPV'!#REF!/'4. NPV'!DOH$8,0)</f>
        <v>0</v>
      </c>
      <c r="DOH54" s="5">
        <f>-IFERROR('4. NPV'!#REF!/'4. NPV'!DOI$8,0)</f>
        <v>0</v>
      </c>
      <c r="DOI54" s="5">
        <f>-IFERROR('4. NPV'!#REF!/'4. NPV'!DOJ$8,0)</f>
        <v>0</v>
      </c>
      <c r="DOJ54" s="5">
        <f>-IFERROR('4. NPV'!#REF!/'4. NPV'!DOK$8,0)</f>
        <v>0</v>
      </c>
      <c r="DOK54" s="5">
        <f>-IFERROR('4. NPV'!#REF!/'4. NPV'!DOL$8,0)</f>
        <v>0</v>
      </c>
      <c r="DOL54" s="5">
        <f>-IFERROR('4. NPV'!#REF!/'4. NPV'!DOM$8,0)</f>
        <v>0</v>
      </c>
      <c r="DOM54" s="5">
        <f>-IFERROR('4. NPV'!#REF!/'4. NPV'!DON$8,0)</f>
        <v>0</v>
      </c>
      <c r="DON54" s="5">
        <f>-IFERROR('4. NPV'!#REF!/'4. NPV'!DOO$8,0)</f>
        <v>0</v>
      </c>
      <c r="DOO54" s="5">
        <f>-IFERROR('4. NPV'!#REF!/'4. NPV'!DOP$8,0)</f>
        <v>0</v>
      </c>
      <c r="DOP54" s="5">
        <f>-IFERROR('4. NPV'!#REF!/'4. NPV'!DOQ$8,0)</f>
        <v>0</v>
      </c>
      <c r="DOQ54" s="5">
        <f>-IFERROR('4. NPV'!#REF!/'4. NPV'!DOR$8,0)</f>
        <v>0</v>
      </c>
      <c r="DOR54" s="5">
        <f>-IFERROR('4. NPV'!#REF!/'4. NPV'!DOS$8,0)</f>
        <v>0</v>
      </c>
      <c r="DOS54" s="5">
        <f>-IFERROR('4. NPV'!#REF!/'4. NPV'!DOT$8,0)</f>
        <v>0</v>
      </c>
      <c r="DOT54" s="5">
        <f>-IFERROR('4. NPV'!#REF!/'4. NPV'!DOU$8,0)</f>
        <v>0</v>
      </c>
      <c r="DOU54" s="5">
        <f>-IFERROR('4. NPV'!#REF!/'4. NPV'!DOV$8,0)</f>
        <v>0</v>
      </c>
      <c r="DOV54" s="5">
        <f>-IFERROR('4. NPV'!#REF!/'4. NPV'!DOW$8,0)</f>
        <v>0</v>
      </c>
      <c r="DOW54" s="5">
        <f>-IFERROR('4. NPV'!#REF!/'4. NPV'!DOX$8,0)</f>
        <v>0</v>
      </c>
      <c r="DOX54" s="5">
        <f>-IFERROR('4. NPV'!#REF!/'4. NPV'!DOY$8,0)</f>
        <v>0</v>
      </c>
      <c r="DOY54" s="5">
        <f>-IFERROR('4. NPV'!#REF!/'4. NPV'!DOZ$8,0)</f>
        <v>0</v>
      </c>
      <c r="DOZ54" s="5">
        <f>-IFERROR('4. NPV'!#REF!/'4. NPV'!DPA$8,0)</f>
        <v>0</v>
      </c>
      <c r="DPA54" s="5">
        <f>-IFERROR('4. NPV'!#REF!/'4. NPV'!DPB$8,0)</f>
        <v>0</v>
      </c>
      <c r="DPB54" s="5">
        <f>-IFERROR('4. NPV'!#REF!/'4. NPV'!DPC$8,0)</f>
        <v>0</v>
      </c>
      <c r="DPC54" s="5">
        <f>-IFERROR('4. NPV'!#REF!/'4. NPV'!DPD$8,0)</f>
        <v>0</v>
      </c>
      <c r="DPD54" s="5">
        <f>-IFERROR('4. NPV'!#REF!/'4. NPV'!DPE$8,0)</f>
        <v>0</v>
      </c>
      <c r="DPE54" s="5">
        <f>-IFERROR('4. NPV'!#REF!/'4. NPV'!DPF$8,0)</f>
        <v>0</v>
      </c>
      <c r="DPF54" s="5">
        <f>-IFERROR('4. NPV'!#REF!/'4. NPV'!DPG$8,0)</f>
        <v>0</v>
      </c>
      <c r="DPG54" s="5">
        <f>-IFERROR('4. NPV'!#REF!/'4. NPV'!DPH$8,0)</f>
        <v>0</v>
      </c>
      <c r="DPH54" s="5">
        <f>-IFERROR('4. NPV'!#REF!/'4. NPV'!DPI$8,0)</f>
        <v>0</v>
      </c>
      <c r="DPI54" s="5">
        <f>-IFERROR('4. NPV'!#REF!/'4. NPV'!DPJ$8,0)</f>
        <v>0</v>
      </c>
      <c r="DPJ54" s="5">
        <f>-IFERROR('4. NPV'!#REF!/'4. NPV'!DPK$8,0)</f>
        <v>0</v>
      </c>
      <c r="DPK54" s="5">
        <f>-IFERROR('4. NPV'!#REF!/'4. NPV'!DPL$8,0)</f>
        <v>0</v>
      </c>
      <c r="DPL54" s="5">
        <f>-IFERROR('4. NPV'!#REF!/'4. NPV'!DPM$8,0)</f>
        <v>0</v>
      </c>
      <c r="DPM54" s="5">
        <f>-IFERROR('4. NPV'!#REF!/'4. NPV'!DPN$8,0)</f>
        <v>0</v>
      </c>
      <c r="DPN54" s="5">
        <f>-IFERROR('4. NPV'!#REF!/'4. NPV'!DPO$8,0)</f>
        <v>0</v>
      </c>
      <c r="DPO54" s="5">
        <f>-IFERROR('4. NPV'!#REF!/'4. NPV'!DPP$8,0)</f>
        <v>0</v>
      </c>
      <c r="DPP54" s="5">
        <f>-IFERROR('4. NPV'!#REF!/'4. NPV'!DPQ$8,0)</f>
        <v>0</v>
      </c>
      <c r="DPQ54" s="5">
        <f>-IFERROR('4. NPV'!#REF!/'4. NPV'!DPR$8,0)</f>
        <v>0</v>
      </c>
      <c r="DPR54" s="5">
        <f>-IFERROR('4. NPV'!#REF!/'4. NPV'!DPS$8,0)</f>
        <v>0</v>
      </c>
      <c r="DPS54" s="5">
        <f>-IFERROR('4. NPV'!#REF!/'4. NPV'!DPT$8,0)</f>
        <v>0</v>
      </c>
      <c r="DPT54" s="5">
        <f>-IFERROR('4. NPV'!#REF!/'4. NPV'!DPU$8,0)</f>
        <v>0</v>
      </c>
      <c r="DPU54" s="5">
        <f>-IFERROR('4. NPV'!#REF!/'4. NPV'!DPV$8,0)</f>
        <v>0</v>
      </c>
      <c r="DPV54" s="5">
        <f>-IFERROR('4. NPV'!#REF!/'4. NPV'!DPW$8,0)</f>
        <v>0</v>
      </c>
      <c r="DPW54" s="5">
        <f>-IFERROR('4. NPV'!#REF!/'4. NPV'!DPX$8,0)</f>
        <v>0</v>
      </c>
      <c r="DPX54" s="5">
        <f>-IFERROR('4. NPV'!#REF!/'4. NPV'!DPY$8,0)</f>
        <v>0</v>
      </c>
      <c r="DPY54" s="5">
        <f>-IFERROR('4. NPV'!#REF!/'4. NPV'!DPZ$8,0)</f>
        <v>0</v>
      </c>
      <c r="DPZ54" s="5">
        <f>-IFERROR('4. NPV'!#REF!/'4. NPV'!DQA$8,0)</f>
        <v>0</v>
      </c>
      <c r="DQA54" s="5">
        <f>-IFERROR('4. NPV'!#REF!/'4. NPV'!DQB$8,0)</f>
        <v>0</v>
      </c>
      <c r="DQB54" s="5">
        <f>-IFERROR('4. NPV'!#REF!/'4. NPV'!DQC$8,0)</f>
        <v>0</v>
      </c>
      <c r="DQC54" s="5">
        <f>-IFERROR('4. NPV'!#REF!/'4. NPV'!DQD$8,0)</f>
        <v>0</v>
      </c>
      <c r="DQD54" s="5">
        <f>-IFERROR('4. NPV'!#REF!/'4. NPV'!DQE$8,0)</f>
        <v>0</v>
      </c>
      <c r="DQE54" s="5">
        <f>-IFERROR('4. NPV'!#REF!/'4. NPV'!DQF$8,0)</f>
        <v>0</v>
      </c>
      <c r="DQF54" s="5">
        <f>-IFERROR('4. NPV'!#REF!/'4. NPV'!DQG$8,0)</f>
        <v>0</v>
      </c>
      <c r="DQG54" s="5">
        <f>-IFERROR('4. NPV'!#REF!/'4. NPV'!DQH$8,0)</f>
        <v>0</v>
      </c>
      <c r="DQH54" s="5">
        <f>-IFERROR('4. NPV'!#REF!/'4. NPV'!DQI$8,0)</f>
        <v>0</v>
      </c>
      <c r="DQI54" s="5">
        <f>-IFERROR('4. NPV'!#REF!/'4. NPV'!DQJ$8,0)</f>
        <v>0</v>
      </c>
      <c r="DQJ54" s="5">
        <f>-IFERROR('4. NPV'!#REF!/'4. NPV'!DQK$8,0)</f>
        <v>0</v>
      </c>
      <c r="DQK54" s="5">
        <f>-IFERROR('4. NPV'!#REF!/'4. NPV'!DQL$8,0)</f>
        <v>0</v>
      </c>
      <c r="DQL54" s="5">
        <f>-IFERROR('4. NPV'!#REF!/'4. NPV'!DQM$8,0)</f>
        <v>0</v>
      </c>
      <c r="DQM54" s="5">
        <f>-IFERROR('4. NPV'!#REF!/'4. NPV'!DQN$8,0)</f>
        <v>0</v>
      </c>
      <c r="DQN54" s="5">
        <f>-IFERROR('4. NPV'!#REF!/'4. NPV'!DQO$8,0)</f>
        <v>0</v>
      </c>
      <c r="DQO54" s="5">
        <f>-IFERROR('4. NPV'!#REF!/'4. NPV'!DQP$8,0)</f>
        <v>0</v>
      </c>
      <c r="DQP54" s="5">
        <f>-IFERROR('4. NPV'!#REF!/'4. NPV'!DQQ$8,0)</f>
        <v>0</v>
      </c>
      <c r="DQQ54" s="5">
        <f>-IFERROR('4. NPV'!#REF!/'4. NPV'!DQR$8,0)</f>
        <v>0</v>
      </c>
      <c r="DQR54" s="5">
        <f>-IFERROR('4. NPV'!#REF!/'4. NPV'!DQS$8,0)</f>
        <v>0</v>
      </c>
      <c r="DQS54" s="5">
        <f>-IFERROR('4. NPV'!#REF!/'4. NPV'!DQT$8,0)</f>
        <v>0</v>
      </c>
      <c r="DQT54" s="5">
        <f>-IFERROR('4. NPV'!#REF!/'4. NPV'!DQU$8,0)</f>
        <v>0</v>
      </c>
      <c r="DQU54" s="5">
        <f>-IFERROR('4. NPV'!#REF!/'4. NPV'!DQV$8,0)</f>
        <v>0</v>
      </c>
      <c r="DQV54" s="5">
        <f>-IFERROR('4. NPV'!#REF!/'4. NPV'!DQW$8,0)</f>
        <v>0</v>
      </c>
      <c r="DQW54" s="5">
        <f>-IFERROR('4. NPV'!#REF!/'4. NPV'!DQX$8,0)</f>
        <v>0</v>
      </c>
      <c r="DQX54" s="5">
        <f>-IFERROR('4. NPV'!#REF!/'4. NPV'!DQY$8,0)</f>
        <v>0</v>
      </c>
      <c r="DQY54" s="5">
        <f>-IFERROR('4. NPV'!#REF!/'4. NPV'!DQZ$8,0)</f>
        <v>0</v>
      </c>
      <c r="DQZ54" s="5">
        <f>-IFERROR('4. NPV'!#REF!/'4. NPV'!DRA$8,0)</f>
        <v>0</v>
      </c>
      <c r="DRA54" s="5">
        <f>-IFERROR('4. NPV'!#REF!/'4. NPV'!DRB$8,0)</f>
        <v>0</v>
      </c>
      <c r="DRB54" s="5">
        <f>-IFERROR('4. NPV'!#REF!/'4. NPV'!DRC$8,0)</f>
        <v>0</v>
      </c>
      <c r="DRC54" s="5">
        <f>-IFERROR('4. NPV'!#REF!/'4. NPV'!DRD$8,0)</f>
        <v>0</v>
      </c>
      <c r="DRD54" s="5">
        <f>-IFERROR('4. NPV'!#REF!/'4. NPV'!DRE$8,0)</f>
        <v>0</v>
      </c>
      <c r="DRE54" s="5">
        <f>-IFERROR('4. NPV'!#REF!/'4. NPV'!DRF$8,0)</f>
        <v>0</v>
      </c>
      <c r="DRF54" s="5">
        <f>-IFERROR('4. NPV'!#REF!/'4. NPV'!DRG$8,0)</f>
        <v>0</v>
      </c>
      <c r="DRG54" s="5">
        <f>-IFERROR('4. NPV'!#REF!/'4. NPV'!DRH$8,0)</f>
        <v>0</v>
      </c>
      <c r="DRH54" s="5">
        <f>-IFERROR('4. NPV'!#REF!/'4. NPV'!DRI$8,0)</f>
        <v>0</v>
      </c>
      <c r="DRI54" s="5">
        <f>-IFERROR('4. NPV'!#REF!/'4. NPV'!DRJ$8,0)</f>
        <v>0</v>
      </c>
      <c r="DRJ54" s="5">
        <f>-IFERROR('4. NPV'!#REF!/'4. NPV'!DRK$8,0)</f>
        <v>0</v>
      </c>
      <c r="DRK54" s="5">
        <f>-IFERROR('4. NPV'!#REF!/'4. NPV'!DRL$8,0)</f>
        <v>0</v>
      </c>
      <c r="DRL54" s="5">
        <f>-IFERROR('4. NPV'!#REF!/'4. NPV'!DRM$8,0)</f>
        <v>0</v>
      </c>
      <c r="DRM54" s="5">
        <f>-IFERROR('4. NPV'!#REF!/'4. NPV'!DRN$8,0)</f>
        <v>0</v>
      </c>
      <c r="DRN54" s="5">
        <f>-IFERROR('4. NPV'!#REF!/'4. NPV'!DRO$8,0)</f>
        <v>0</v>
      </c>
      <c r="DRO54" s="5">
        <f>-IFERROR('4. NPV'!#REF!/'4. NPV'!DRP$8,0)</f>
        <v>0</v>
      </c>
      <c r="DRP54" s="5">
        <f>-IFERROR('4. NPV'!#REF!/'4. NPV'!DRQ$8,0)</f>
        <v>0</v>
      </c>
      <c r="DRQ54" s="5">
        <f>-IFERROR('4. NPV'!#REF!/'4. NPV'!DRR$8,0)</f>
        <v>0</v>
      </c>
      <c r="DRR54" s="5">
        <f>-IFERROR('4. NPV'!#REF!/'4. NPV'!DRS$8,0)</f>
        <v>0</v>
      </c>
      <c r="DRS54" s="5">
        <f>-IFERROR('4. NPV'!#REF!/'4. NPV'!DRT$8,0)</f>
        <v>0</v>
      </c>
      <c r="DRT54" s="5">
        <f>-IFERROR('4. NPV'!#REF!/'4. NPV'!DRU$8,0)</f>
        <v>0</v>
      </c>
      <c r="DRU54" s="5">
        <f>-IFERROR('4. NPV'!#REF!/'4. NPV'!DRV$8,0)</f>
        <v>0</v>
      </c>
      <c r="DRV54" s="5">
        <f>-IFERROR('4. NPV'!#REF!/'4. NPV'!DRW$8,0)</f>
        <v>0</v>
      </c>
      <c r="DRW54" s="5">
        <f>-IFERROR('4. NPV'!#REF!/'4. NPV'!DRX$8,0)</f>
        <v>0</v>
      </c>
      <c r="DRX54" s="5">
        <f>-IFERROR('4. NPV'!#REF!/'4. NPV'!DRY$8,0)</f>
        <v>0</v>
      </c>
      <c r="DRY54" s="5">
        <f>-IFERROR('4. NPV'!#REF!/'4. NPV'!DRZ$8,0)</f>
        <v>0</v>
      </c>
      <c r="DRZ54" s="5">
        <f>-IFERROR('4. NPV'!#REF!/'4. NPV'!DSA$8,0)</f>
        <v>0</v>
      </c>
      <c r="DSA54" s="5">
        <f>-IFERROR('4. NPV'!#REF!/'4. NPV'!DSB$8,0)</f>
        <v>0</v>
      </c>
      <c r="DSB54" s="5">
        <f>-IFERROR('4. NPV'!#REF!/'4. NPV'!DSC$8,0)</f>
        <v>0</v>
      </c>
      <c r="DSC54" s="5">
        <f>-IFERROR('4. NPV'!#REF!/'4. NPV'!DSD$8,0)</f>
        <v>0</v>
      </c>
      <c r="DSD54" s="5">
        <f>-IFERROR('4. NPV'!#REF!/'4. NPV'!DSE$8,0)</f>
        <v>0</v>
      </c>
      <c r="DSE54" s="5">
        <f>-IFERROR('4. NPV'!#REF!/'4. NPV'!DSF$8,0)</f>
        <v>0</v>
      </c>
      <c r="DSF54" s="5">
        <f>-IFERROR('4. NPV'!#REF!/'4. NPV'!DSG$8,0)</f>
        <v>0</v>
      </c>
      <c r="DSG54" s="5">
        <f>-IFERROR('4. NPV'!#REF!/'4. NPV'!DSH$8,0)</f>
        <v>0</v>
      </c>
      <c r="DSH54" s="5">
        <f>-IFERROR('4. NPV'!#REF!/'4. NPV'!DSI$8,0)</f>
        <v>0</v>
      </c>
      <c r="DSI54" s="5">
        <f>-IFERROR('4. NPV'!#REF!/'4. NPV'!DSJ$8,0)</f>
        <v>0</v>
      </c>
      <c r="DSJ54" s="5">
        <f>-IFERROR('4. NPV'!#REF!/'4. NPV'!DSK$8,0)</f>
        <v>0</v>
      </c>
      <c r="DSK54" s="5">
        <f>-IFERROR('4. NPV'!#REF!/'4. NPV'!DSL$8,0)</f>
        <v>0</v>
      </c>
      <c r="DSL54" s="5">
        <f>-IFERROR('4. NPV'!#REF!/'4. NPV'!DSM$8,0)</f>
        <v>0</v>
      </c>
      <c r="DSM54" s="5">
        <f>-IFERROR('4. NPV'!#REF!/'4. NPV'!DSN$8,0)</f>
        <v>0</v>
      </c>
      <c r="DSN54" s="5">
        <f>-IFERROR('4. NPV'!#REF!/'4. NPV'!DSO$8,0)</f>
        <v>0</v>
      </c>
      <c r="DSO54" s="5">
        <f>-IFERROR('4. NPV'!#REF!/'4. NPV'!DSP$8,0)</f>
        <v>0</v>
      </c>
      <c r="DSP54" s="5">
        <f>-IFERROR('4. NPV'!#REF!/'4. NPV'!DSQ$8,0)</f>
        <v>0</v>
      </c>
      <c r="DSQ54" s="5">
        <f>-IFERROR('4. NPV'!#REF!/'4. NPV'!DSR$8,0)</f>
        <v>0</v>
      </c>
      <c r="DSR54" s="5">
        <f>-IFERROR('4. NPV'!#REF!/'4. NPV'!DSS$8,0)</f>
        <v>0</v>
      </c>
      <c r="DSS54" s="5">
        <f>-IFERROR('4. NPV'!#REF!/'4. NPV'!DST$8,0)</f>
        <v>0</v>
      </c>
      <c r="DST54" s="5">
        <f>-IFERROR('4. NPV'!#REF!/'4. NPV'!DSU$8,0)</f>
        <v>0</v>
      </c>
      <c r="DSU54" s="5">
        <f>-IFERROR('4. NPV'!#REF!/'4. NPV'!DSV$8,0)</f>
        <v>0</v>
      </c>
      <c r="DSV54" s="5">
        <f>-IFERROR('4. NPV'!#REF!/'4. NPV'!DSW$8,0)</f>
        <v>0</v>
      </c>
      <c r="DSW54" s="5">
        <f>-IFERROR('4. NPV'!#REF!/'4. NPV'!DSX$8,0)</f>
        <v>0</v>
      </c>
      <c r="DSX54" s="5">
        <f>-IFERROR('4. NPV'!#REF!/'4. NPV'!DSY$8,0)</f>
        <v>0</v>
      </c>
      <c r="DSY54" s="5">
        <f>-IFERROR('4. NPV'!#REF!/'4. NPV'!DSZ$8,0)</f>
        <v>0</v>
      </c>
      <c r="DSZ54" s="5">
        <f>-IFERROR('4. NPV'!#REF!/'4. NPV'!DTA$8,0)</f>
        <v>0</v>
      </c>
      <c r="DTA54" s="5">
        <f>-IFERROR('4. NPV'!#REF!/'4. NPV'!DTB$8,0)</f>
        <v>0</v>
      </c>
      <c r="DTB54" s="5">
        <f>-IFERROR('4. NPV'!#REF!/'4. NPV'!DTC$8,0)</f>
        <v>0</v>
      </c>
      <c r="DTC54" s="5">
        <f>-IFERROR('4. NPV'!#REF!/'4. NPV'!DTD$8,0)</f>
        <v>0</v>
      </c>
      <c r="DTD54" s="5">
        <f>-IFERROR('4. NPV'!#REF!/'4. NPV'!DTE$8,0)</f>
        <v>0</v>
      </c>
      <c r="DTE54" s="5">
        <f>-IFERROR('4. NPV'!#REF!/'4. NPV'!DTF$8,0)</f>
        <v>0</v>
      </c>
      <c r="DTF54" s="5">
        <f>-IFERROR('4. NPV'!#REF!/'4. NPV'!DTG$8,0)</f>
        <v>0</v>
      </c>
      <c r="DTG54" s="5">
        <f>-IFERROR('4. NPV'!#REF!/'4. NPV'!DTH$8,0)</f>
        <v>0</v>
      </c>
      <c r="DTH54" s="5">
        <f>-IFERROR('4. NPV'!#REF!/'4. NPV'!DTI$8,0)</f>
        <v>0</v>
      </c>
      <c r="DTI54" s="5">
        <f>-IFERROR('4. NPV'!#REF!/'4. NPV'!DTJ$8,0)</f>
        <v>0</v>
      </c>
      <c r="DTJ54" s="5">
        <f>-IFERROR('4. NPV'!#REF!/'4. NPV'!DTK$8,0)</f>
        <v>0</v>
      </c>
      <c r="DTK54" s="5">
        <f>-IFERROR('4. NPV'!#REF!/'4. NPV'!DTL$8,0)</f>
        <v>0</v>
      </c>
      <c r="DTL54" s="5">
        <f>-IFERROR('4. NPV'!#REF!/'4. NPV'!DTM$8,0)</f>
        <v>0</v>
      </c>
      <c r="DTM54" s="5">
        <f>-IFERROR('4. NPV'!#REF!/'4. NPV'!DTN$8,0)</f>
        <v>0</v>
      </c>
      <c r="DTN54" s="5">
        <f>-IFERROR('4. NPV'!#REF!/'4. NPV'!DTO$8,0)</f>
        <v>0</v>
      </c>
      <c r="DTO54" s="5">
        <f>-IFERROR('4. NPV'!#REF!/'4. NPV'!DTP$8,0)</f>
        <v>0</v>
      </c>
      <c r="DTP54" s="5">
        <f>-IFERROR('4. NPV'!#REF!/'4. NPV'!DTQ$8,0)</f>
        <v>0</v>
      </c>
      <c r="DTQ54" s="5">
        <f>-IFERROR('4. NPV'!#REF!/'4. NPV'!DTR$8,0)</f>
        <v>0</v>
      </c>
      <c r="DTR54" s="5">
        <f>-IFERROR('4. NPV'!#REF!/'4. NPV'!DTS$8,0)</f>
        <v>0</v>
      </c>
      <c r="DTS54" s="5">
        <f>-IFERROR('4. NPV'!#REF!/'4. NPV'!DTT$8,0)</f>
        <v>0</v>
      </c>
      <c r="DTT54" s="5">
        <f>-IFERROR('4. NPV'!#REF!/'4. NPV'!DTU$8,0)</f>
        <v>0</v>
      </c>
      <c r="DTU54" s="5">
        <f>-IFERROR('4. NPV'!#REF!/'4. NPV'!DTV$8,0)</f>
        <v>0</v>
      </c>
      <c r="DTV54" s="5">
        <f>-IFERROR('4. NPV'!#REF!/'4. NPV'!DTW$8,0)</f>
        <v>0</v>
      </c>
      <c r="DTW54" s="5">
        <f>-IFERROR('4. NPV'!#REF!/'4. NPV'!DTX$8,0)</f>
        <v>0</v>
      </c>
      <c r="DTX54" s="5">
        <f>-IFERROR('4. NPV'!#REF!/'4. NPV'!DTY$8,0)</f>
        <v>0</v>
      </c>
      <c r="DTY54" s="5">
        <f>-IFERROR('4. NPV'!#REF!/'4. NPV'!DTZ$8,0)</f>
        <v>0</v>
      </c>
      <c r="DTZ54" s="5">
        <f>-IFERROR('4. NPV'!#REF!/'4. NPV'!DUA$8,0)</f>
        <v>0</v>
      </c>
      <c r="DUA54" s="5">
        <f>-IFERROR('4. NPV'!#REF!/'4. NPV'!DUB$8,0)</f>
        <v>0</v>
      </c>
      <c r="DUB54" s="5">
        <f>-IFERROR('4. NPV'!#REF!/'4. NPV'!DUC$8,0)</f>
        <v>0</v>
      </c>
      <c r="DUC54" s="5">
        <f>-IFERROR('4. NPV'!#REF!/'4. NPV'!DUD$8,0)</f>
        <v>0</v>
      </c>
      <c r="DUD54" s="5">
        <f>-IFERROR('4. NPV'!#REF!/'4. NPV'!DUE$8,0)</f>
        <v>0</v>
      </c>
      <c r="DUE54" s="5">
        <f>-IFERROR('4. NPV'!#REF!/'4. NPV'!DUF$8,0)</f>
        <v>0</v>
      </c>
      <c r="DUF54" s="5">
        <f>-IFERROR('4. NPV'!#REF!/'4. NPV'!DUG$8,0)</f>
        <v>0</v>
      </c>
      <c r="DUG54" s="5">
        <f>-IFERROR('4. NPV'!#REF!/'4. NPV'!DUH$8,0)</f>
        <v>0</v>
      </c>
      <c r="DUH54" s="5">
        <f>-IFERROR('4. NPV'!#REF!/'4. NPV'!DUI$8,0)</f>
        <v>0</v>
      </c>
      <c r="DUI54" s="5">
        <f>-IFERROR('4. NPV'!#REF!/'4. NPV'!DUJ$8,0)</f>
        <v>0</v>
      </c>
      <c r="DUJ54" s="5">
        <f>-IFERROR('4. NPV'!#REF!/'4. NPV'!DUK$8,0)</f>
        <v>0</v>
      </c>
      <c r="DUK54" s="5">
        <f>-IFERROR('4. NPV'!#REF!/'4. NPV'!DUL$8,0)</f>
        <v>0</v>
      </c>
      <c r="DUL54" s="5">
        <f>-IFERROR('4. NPV'!#REF!/'4. NPV'!DUM$8,0)</f>
        <v>0</v>
      </c>
      <c r="DUM54" s="5">
        <f>-IFERROR('4. NPV'!#REF!/'4. NPV'!DUN$8,0)</f>
        <v>0</v>
      </c>
      <c r="DUN54" s="5">
        <f>-IFERROR('4. NPV'!#REF!/'4. NPV'!DUO$8,0)</f>
        <v>0</v>
      </c>
      <c r="DUO54" s="5">
        <f>-IFERROR('4. NPV'!#REF!/'4. NPV'!DUP$8,0)</f>
        <v>0</v>
      </c>
      <c r="DUP54" s="5">
        <f>-IFERROR('4. NPV'!#REF!/'4. NPV'!DUQ$8,0)</f>
        <v>0</v>
      </c>
      <c r="DUQ54" s="5">
        <f>-IFERROR('4. NPV'!#REF!/'4. NPV'!DUR$8,0)</f>
        <v>0</v>
      </c>
      <c r="DUR54" s="5">
        <f>-IFERROR('4. NPV'!#REF!/'4. NPV'!DUS$8,0)</f>
        <v>0</v>
      </c>
      <c r="DUS54" s="5">
        <f>-IFERROR('4. NPV'!#REF!/'4. NPV'!DUT$8,0)</f>
        <v>0</v>
      </c>
      <c r="DUT54" s="5">
        <f>-IFERROR('4. NPV'!#REF!/'4. NPV'!DUU$8,0)</f>
        <v>0</v>
      </c>
      <c r="DUU54" s="5">
        <f>-IFERROR('4. NPV'!#REF!/'4. NPV'!DUV$8,0)</f>
        <v>0</v>
      </c>
      <c r="DUV54" s="5">
        <f>-IFERROR('4. NPV'!#REF!/'4. NPV'!DUW$8,0)</f>
        <v>0</v>
      </c>
      <c r="DUW54" s="5">
        <f>-IFERROR('4. NPV'!#REF!/'4. NPV'!DUX$8,0)</f>
        <v>0</v>
      </c>
      <c r="DUX54" s="5">
        <f>-IFERROR('4. NPV'!#REF!/'4. NPV'!DUY$8,0)</f>
        <v>0</v>
      </c>
      <c r="DUY54" s="5">
        <f>-IFERROR('4. NPV'!#REF!/'4. NPV'!DUZ$8,0)</f>
        <v>0</v>
      </c>
      <c r="DUZ54" s="5">
        <f>-IFERROR('4. NPV'!#REF!/'4. NPV'!DVA$8,0)</f>
        <v>0</v>
      </c>
      <c r="DVA54" s="5">
        <f>-IFERROR('4. NPV'!#REF!/'4. NPV'!DVB$8,0)</f>
        <v>0</v>
      </c>
      <c r="DVB54" s="5">
        <f>-IFERROR('4. NPV'!#REF!/'4. NPV'!DVC$8,0)</f>
        <v>0</v>
      </c>
      <c r="DVC54" s="5">
        <f>-IFERROR('4. NPV'!#REF!/'4. NPV'!DVD$8,0)</f>
        <v>0</v>
      </c>
      <c r="DVD54" s="5">
        <f>-IFERROR('4. NPV'!#REF!/'4. NPV'!DVE$8,0)</f>
        <v>0</v>
      </c>
      <c r="DVE54" s="5">
        <f>-IFERROR('4. NPV'!#REF!/'4. NPV'!DVF$8,0)</f>
        <v>0</v>
      </c>
      <c r="DVF54" s="5">
        <f>-IFERROR('4. NPV'!#REF!/'4. NPV'!DVG$8,0)</f>
        <v>0</v>
      </c>
      <c r="DVG54" s="5">
        <f>-IFERROR('4. NPV'!#REF!/'4. NPV'!DVH$8,0)</f>
        <v>0</v>
      </c>
      <c r="DVH54" s="5">
        <f>-IFERROR('4. NPV'!#REF!/'4. NPV'!DVI$8,0)</f>
        <v>0</v>
      </c>
      <c r="DVI54" s="5">
        <f>-IFERROR('4. NPV'!#REF!/'4. NPV'!DVJ$8,0)</f>
        <v>0</v>
      </c>
      <c r="DVJ54" s="5">
        <f>-IFERROR('4. NPV'!#REF!/'4. NPV'!DVK$8,0)</f>
        <v>0</v>
      </c>
      <c r="DVK54" s="5">
        <f>-IFERROR('4. NPV'!#REF!/'4. NPV'!DVL$8,0)</f>
        <v>0</v>
      </c>
      <c r="DVL54" s="5">
        <f>-IFERROR('4. NPV'!#REF!/'4. NPV'!DVM$8,0)</f>
        <v>0</v>
      </c>
      <c r="DVM54" s="5">
        <f>-IFERROR('4. NPV'!#REF!/'4. NPV'!DVN$8,0)</f>
        <v>0</v>
      </c>
      <c r="DVN54" s="5">
        <f>-IFERROR('4. NPV'!#REF!/'4. NPV'!DVO$8,0)</f>
        <v>0</v>
      </c>
      <c r="DVO54" s="5">
        <f>-IFERROR('4. NPV'!#REF!/'4. NPV'!DVP$8,0)</f>
        <v>0</v>
      </c>
      <c r="DVP54" s="5">
        <f>-IFERROR('4. NPV'!#REF!/'4. NPV'!DVQ$8,0)</f>
        <v>0</v>
      </c>
      <c r="DVQ54" s="5">
        <f>-IFERROR('4. NPV'!#REF!/'4. NPV'!DVR$8,0)</f>
        <v>0</v>
      </c>
      <c r="DVR54" s="5">
        <f>-IFERROR('4. NPV'!#REF!/'4. NPV'!DVS$8,0)</f>
        <v>0</v>
      </c>
      <c r="DVS54" s="5">
        <f>-IFERROR('4. NPV'!#REF!/'4. NPV'!DVT$8,0)</f>
        <v>0</v>
      </c>
      <c r="DVT54" s="5">
        <f>-IFERROR('4. NPV'!#REF!/'4. NPV'!DVU$8,0)</f>
        <v>0</v>
      </c>
      <c r="DVU54" s="5">
        <f>-IFERROR('4. NPV'!#REF!/'4. NPV'!DVV$8,0)</f>
        <v>0</v>
      </c>
      <c r="DVV54" s="5">
        <f>-IFERROR('4. NPV'!#REF!/'4. NPV'!DVW$8,0)</f>
        <v>0</v>
      </c>
      <c r="DVW54" s="5">
        <f>-IFERROR('4. NPV'!#REF!/'4. NPV'!DVX$8,0)</f>
        <v>0</v>
      </c>
      <c r="DVX54" s="5">
        <f>-IFERROR('4. NPV'!#REF!/'4. NPV'!DVY$8,0)</f>
        <v>0</v>
      </c>
      <c r="DVY54" s="5">
        <f>-IFERROR('4. NPV'!#REF!/'4. NPV'!DVZ$8,0)</f>
        <v>0</v>
      </c>
      <c r="DVZ54" s="5">
        <f>-IFERROR('4. NPV'!#REF!/'4. NPV'!DWA$8,0)</f>
        <v>0</v>
      </c>
      <c r="DWA54" s="5">
        <f>-IFERROR('4. NPV'!#REF!/'4. NPV'!DWB$8,0)</f>
        <v>0</v>
      </c>
      <c r="DWB54" s="5">
        <f>-IFERROR('4. NPV'!#REF!/'4. NPV'!DWC$8,0)</f>
        <v>0</v>
      </c>
      <c r="DWC54" s="5">
        <f>-IFERROR('4. NPV'!#REF!/'4. NPV'!DWD$8,0)</f>
        <v>0</v>
      </c>
      <c r="DWD54" s="5">
        <f>-IFERROR('4. NPV'!#REF!/'4. NPV'!DWE$8,0)</f>
        <v>0</v>
      </c>
      <c r="DWE54" s="5">
        <f>-IFERROR('4. NPV'!#REF!/'4. NPV'!DWF$8,0)</f>
        <v>0</v>
      </c>
      <c r="DWF54" s="5">
        <f>-IFERROR('4. NPV'!#REF!/'4. NPV'!DWG$8,0)</f>
        <v>0</v>
      </c>
      <c r="DWG54" s="5">
        <f>-IFERROR('4. NPV'!#REF!/'4. NPV'!DWH$8,0)</f>
        <v>0</v>
      </c>
      <c r="DWH54" s="5">
        <f>-IFERROR('4. NPV'!#REF!/'4. NPV'!DWI$8,0)</f>
        <v>0</v>
      </c>
      <c r="DWI54" s="5">
        <f>-IFERROR('4. NPV'!#REF!/'4. NPV'!DWJ$8,0)</f>
        <v>0</v>
      </c>
      <c r="DWJ54" s="5">
        <f>-IFERROR('4. NPV'!#REF!/'4. NPV'!DWK$8,0)</f>
        <v>0</v>
      </c>
      <c r="DWK54" s="5">
        <f>-IFERROR('4. NPV'!#REF!/'4. NPV'!DWL$8,0)</f>
        <v>0</v>
      </c>
      <c r="DWL54" s="5">
        <f>-IFERROR('4. NPV'!#REF!/'4. NPV'!DWM$8,0)</f>
        <v>0</v>
      </c>
      <c r="DWM54" s="5">
        <f>-IFERROR('4. NPV'!#REF!/'4. NPV'!DWN$8,0)</f>
        <v>0</v>
      </c>
      <c r="DWN54" s="5">
        <f>-IFERROR('4. NPV'!#REF!/'4. NPV'!DWO$8,0)</f>
        <v>0</v>
      </c>
      <c r="DWO54" s="5">
        <f>-IFERROR('4. NPV'!#REF!/'4. NPV'!DWP$8,0)</f>
        <v>0</v>
      </c>
      <c r="DWP54" s="5">
        <f>-IFERROR('4. NPV'!#REF!/'4. NPV'!DWQ$8,0)</f>
        <v>0</v>
      </c>
      <c r="DWQ54" s="5">
        <f>-IFERROR('4. NPV'!#REF!/'4. NPV'!DWR$8,0)</f>
        <v>0</v>
      </c>
      <c r="DWR54" s="5">
        <f>-IFERROR('4. NPV'!#REF!/'4. NPV'!DWS$8,0)</f>
        <v>0</v>
      </c>
      <c r="DWS54" s="5">
        <f>-IFERROR('4. NPV'!#REF!/'4. NPV'!DWT$8,0)</f>
        <v>0</v>
      </c>
      <c r="DWT54" s="5">
        <f>-IFERROR('4. NPV'!#REF!/'4. NPV'!DWU$8,0)</f>
        <v>0</v>
      </c>
      <c r="DWU54" s="5">
        <f>-IFERROR('4. NPV'!#REF!/'4. NPV'!DWV$8,0)</f>
        <v>0</v>
      </c>
      <c r="DWV54" s="5">
        <f>-IFERROR('4. NPV'!#REF!/'4. NPV'!DWW$8,0)</f>
        <v>0</v>
      </c>
      <c r="DWW54" s="5">
        <f>-IFERROR('4. NPV'!#REF!/'4. NPV'!DWX$8,0)</f>
        <v>0</v>
      </c>
      <c r="DWX54" s="5">
        <f>-IFERROR('4. NPV'!#REF!/'4. NPV'!DWY$8,0)</f>
        <v>0</v>
      </c>
      <c r="DWY54" s="5">
        <f>-IFERROR('4. NPV'!#REF!/'4. NPV'!DWZ$8,0)</f>
        <v>0</v>
      </c>
      <c r="DWZ54" s="5">
        <f>-IFERROR('4. NPV'!#REF!/'4. NPV'!DXA$8,0)</f>
        <v>0</v>
      </c>
      <c r="DXA54" s="5">
        <f>-IFERROR('4. NPV'!#REF!/'4. NPV'!DXB$8,0)</f>
        <v>0</v>
      </c>
      <c r="DXB54" s="5">
        <f>-IFERROR('4. NPV'!#REF!/'4. NPV'!DXC$8,0)</f>
        <v>0</v>
      </c>
      <c r="DXC54" s="5">
        <f>-IFERROR('4. NPV'!#REF!/'4. NPV'!DXD$8,0)</f>
        <v>0</v>
      </c>
      <c r="DXD54" s="5">
        <f>-IFERROR('4. NPV'!#REF!/'4. NPV'!DXE$8,0)</f>
        <v>0</v>
      </c>
      <c r="DXE54" s="5">
        <f>-IFERROR('4. NPV'!#REF!/'4. NPV'!DXF$8,0)</f>
        <v>0</v>
      </c>
      <c r="DXF54" s="5">
        <f>-IFERROR('4. NPV'!#REF!/'4. NPV'!DXG$8,0)</f>
        <v>0</v>
      </c>
      <c r="DXG54" s="5">
        <f>-IFERROR('4. NPV'!#REF!/'4. NPV'!DXH$8,0)</f>
        <v>0</v>
      </c>
      <c r="DXH54" s="5">
        <f>-IFERROR('4. NPV'!#REF!/'4. NPV'!DXI$8,0)</f>
        <v>0</v>
      </c>
      <c r="DXI54" s="5">
        <f>-IFERROR('4. NPV'!#REF!/'4. NPV'!DXJ$8,0)</f>
        <v>0</v>
      </c>
      <c r="DXJ54" s="5">
        <f>-IFERROR('4. NPV'!#REF!/'4. NPV'!DXK$8,0)</f>
        <v>0</v>
      </c>
      <c r="DXK54" s="5">
        <f>-IFERROR('4. NPV'!#REF!/'4. NPV'!DXL$8,0)</f>
        <v>0</v>
      </c>
      <c r="DXL54" s="5">
        <f>-IFERROR('4. NPV'!#REF!/'4. NPV'!DXM$8,0)</f>
        <v>0</v>
      </c>
      <c r="DXM54" s="5">
        <f>-IFERROR('4. NPV'!#REF!/'4. NPV'!DXN$8,0)</f>
        <v>0</v>
      </c>
      <c r="DXN54" s="5">
        <f>-IFERROR('4. NPV'!#REF!/'4. NPV'!DXO$8,0)</f>
        <v>0</v>
      </c>
      <c r="DXO54" s="5">
        <f>-IFERROR('4. NPV'!#REF!/'4. NPV'!DXP$8,0)</f>
        <v>0</v>
      </c>
      <c r="DXP54" s="5">
        <f>-IFERROR('4. NPV'!#REF!/'4. NPV'!DXQ$8,0)</f>
        <v>0</v>
      </c>
      <c r="DXQ54" s="5">
        <f>-IFERROR('4. NPV'!#REF!/'4. NPV'!DXR$8,0)</f>
        <v>0</v>
      </c>
      <c r="DXR54" s="5">
        <f>-IFERROR('4. NPV'!#REF!/'4. NPV'!DXS$8,0)</f>
        <v>0</v>
      </c>
      <c r="DXS54" s="5">
        <f>-IFERROR('4. NPV'!#REF!/'4. NPV'!DXT$8,0)</f>
        <v>0</v>
      </c>
      <c r="DXT54" s="5">
        <f>-IFERROR('4. NPV'!#REF!/'4. NPV'!DXU$8,0)</f>
        <v>0</v>
      </c>
      <c r="DXU54" s="5">
        <f>-IFERROR('4. NPV'!#REF!/'4. NPV'!DXV$8,0)</f>
        <v>0</v>
      </c>
      <c r="DXV54" s="5">
        <f>-IFERROR('4. NPV'!#REF!/'4. NPV'!DXW$8,0)</f>
        <v>0</v>
      </c>
      <c r="DXW54" s="5">
        <f>-IFERROR('4. NPV'!#REF!/'4. NPV'!DXX$8,0)</f>
        <v>0</v>
      </c>
      <c r="DXX54" s="5">
        <f>-IFERROR('4. NPV'!#REF!/'4. NPV'!DXY$8,0)</f>
        <v>0</v>
      </c>
      <c r="DXY54" s="5">
        <f>-IFERROR('4. NPV'!#REF!/'4. NPV'!DXZ$8,0)</f>
        <v>0</v>
      </c>
      <c r="DXZ54" s="5">
        <f>-IFERROR('4. NPV'!#REF!/'4. NPV'!DYA$8,0)</f>
        <v>0</v>
      </c>
      <c r="DYA54" s="5">
        <f>-IFERROR('4. NPV'!#REF!/'4. NPV'!DYB$8,0)</f>
        <v>0</v>
      </c>
      <c r="DYB54" s="5">
        <f>-IFERROR('4. NPV'!#REF!/'4. NPV'!DYC$8,0)</f>
        <v>0</v>
      </c>
      <c r="DYC54" s="5">
        <f>-IFERROR('4. NPV'!#REF!/'4. NPV'!DYD$8,0)</f>
        <v>0</v>
      </c>
      <c r="DYD54" s="5">
        <f>-IFERROR('4. NPV'!#REF!/'4. NPV'!DYE$8,0)</f>
        <v>0</v>
      </c>
      <c r="DYE54" s="5">
        <f>-IFERROR('4. NPV'!#REF!/'4. NPV'!DYF$8,0)</f>
        <v>0</v>
      </c>
      <c r="DYF54" s="5">
        <f>-IFERROR('4. NPV'!#REF!/'4. NPV'!DYG$8,0)</f>
        <v>0</v>
      </c>
      <c r="DYG54" s="5">
        <f>-IFERROR('4. NPV'!#REF!/'4. NPV'!DYH$8,0)</f>
        <v>0</v>
      </c>
      <c r="DYH54" s="5">
        <f>-IFERROR('4. NPV'!#REF!/'4. NPV'!DYI$8,0)</f>
        <v>0</v>
      </c>
      <c r="DYI54" s="5">
        <f>-IFERROR('4. NPV'!#REF!/'4. NPV'!DYJ$8,0)</f>
        <v>0</v>
      </c>
      <c r="DYJ54" s="5">
        <f>-IFERROR('4. NPV'!#REF!/'4. NPV'!DYK$8,0)</f>
        <v>0</v>
      </c>
      <c r="DYK54" s="5">
        <f>-IFERROR('4. NPV'!#REF!/'4. NPV'!DYL$8,0)</f>
        <v>0</v>
      </c>
      <c r="DYL54" s="5">
        <f>-IFERROR('4. NPV'!#REF!/'4. NPV'!DYM$8,0)</f>
        <v>0</v>
      </c>
      <c r="DYM54" s="5">
        <f>-IFERROR('4. NPV'!#REF!/'4. NPV'!DYN$8,0)</f>
        <v>0</v>
      </c>
      <c r="DYN54" s="5">
        <f>-IFERROR('4. NPV'!#REF!/'4. NPV'!DYO$8,0)</f>
        <v>0</v>
      </c>
      <c r="DYO54" s="5">
        <f>-IFERROR('4. NPV'!#REF!/'4. NPV'!DYP$8,0)</f>
        <v>0</v>
      </c>
      <c r="DYP54" s="5">
        <f>-IFERROR('4. NPV'!#REF!/'4. NPV'!DYQ$8,0)</f>
        <v>0</v>
      </c>
      <c r="DYQ54" s="5">
        <f>-IFERROR('4. NPV'!#REF!/'4. NPV'!DYR$8,0)</f>
        <v>0</v>
      </c>
      <c r="DYR54" s="5">
        <f>-IFERROR('4. NPV'!#REF!/'4. NPV'!DYS$8,0)</f>
        <v>0</v>
      </c>
      <c r="DYS54" s="5">
        <f>-IFERROR('4. NPV'!#REF!/'4. NPV'!DYT$8,0)</f>
        <v>0</v>
      </c>
      <c r="DYT54" s="5">
        <f>-IFERROR('4. NPV'!#REF!/'4. NPV'!DYU$8,0)</f>
        <v>0</v>
      </c>
      <c r="DYU54" s="5">
        <f>-IFERROR('4. NPV'!#REF!/'4. NPV'!DYV$8,0)</f>
        <v>0</v>
      </c>
      <c r="DYV54" s="5">
        <f>-IFERROR('4. NPV'!#REF!/'4. NPV'!DYW$8,0)</f>
        <v>0</v>
      </c>
      <c r="DYW54" s="5">
        <f>-IFERROR('4. NPV'!#REF!/'4. NPV'!DYX$8,0)</f>
        <v>0</v>
      </c>
      <c r="DYX54" s="5">
        <f>-IFERROR('4. NPV'!#REF!/'4. NPV'!DYY$8,0)</f>
        <v>0</v>
      </c>
      <c r="DYY54" s="5">
        <f>-IFERROR('4. NPV'!#REF!/'4. NPV'!DYZ$8,0)</f>
        <v>0</v>
      </c>
      <c r="DYZ54" s="5">
        <f>-IFERROR('4. NPV'!#REF!/'4. NPV'!DZA$8,0)</f>
        <v>0</v>
      </c>
      <c r="DZA54" s="5">
        <f>-IFERROR('4. NPV'!#REF!/'4. NPV'!DZB$8,0)</f>
        <v>0</v>
      </c>
      <c r="DZB54" s="5">
        <f>-IFERROR('4. NPV'!#REF!/'4. NPV'!DZC$8,0)</f>
        <v>0</v>
      </c>
      <c r="DZC54" s="5">
        <f>-IFERROR('4. NPV'!#REF!/'4. NPV'!DZD$8,0)</f>
        <v>0</v>
      </c>
      <c r="DZD54" s="5">
        <f>-IFERROR('4. NPV'!#REF!/'4. NPV'!DZE$8,0)</f>
        <v>0</v>
      </c>
      <c r="DZE54" s="5">
        <f>-IFERROR('4. NPV'!#REF!/'4. NPV'!DZF$8,0)</f>
        <v>0</v>
      </c>
      <c r="DZF54" s="5">
        <f>-IFERROR('4. NPV'!#REF!/'4. NPV'!DZG$8,0)</f>
        <v>0</v>
      </c>
      <c r="DZG54" s="5">
        <f>-IFERROR('4. NPV'!#REF!/'4. NPV'!DZH$8,0)</f>
        <v>0</v>
      </c>
      <c r="DZH54" s="5">
        <f>-IFERROR('4. NPV'!#REF!/'4. NPV'!DZI$8,0)</f>
        <v>0</v>
      </c>
      <c r="DZI54" s="5">
        <f>-IFERROR('4. NPV'!#REF!/'4. NPV'!DZJ$8,0)</f>
        <v>0</v>
      </c>
      <c r="DZJ54" s="5">
        <f>-IFERROR('4. NPV'!#REF!/'4. NPV'!DZK$8,0)</f>
        <v>0</v>
      </c>
      <c r="DZK54" s="5">
        <f>-IFERROR('4. NPV'!#REF!/'4. NPV'!DZL$8,0)</f>
        <v>0</v>
      </c>
      <c r="DZL54" s="5">
        <f>-IFERROR('4. NPV'!#REF!/'4. NPV'!DZM$8,0)</f>
        <v>0</v>
      </c>
      <c r="DZM54" s="5">
        <f>-IFERROR('4. NPV'!#REF!/'4. NPV'!DZN$8,0)</f>
        <v>0</v>
      </c>
      <c r="DZN54" s="5">
        <f>-IFERROR('4. NPV'!#REF!/'4. NPV'!DZO$8,0)</f>
        <v>0</v>
      </c>
      <c r="DZO54" s="5">
        <f>-IFERROR('4. NPV'!#REF!/'4. NPV'!DZP$8,0)</f>
        <v>0</v>
      </c>
      <c r="DZP54" s="5">
        <f>-IFERROR('4. NPV'!#REF!/'4. NPV'!DZQ$8,0)</f>
        <v>0</v>
      </c>
      <c r="DZQ54" s="5">
        <f>-IFERROR('4. NPV'!#REF!/'4. NPV'!DZR$8,0)</f>
        <v>0</v>
      </c>
      <c r="DZR54" s="5">
        <f>-IFERROR('4. NPV'!#REF!/'4. NPV'!DZS$8,0)</f>
        <v>0</v>
      </c>
      <c r="DZS54" s="5">
        <f>-IFERROR('4. NPV'!#REF!/'4. NPV'!DZT$8,0)</f>
        <v>0</v>
      </c>
      <c r="DZT54" s="5">
        <f>-IFERROR('4. NPV'!#REF!/'4. NPV'!DZU$8,0)</f>
        <v>0</v>
      </c>
      <c r="DZU54" s="5">
        <f>-IFERROR('4. NPV'!#REF!/'4. NPV'!DZV$8,0)</f>
        <v>0</v>
      </c>
      <c r="DZV54" s="5">
        <f>-IFERROR('4. NPV'!#REF!/'4. NPV'!DZW$8,0)</f>
        <v>0</v>
      </c>
      <c r="DZW54" s="5">
        <f>-IFERROR('4. NPV'!#REF!/'4. NPV'!DZX$8,0)</f>
        <v>0</v>
      </c>
      <c r="DZX54" s="5">
        <f>-IFERROR('4. NPV'!#REF!/'4. NPV'!DZY$8,0)</f>
        <v>0</v>
      </c>
      <c r="DZY54" s="5">
        <f>-IFERROR('4. NPV'!#REF!/'4. NPV'!DZZ$8,0)</f>
        <v>0</v>
      </c>
      <c r="DZZ54" s="5">
        <f>-IFERROR('4. NPV'!#REF!/'4. NPV'!EAA$8,0)</f>
        <v>0</v>
      </c>
      <c r="EAA54" s="5">
        <f>-IFERROR('4. NPV'!#REF!/'4. NPV'!EAB$8,0)</f>
        <v>0</v>
      </c>
      <c r="EAB54" s="5">
        <f>-IFERROR('4. NPV'!#REF!/'4. NPV'!EAC$8,0)</f>
        <v>0</v>
      </c>
      <c r="EAC54" s="5">
        <f>-IFERROR('4. NPV'!#REF!/'4. NPV'!EAD$8,0)</f>
        <v>0</v>
      </c>
      <c r="EAD54" s="5">
        <f>-IFERROR('4. NPV'!#REF!/'4. NPV'!EAE$8,0)</f>
        <v>0</v>
      </c>
      <c r="EAE54" s="5">
        <f>-IFERROR('4. NPV'!#REF!/'4. NPV'!EAF$8,0)</f>
        <v>0</v>
      </c>
      <c r="EAF54" s="5">
        <f>-IFERROR('4. NPV'!#REF!/'4. NPV'!EAG$8,0)</f>
        <v>0</v>
      </c>
      <c r="EAG54" s="5">
        <f>-IFERROR('4. NPV'!#REF!/'4. NPV'!EAH$8,0)</f>
        <v>0</v>
      </c>
      <c r="EAH54" s="5">
        <f>-IFERROR('4. NPV'!#REF!/'4. NPV'!EAI$8,0)</f>
        <v>0</v>
      </c>
      <c r="EAI54" s="5">
        <f>-IFERROR('4. NPV'!#REF!/'4. NPV'!EAJ$8,0)</f>
        <v>0</v>
      </c>
      <c r="EAJ54" s="5">
        <f>-IFERROR('4. NPV'!#REF!/'4. NPV'!EAK$8,0)</f>
        <v>0</v>
      </c>
      <c r="EAK54" s="5">
        <f>-IFERROR('4. NPV'!#REF!/'4. NPV'!EAL$8,0)</f>
        <v>0</v>
      </c>
      <c r="EAL54" s="5">
        <f>-IFERROR('4. NPV'!#REF!/'4. NPV'!EAM$8,0)</f>
        <v>0</v>
      </c>
      <c r="EAM54" s="5">
        <f>-IFERROR('4. NPV'!#REF!/'4. NPV'!EAN$8,0)</f>
        <v>0</v>
      </c>
      <c r="EAN54" s="5">
        <f>-IFERROR('4. NPV'!#REF!/'4. NPV'!EAO$8,0)</f>
        <v>0</v>
      </c>
      <c r="EAO54" s="5">
        <f>-IFERROR('4. NPV'!#REF!/'4. NPV'!EAP$8,0)</f>
        <v>0</v>
      </c>
      <c r="EAP54" s="5">
        <f>-IFERROR('4. NPV'!#REF!/'4. NPV'!EAQ$8,0)</f>
        <v>0</v>
      </c>
      <c r="EAQ54" s="5">
        <f>-IFERROR('4. NPV'!#REF!/'4. NPV'!EAR$8,0)</f>
        <v>0</v>
      </c>
      <c r="EAR54" s="5">
        <f>-IFERROR('4. NPV'!#REF!/'4. NPV'!EAS$8,0)</f>
        <v>0</v>
      </c>
      <c r="EAS54" s="5">
        <f>-IFERROR('4. NPV'!#REF!/'4. NPV'!EAT$8,0)</f>
        <v>0</v>
      </c>
      <c r="EAT54" s="5">
        <f>-IFERROR('4. NPV'!#REF!/'4. NPV'!EAU$8,0)</f>
        <v>0</v>
      </c>
      <c r="EAU54" s="5">
        <f>-IFERROR('4. NPV'!#REF!/'4. NPV'!EAV$8,0)</f>
        <v>0</v>
      </c>
      <c r="EAV54" s="5">
        <f>-IFERROR('4. NPV'!#REF!/'4. NPV'!EAW$8,0)</f>
        <v>0</v>
      </c>
      <c r="EAW54" s="5">
        <f>-IFERROR('4. NPV'!#REF!/'4. NPV'!EAX$8,0)</f>
        <v>0</v>
      </c>
      <c r="EAX54" s="5">
        <f>-IFERROR('4. NPV'!#REF!/'4. NPV'!EAY$8,0)</f>
        <v>0</v>
      </c>
      <c r="EAY54" s="5">
        <f>-IFERROR('4. NPV'!#REF!/'4. NPV'!EAZ$8,0)</f>
        <v>0</v>
      </c>
      <c r="EAZ54" s="5">
        <f>-IFERROR('4. NPV'!#REF!/'4. NPV'!EBA$8,0)</f>
        <v>0</v>
      </c>
      <c r="EBA54" s="5">
        <f>-IFERROR('4. NPV'!#REF!/'4. NPV'!EBB$8,0)</f>
        <v>0</v>
      </c>
      <c r="EBB54" s="5">
        <f>-IFERROR('4. NPV'!#REF!/'4. NPV'!EBC$8,0)</f>
        <v>0</v>
      </c>
      <c r="EBC54" s="5">
        <f>-IFERROR('4. NPV'!#REF!/'4. NPV'!EBD$8,0)</f>
        <v>0</v>
      </c>
      <c r="EBD54" s="5">
        <f>-IFERROR('4. NPV'!#REF!/'4. NPV'!EBE$8,0)</f>
        <v>0</v>
      </c>
      <c r="EBE54" s="5">
        <f>-IFERROR('4. NPV'!#REF!/'4. NPV'!EBF$8,0)</f>
        <v>0</v>
      </c>
      <c r="EBF54" s="5">
        <f>-IFERROR('4. NPV'!#REF!/'4. NPV'!EBG$8,0)</f>
        <v>0</v>
      </c>
      <c r="EBG54" s="5">
        <f>-IFERROR('4. NPV'!#REF!/'4. NPV'!EBH$8,0)</f>
        <v>0</v>
      </c>
      <c r="EBH54" s="5">
        <f>-IFERROR('4. NPV'!#REF!/'4. NPV'!EBI$8,0)</f>
        <v>0</v>
      </c>
      <c r="EBI54" s="5">
        <f>-IFERROR('4. NPV'!#REF!/'4. NPV'!EBJ$8,0)</f>
        <v>0</v>
      </c>
      <c r="EBJ54" s="5">
        <f>-IFERROR('4. NPV'!#REF!/'4. NPV'!EBK$8,0)</f>
        <v>0</v>
      </c>
      <c r="EBK54" s="5">
        <f>-IFERROR('4. NPV'!#REF!/'4. NPV'!EBL$8,0)</f>
        <v>0</v>
      </c>
      <c r="EBL54" s="5">
        <f>-IFERROR('4. NPV'!#REF!/'4. NPV'!EBM$8,0)</f>
        <v>0</v>
      </c>
      <c r="EBM54" s="5">
        <f>-IFERROR('4. NPV'!#REF!/'4. NPV'!EBN$8,0)</f>
        <v>0</v>
      </c>
      <c r="EBN54" s="5">
        <f>-IFERROR('4. NPV'!#REF!/'4. NPV'!EBO$8,0)</f>
        <v>0</v>
      </c>
      <c r="EBO54" s="5">
        <f>-IFERROR('4. NPV'!#REF!/'4. NPV'!EBP$8,0)</f>
        <v>0</v>
      </c>
      <c r="EBP54" s="5">
        <f>-IFERROR('4. NPV'!#REF!/'4. NPV'!EBQ$8,0)</f>
        <v>0</v>
      </c>
      <c r="EBQ54" s="5">
        <f>-IFERROR('4. NPV'!#REF!/'4. NPV'!EBR$8,0)</f>
        <v>0</v>
      </c>
      <c r="EBR54" s="5">
        <f>-IFERROR('4. NPV'!#REF!/'4. NPV'!EBS$8,0)</f>
        <v>0</v>
      </c>
      <c r="EBS54" s="5">
        <f>-IFERROR('4. NPV'!#REF!/'4. NPV'!EBT$8,0)</f>
        <v>0</v>
      </c>
      <c r="EBT54" s="5">
        <f>-IFERROR('4. NPV'!#REF!/'4. NPV'!EBU$8,0)</f>
        <v>0</v>
      </c>
      <c r="EBU54" s="5">
        <f>-IFERROR('4. NPV'!#REF!/'4. NPV'!EBV$8,0)</f>
        <v>0</v>
      </c>
      <c r="EBV54" s="5">
        <f>-IFERROR('4. NPV'!#REF!/'4. NPV'!EBW$8,0)</f>
        <v>0</v>
      </c>
      <c r="EBW54" s="5">
        <f>-IFERROR('4. NPV'!#REF!/'4. NPV'!EBX$8,0)</f>
        <v>0</v>
      </c>
      <c r="EBX54" s="5">
        <f>-IFERROR('4. NPV'!#REF!/'4. NPV'!EBY$8,0)</f>
        <v>0</v>
      </c>
      <c r="EBY54" s="5">
        <f>-IFERROR('4. NPV'!#REF!/'4. NPV'!EBZ$8,0)</f>
        <v>0</v>
      </c>
      <c r="EBZ54" s="5">
        <f>-IFERROR('4. NPV'!#REF!/'4. NPV'!ECA$8,0)</f>
        <v>0</v>
      </c>
      <c r="ECA54" s="5">
        <f>-IFERROR('4. NPV'!#REF!/'4. NPV'!ECB$8,0)</f>
        <v>0</v>
      </c>
      <c r="ECB54" s="5">
        <f>-IFERROR('4. NPV'!#REF!/'4. NPV'!ECC$8,0)</f>
        <v>0</v>
      </c>
      <c r="ECC54" s="5">
        <f>-IFERROR('4. NPV'!#REF!/'4. NPV'!ECD$8,0)</f>
        <v>0</v>
      </c>
      <c r="ECD54" s="5">
        <f>-IFERROR('4. NPV'!#REF!/'4. NPV'!ECE$8,0)</f>
        <v>0</v>
      </c>
      <c r="ECE54" s="5">
        <f>-IFERROR('4. NPV'!#REF!/'4. NPV'!ECF$8,0)</f>
        <v>0</v>
      </c>
      <c r="ECF54" s="5">
        <f>-IFERROR('4. NPV'!#REF!/'4. NPV'!ECG$8,0)</f>
        <v>0</v>
      </c>
      <c r="ECG54" s="5">
        <f>-IFERROR('4. NPV'!#REF!/'4. NPV'!ECH$8,0)</f>
        <v>0</v>
      </c>
      <c r="ECH54" s="5">
        <f>-IFERROR('4. NPV'!#REF!/'4. NPV'!ECI$8,0)</f>
        <v>0</v>
      </c>
      <c r="ECI54" s="5">
        <f>-IFERROR('4. NPV'!#REF!/'4. NPV'!ECJ$8,0)</f>
        <v>0</v>
      </c>
      <c r="ECJ54" s="5">
        <f>-IFERROR('4. NPV'!#REF!/'4. NPV'!ECK$8,0)</f>
        <v>0</v>
      </c>
      <c r="ECK54" s="5">
        <f>-IFERROR('4. NPV'!#REF!/'4. NPV'!ECL$8,0)</f>
        <v>0</v>
      </c>
      <c r="ECL54" s="5">
        <f>-IFERROR('4. NPV'!#REF!/'4. NPV'!ECM$8,0)</f>
        <v>0</v>
      </c>
      <c r="ECM54" s="5">
        <f>-IFERROR('4. NPV'!#REF!/'4. NPV'!ECN$8,0)</f>
        <v>0</v>
      </c>
      <c r="ECN54" s="5">
        <f>-IFERROR('4. NPV'!#REF!/'4. NPV'!ECO$8,0)</f>
        <v>0</v>
      </c>
      <c r="ECO54" s="5">
        <f>-IFERROR('4. NPV'!#REF!/'4. NPV'!ECP$8,0)</f>
        <v>0</v>
      </c>
      <c r="ECP54" s="5">
        <f>-IFERROR('4. NPV'!#REF!/'4. NPV'!ECQ$8,0)</f>
        <v>0</v>
      </c>
      <c r="ECQ54" s="5">
        <f>-IFERROR('4. NPV'!#REF!/'4. NPV'!ECR$8,0)</f>
        <v>0</v>
      </c>
      <c r="ECR54" s="5">
        <f>-IFERROR('4. NPV'!#REF!/'4. NPV'!ECS$8,0)</f>
        <v>0</v>
      </c>
      <c r="ECS54" s="5">
        <f>-IFERROR('4. NPV'!#REF!/'4. NPV'!ECT$8,0)</f>
        <v>0</v>
      </c>
      <c r="ECT54" s="5">
        <f>-IFERROR('4. NPV'!#REF!/'4. NPV'!ECU$8,0)</f>
        <v>0</v>
      </c>
      <c r="ECU54" s="5">
        <f>-IFERROR('4. NPV'!#REF!/'4. NPV'!ECV$8,0)</f>
        <v>0</v>
      </c>
      <c r="ECV54" s="5">
        <f>-IFERROR('4. NPV'!#REF!/'4. NPV'!ECW$8,0)</f>
        <v>0</v>
      </c>
      <c r="ECW54" s="5">
        <f>-IFERROR('4. NPV'!#REF!/'4. NPV'!ECX$8,0)</f>
        <v>0</v>
      </c>
      <c r="ECX54" s="5">
        <f>-IFERROR('4. NPV'!#REF!/'4. NPV'!ECY$8,0)</f>
        <v>0</v>
      </c>
      <c r="ECY54" s="5">
        <f>-IFERROR('4. NPV'!#REF!/'4. NPV'!ECZ$8,0)</f>
        <v>0</v>
      </c>
      <c r="ECZ54" s="5">
        <f>-IFERROR('4. NPV'!#REF!/'4. NPV'!EDA$8,0)</f>
        <v>0</v>
      </c>
      <c r="EDA54" s="5">
        <f>-IFERROR('4. NPV'!#REF!/'4. NPV'!EDB$8,0)</f>
        <v>0</v>
      </c>
      <c r="EDB54" s="5">
        <f>-IFERROR('4. NPV'!#REF!/'4. NPV'!EDC$8,0)</f>
        <v>0</v>
      </c>
      <c r="EDC54" s="5">
        <f>-IFERROR('4. NPV'!#REF!/'4. NPV'!EDD$8,0)</f>
        <v>0</v>
      </c>
      <c r="EDD54" s="5">
        <f>-IFERROR('4. NPV'!#REF!/'4. NPV'!EDE$8,0)</f>
        <v>0</v>
      </c>
      <c r="EDE54" s="5">
        <f>-IFERROR('4. NPV'!#REF!/'4. NPV'!EDF$8,0)</f>
        <v>0</v>
      </c>
      <c r="EDF54" s="5">
        <f>-IFERROR('4. NPV'!#REF!/'4. NPV'!EDG$8,0)</f>
        <v>0</v>
      </c>
      <c r="EDG54" s="5">
        <f>-IFERROR('4. NPV'!#REF!/'4. NPV'!EDH$8,0)</f>
        <v>0</v>
      </c>
      <c r="EDH54" s="5">
        <f>-IFERROR('4. NPV'!#REF!/'4. NPV'!EDI$8,0)</f>
        <v>0</v>
      </c>
      <c r="EDI54" s="5">
        <f>-IFERROR('4. NPV'!#REF!/'4. NPV'!EDJ$8,0)</f>
        <v>0</v>
      </c>
      <c r="EDJ54" s="5">
        <f>-IFERROR('4. NPV'!#REF!/'4. NPV'!EDK$8,0)</f>
        <v>0</v>
      </c>
      <c r="EDK54" s="5">
        <f>-IFERROR('4. NPV'!#REF!/'4. NPV'!EDL$8,0)</f>
        <v>0</v>
      </c>
      <c r="EDL54" s="5">
        <f>-IFERROR('4. NPV'!#REF!/'4. NPV'!EDM$8,0)</f>
        <v>0</v>
      </c>
      <c r="EDM54" s="5">
        <f>-IFERROR('4. NPV'!#REF!/'4. NPV'!EDN$8,0)</f>
        <v>0</v>
      </c>
      <c r="EDN54" s="5">
        <f>-IFERROR('4. NPV'!#REF!/'4. NPV'!EDO$8,0)</f>
        <v>0</v>
      </c>
      <c r="EDO54" s="5">
        <f>-IFERROR('4. NPV'!#REF!/'4. NPV'!EDP$8,0)</f>
        <v>0</v>
      </c>
      <c r="EDP54" s="5">
        <f>-IFERROR('4. NPV'!#REF!/'4. NPV'!EDQ$8,0)</f>
        <v>0</v>
      </c>
      <c r="EDQ54" s="5">
        <f>-IFERROR('4. NPV'!#REF!/'4. NPV'!EDR$8,0)</f>
        <v>0</v>
      </c>
      <c r="EDR54" s="5">
        <f>-IFERROR('4. NPV'!#REF!/'4. NPV'!EDS$8,0)</f>
        <v>0</v>
      </c>
      <c r="EDS54" s="5">
        <f>-IFERROR('4. NPV'!#REF!/'4. NPV'!EDT$8,0)</f>
        <v>0</v>
      </c>
      <c r="EDT54" s="5">
        <f>-IFERROR('4. NPV'!#REF!/'4. NPV'!EDU$8,0)</f>
        <v>0</v>
      </c>
      <c r="EDU54" s="5">
        <f>-IFERROR('4. NPV'!#REF!/'4. NPV'!EDV$8,0)</f>
        <v>0</v>
      </c>
      <c r="EDV54" s="5">
        <f>-IFERROR('4. NPV'!#REF!/'4. NPV'!EDW$8,0)</f>
        <v>0</v>
      </c>
      <c r="EDW54" s="5">
        <f>-IFERROR('4. NPV'!#REF!/'4. NPV'!EDX$8,0)</f>
        <v>0</v>
      </c>
      <c r="EDX54" s="5">
        <f>-IFERROR('4. NPV'!#REF!/'4. NPV'!EDY$8,0)</f>
        <v>0</v>
      </c>
      <c r="EDY54" s="5">
        <f>-IFERROR('4. NPV'!#REF!/'4. NPV'!EDZ$8,0)</f>
        <v>0</v>
      </c>
      <c r="EDZ54" s="5">
        <f>-IFERROR('4. NPV'!#REF!/'4. NPV'!EEA$8,0)</f>
        <v>0</v>
      </c>
      <c r="EEA54" s="5">
        <f>-IFERROR('4. NPV'!#REF!/'4. NPV'!EEB$8,0)</f>
        <v>0</v>
      </c>
      <c r="EEB54" s="5">
        <f>-IFERROR('4. NPV'!#REF!/'4. NPV'!EEC$8,0)</f>
        <v>0</v>
      </c>
      <c r="EEC54" s="5">
        <f>-IFERROR('4. NPV'!#REF!/'4. NPV'!EED$8,0)</f>
        <v>0</v>
      </c>
      <c r="EED54" s="5">
        <f>-IFERROR('4. NPV'!#REF!/'4. NPV'!EEE$8,0)</f>
        <v>0</v>
      </c>
      <c r="EEE54" s="5">
        <f>-IFERROR('4. NPV'!#REF!/'4. NPV'!EEF$8,0)</f>
        <v>0</v>
      </c>
      <c r="EEF54" s="5">
        <f>-IFERROR('4. NPV'!#REF!/'4. NPV'!EEG$8,0)</f>
        <v>0</v>
      </c>
      <c r="EEG54" s="5">
        <f>-IFERROR('4. NPV'!#REF!/'4. NPV'!EEH$8,0)</f>
        <v>0</v>
      </c>
      <c r="EEH54" s="5">
        <f>-IFERROR('4. NPV'!#REF!/'4. NPV'!EEI$8,0)</f>
        <v>0</v>
      </c>
      <c r="EEI54" s="5">
        <f>-IFERROR('4. NPV'!#REF!/'4. NPV'!EEJ$8,0)</f>
        <v>0</v>
      </c>
      <c r="EEJ54" s="5">
        <f>-IFERROR('4. NPV'!#REF!/'4. NPV'!EEK$8,0)</f>
        <v>0</v>
      </c>
      <c r="EEK54" s="5">
        <f>-IFERROR('4. NPV'!#REF!/'4. NPV'!EEL$8,0)</f>
        <v>0</v>
      </c>
      <c r="EEL54" s="5">
        <f>-IFERROR('4. NPV'!#REF!/'4. NPV'!EEM$8,0)</f>
        <v>0</v>
      </c>
      <c r="EEM54" s="5">
        <f>-IFERROR('4. NPV'!#REF!/'4. NPV'!EEN$8,0)</f>
        <v>0</v>
      </c>
      <c r="EEN54" s="5">
        <f>-IFERROR('4. NPV'!#REF!/'4. NPV'!EEO$8,0)</f>
        <v>0</v>
      </c>
      <c r="EEO54" s="5">
        <f>-IFERROR('4. NPV'!#REF!/'4. NPV'!EEP$8,0)</f>
        <v>0</v>
      </c>
      <c r="EEP54" s="5">
        <f>-IFERROR('4. NPV'!#REF!/'4. NPV'!EEQ$8,0)</f>
        <v>0</v>
      </c>
      <c r="EEQ54" s="5">
        <f>-IFERROR('4. NPV'!#REF!/'4. NPV'!EER$8,0)</f>
        <v>0</v>
      </c>
      <c r="EER54" s="5">
        <f>-IFERROR('4. NPV'!#REF!/'4. NPV'!EES$8,0)</f>
        <v>0</v>
      </c>
      <c r="EES54" s="5">
        <f>-IFERROR('4. NPV'!#REF!/'4. NPV'!EET$8,0)</f>
        <v>0</v>
      </c>
      <c r="EET54" s="5">
        <f>-IFERROR('4. NPV'!#REF!/'4. NPV'!EEU$8,0)</f>
        <v>0</v>
      </c>
      <c r="EEU54" s="5">
        <f>-IFERROR('4. NPV'!#REF!/'4. NPV'!EEV$8,0)</f>
        <v>0</v>
      </c>
      <c r="EEV54" s="5">
        <f>-IFERROR('4. NPV'!#REF!/'4. NPV'!EEW$8,0)</f>
        <v>0</v>
      </c>
      <c r="EEW54" s="5">
        <f>-IFERROR('4. NPV'!#REF!/'4. NPV'!EEX$8,0)</f>
        <v>0</v>
      </c>
      <c r="EEX54" s="5">
        <f>-IFERROR('4. NPV'!#REF!/'4. NPV'!EEY$8,0)</f>
        <v>0</v>
      </c>
      <c r="EEY54" s="5">
        <f>-IFERROR('4. NPV'!#REF!/'4. NPV'!EEZ$8,0)</f>
        <v>0</v>
      </c>
      <c r="EEZ54" s="5">
        <f>-IFERROR('4. NPV'!#REF!/'4. NPV'!EFA$8,0)</f>
        <v>0</v>
      </c>
      <c r="EFA54" s="5">
        <f>-IFERROR('4. NPV'!#REF!/'4. NPV'!EFB$8,0)</f>
        <v>0</v>
      </c>
      <c r="EFB54" s="5">
        <f>-IFERROR('4. NPV'!#REF!/'4. NPV'!EFC$8,0)</f>
        <v>0</v>
      </c>
      <c r="EFC54" s="5">
        <f>-IFERROR('4. NPV'!#REF!/'4. NPV'!EFD$8,0)</f>
        <v>0</v>
      </c>
      <c r="EFD54" s="5">
        <f>-IFERROR('4. NPV'!#REF!/'4. NPV'!EFE$8,0)</f>
        <v>0</v>
      </c>
      <c r="EFE54" s="5">
        <f>-IFERROR('4. NPV'!#REF!/'4. NPV'!EFF$8,0)</f>
        <v>0</v>
      </c>
      <c r="EFF54" s="5">
        <f>-IFERROR('4. NPV'!#REF!/'4. NPV'!EFG$8,0)</f>
        <v>0</v>
      </c>
      <c r="EFG54" s="5">
        <f>-IFERROR('4. NPV'!#REF!/'4. NPV'!EFH$8,0)</f>
        <v>0</v>
      </c>
      <c r="EFH54" s="5">
        <f>-IFERROR('4. NPV'!#REF!/'4. NPV'!EFI$8,0)</f>
        <v>0</v>
      </c>
      <c r="EFI54" s="5">
        <f>-IFERROR('4. NPV'!#REF!/'4. NPV'!EFJ$8,0)</f>
        <v>0</v>
      </c>
      <c r="EFJ54" s="5">
        <f>-IFERROR('4. NPV'!#REF!/'4. NPV'!EFK$8,0)</f>
        <v>0</v>
      </c>
      <c r="EFK54" s="5">
        <f>-IFERROR('4. NPV'!#REF!/'4. NPV'!EFL$8,0)</f>
        <v>0</v>
      </c>
      <c r="EFL54" s="5">
        <f>-IFERROR('4. NPV'!#REF!/'4. NPV'!EFM$8,0)</f>
        <v>0</v>
      </c>
      <c r="EFM54" s="5">
        <f>-IFERROR('4. NPV'!#REF!/'4. NPV'!EFN$8,0)</f>
        <v>0</v>
      </c>
      <c r="EFN54" s="5">
        <f>-IFERROR('4. NPV'!#REF!/'4. NPV'!EFO$8,0)</f>
        <v>0</v>
      </c>
      <c r="EFO54" s="5">
        <f>-IFERROR('4. NPV'!#REF!/'4. NPV'!EFP$8,0)</f>
        <v>0</v>
      </c>
      <c r="EFP54" s="5">
        <f>-IFERROR('4. NPV'!#REF!/'4. NPV'!EFQ$8,0)</f>
        <v>0</v>
      </c>
      <c r="EFQ54" s="5">
        <f>-IFERROR('4. NPV'!#REF!/'4. NPV'!EFR$8,0)</f>
        <v>0</v>
      </c>
      <c r="EFR54" s="5">
        <f>-IFERROR('4. NPV'!#REF!/'4. NPV'!EFS$8,0)</f>
        <v>0</v>
      </c>
      <c r="EFS54" s="5">
        <f>-IFERROR('4. NPV'!#REF!/'4. NPV'!EFT$8,0)</f>
        <v>0</v>
      </c>
      <c r="EFT54" s="5">
        <f>-IFERROR('4. NPV'!#REF!/'4. NPV'!EFU$8,0)</f>
        <v>0</v>
      </c>
      <c r="EFU54" s="5">
        <f>-IFERROR('4. NPV'!#REF!/'4. NPV'!EFV$8,0)</f>
        <v>0</v>
      </c>
      <c r="EFV54" s="5">
        <f>-IFERROR('4. NPV'!#REF!/'4. NPV'!EFW$8,0)</f>
        <v>0</v>
      </c>
      <c r="EFW54" s="5">
        <f>-IFERROR('4. NPV'!#REF!/'4. NPV'!EFX$8,0)</f>
        <v>0</v>
      </c>
      <c r="EFX54" s="5">
        <f>-IFERROR('4. NPV'!#REF!/'4. NPV'!EFY$8,0)</f>
        <v>0</v>
      </c>
      <c r="EFY54" s="5">
        <f>-IFERROR('4. NPV'!#REF!/'4. NPV'!EFZ$8,0)</f>
        <v>0</v>
      </c>
      <c r="EFZ54" s="5">
        <f>-IFERROR('4. NPV'!#REF!/'4. NPV'!EGA$8,0)</f>
        <v>0</v>
      </c>
      <c r="EGA54" s="5">
        <f>-IFERROR('4. NPV'!#REF!/'4. NPV'!EGB$8,0)</f>
        <v>0</v>
      </c>
      <c r="EGB54" s="5">
        <f>-IFERROR('4. NPV'!#REF!/'4. NPV'!EGC$8,0)</f>
        <v>0</v>
      </c>
      <c r="EGC54" s="5">
        <f>-IFERROR('4. NPV'!#REF!/'4. NPV'!EGD$8,0)</f>
        <v>0</v>
      </c>
      <c r="EGD54" s="5">
        <f>-IFERROR('4. NPV'!#REF!/'4. NPV'!EGE$8,0)</f>
        <v>0</v>
      </c>
      <c r="EGE54" s="5">
        <f>-IFERROR('4. NPV'!#REF!/'4. NPV'!EGF$8,0)</f>
        <v>0</v>
      </c>
      <c r="EGF54" s="5">
        <f>-IFERROR('4. NPV'!#REF!/'4. NPV'!EGG$8,0)</f>
        <v>0</v>
      </c>
      <c r="EGG54" s="5">
        <f>-IFERROR('4. NPV'!#REF!/'4. NPV'!EGH$8,0)</f>
        <v>0</v>
      </c>
      <c r="EGH54" s="5">
        <f>-IFERROR('4. NPV'!#REF!/'4. NPV'!EGI$8,0)</f>
        <v>0</v>
      </c>
      <c r="EGI54" s="5">
        <f>-IFERROR('4. NPV'!#REF!/'4. NPV'!EGJ$8,0)</f>
        <v>0</v>
      </c>
      <c r="EGJ54" s="5">
        <f>-IFERROR('4. NPV'!#REF!/'4. NPV'!EGK$8,0)</f>
        <v>0</v>
      </c>
      <c r="EGK54" s="5">
        <f>-IFERROR('4. NPV'!#REF!/'4. NPV'!EGL$8,0)</f>
        <v>0</v>
      </c>
      <c r="EGL54" s="5">
        <f>-IFERROR('4. NPV'!#REF!/'4. NPV'!EGM$8,0)</f>
        <v>0</v>
      </c>
      <c r="EGM54" s="5">
        <f>-IFERROR('4. NPV'!#REF!/'4. NPV'!EGN$8,0)</f>
        <v>0</v>
      </c>
      <c r="EGN54" s="5">
        <f>-IFERROR('4. NPV'!#REF!/'4. NPV'!EGO$8,0)</f>
        <v>0</v>
      </c>
      <c r="EGO54" s="5">
        <f>-IFERROR('4. NPV'!#REF!/'4. NPV'!EGP$8,0)</f>
        <v>0</v>
      </c>
      <c r="EGP54" s="5">
        <f>-IFERROR('4. NPV'!#REF!/'4. NPV'!EGQ$8,0)</f>
        <v>0</v>
      </c>
      <c r="EGQ54" s="5">
        <f>-IFERROR('4. NPV'!#REF!/'4. NPV'!EGR$8,0)</f>
        <v>0</v>
      </c>
      <c r="EGR54" s="5">
        <f>-IFERROR('4. NPV'!#REF!/'4. NPV'!EGS$8,0)</f>
        <v>0</v>
      </c>
      <c r="EGS54" s="5">
        <f>-IFERROR('4. NPV'!#REF!/'4. NPV'!EGT$8,0)</f>
        <v>0</v>
      </c>
      <c r="EGT54" s="5">
        <f>-IFERROR('4. NPV'!#REF!/'4. NPV'!EGU$8,0)</f>
        <v>0</v>
      </c>
      <c r="EGU54" s="5">
        <f>-IFERROR('4. NPV'!#REF!/'4. NPV'!EGV$8,0)</f>
        <v>0</v>
      </c>
      <c r="EGV54" s="5">
        <f>-IFERROR('4. NPV'!#REF!/'4. NPV'!EGW$8,0)</f>
        <v>0</v>
      </c>
      <c r="EGW54" s="5">
        <f>-IFERROR('4. NPV'!#REF!/'4. NPV'!EGX$8,0)</f>
        <v>0</v>
      </c>
      <c r="EGX54" s="5">
        <f>-IFERROR('4. NPV'!#REF!/'4. NPV'!EGY$8,0)</f>
        <v>0</v>
      </c>
      <c r="EGY54" s="5">
        <f>-IFERROR('4. NPV'!#REF!/'4. NPV'!EGZ$8,0)</f>
        <v>0</v>
      </c>
      <c r="EGZ54" s="5">
        <f>-IFERROR('4. NPV'!#REF!/'4. NPV'!EHA$8,0)</f>
        <v>0</v>
      </c>
      <c r="EHA54" s="5">
        <f>-IFERROR('4. NPV'!#REF!/'4. NPV'!EHB$8,0)</f>
        <v>0</v>
      </c>
      <c r="EHB54" s="5">
        <f>-IFERROR('4. NPV'!#REF!/'4. NPV'!EHC$8,0)</f>
        <v>0</v>
      </c>
      <c r="EHC54" s="5">
        <f>-IFERROR('4. NPV'!#REF!/'4. NPV'!EHD$8,0)</f>
        <v>0</v>
      </c>
      <c r="EHD54" s="5">
        <f>-IFERROR('4. NPV'!#REF!/'4. NPV'!EHE$8,0)</f>
        <v>0</v>
      </c>
      <c r="EHE54" s="5">
        <f>-IFERROR('4. NPV'!#REF!/'4. NPV'!EHF$8,0)</f>
        <v>0</v>
      </c>
      <c r="EHF54" s="5">
        <f>-IFERROR('4. NPV'!#REF!/'4. NPV'!EHG$8,0)</f>
        <v>0</v>
      </c>
      <c r="EHG54" s="5">
        <f>-IFERROR('4. NPV'!#REF!/'4. NPV'!EHH$8,0)</f>
        <v>0</v>
      </c>
      <c r="EHH54" s="5">
        <f>-IFERROR('4. NPV'!#REF!/'4. NPV'!EHI$8,0)</f>
        <v>0</v>
      </c>
      <c r="EHI54" s="5">
        <f>-IFERROR('4. NPV'!#REF!/'4. NPV'!EHJ$8,0)</f>
        <v>0</v>
      </c>
      <c r="EHJ54" s="5">
        <f>-IFERROR('4. NPV'!#REF!/'4. NPV'!EHK$8,0)</f>
        <v>0</v>
      </c>
      <c r="EHK54" s="5">
        <f>-IFERROR('4. NPV'!#REF!/'4. NPV'!EHL$8,0)</f>
        <v>0</v>
      </c>
      <c r="EHL54" s="5">
        <f>-IFERROR('4. NPV'!#REF!/'4. NPV'!EHM$8,0)</f>
        <v>0</v>
      </c>
      <c r="EHM54" s="5">
        <f>-IFERROR('4. NPV'!#REF!/'4. NPV'!EHN$8,0)</f>
        <v>0</v>
      </c>
      <c r="EHN54" s="5">
        <f>-IFERROR('4. NPV'!#REF!/'4. NPV'!EHO$8,0)</f>
        <v>0</v>
      </c>
      <c r="EHO54" s="5">
        <f>-IFERROR('4. NPV'!#REF!/'4. NPV'!EHP$8,0)</f>
        <v>0</v>
      </c>
      <c r="EHP54" s="5">
        <f>-IFERROR('4. NPV'!#REF!/'4. NPV'!EHQ$8,0)</f>
        <v>0</v>
      </c>
      <c r="EHQ54" s="5">
        <f>-IFERROR('4. NPV'!#REF!/'4. NPV'!EHR$8,0)</f>
        <v>0</v>
      </c>
      <c r="EHR54" s="5">
        <f>-IFERROR('4. NPV'!#REF!/'4. NPV'!EHS$8,0)</f>
        <v>0</v>
      </c>
      <c r="EHS54" s="5">
        <f>-IFERROR('4. NPV'!#REF!/'4. NPV'!EHT$8,0)</f>
        <v>0</v>
      </c>
      <c r="EHT54" s="5">
        <f>-IFERROR('4. NPV'!#REF!/'4. NPV'!EHU$8,0)</f>
        <v>0</v>
      </c>
      <c r="EHU54" s="5">
        <f>-IFERROR('4. NPV'!#REF!/'4. NPV'!EHV$8,0)</f>
        <v>0</v>
      </c>
      <c r="EHV54" s="5">
        <f>-IFERROR('4. NPV'!#REF!/'4. NPV'!EHW$8,0)</f>
        <v>0</v>
      </c>
      <c r="EHW54" s="5">
        <f>-IFERROR('4. NPV'!#REF!/'4. NPV'!EHX$8,0)</f>
        <v>0</v>
      </c>
      <c r="EHX54" s="5">
        <f>-IFERROR('4. NPV'!#REF!/'4. NPV'!EHY$8,0)</f>
        <v>0</v>
      </c>
      <c r="EHY54" s="5">
        <f>-IFERROR('4. NPV'!#REF!/'4. NPV'!EHZ$8,0)</f>
        <v>0</v>
      </c>
      <c r="EHZ54" s="5">
        <f>-IFERROR('4. NPV'!#REF!/'4. NPV'!EIA$8,0)</f>
        <v>0</v>
      </c>
      <c r="EIA54" s="5">
        <f>-IFERROR('4. NPV'!#REF!/'4. NPV'!EIB$8,0)</f>
        <v>0</v>
      </c>
      <c r="EIB54" s="5">
        <f>-IFERROR('4. NPV'!#REF!/'4. NPV'!EIC$8,0)</f>
        <v>0</v>
      </c>
      <c r="EIC54" s="5">
        <f>-IFERROR('4. NPV'!#REF!/'4. NPV'!EID$8,0)</f>
        <v>0</v>
      </c>
      <c r="EID54" s="5">
        <f>-IFERROR('4. NPV'!#REF!/'4. NPV'!EIE$8,0)</f>
        <v>0</v>
      </c>
      <c r="EIE54" s="5">
        <f>-IFERROR('4. NPV'!#REF!/'4. NPV'!EIF$8,0)</f>
        <v>0</v>
      </c>
      <c r="EIF54" s="5">
        <f>-IFERROR('4. NPV'!#REF!/'4. NPV'!EIG$8,0)</f>
        <v>0</v>
      </c>
      <c r="EIG54" s="5">
        <f>-IFERROR('4. NPV'!#REF!/'4. NPV'!EIH$8,0)</f>
        <v>0</v>
      </c>
      <c r="EIH54" s="5">
        <f>-IFERROR('4. NPV'!#REF!/'4. NPV'!EII$8,0)</f>
        <v>0</v>
      </c>
      <c r="EII54" s="5">
        <f>-IFERROR('4. NPV'!#REF!/'4. NPV'!EIJ$8,0)</f>
        <v>0</v>
      </c>
      <c r="EIJ54" s="5">
        <f>-IFERROR('4. NPV'!#REF!/'4. NPV'!EIK$8,0)</f>
        <v>0</v>
      </c>
      <c r="EIK54" s="5">
        <f>-IFERROR('4. NPV'!#REF!/'4. NPV'!EIL$8,0)</f>
        <v>0</v>
      </c>
      <c r="EIL54" s="5">
        <f>-IFERROR('4. NPV'!#REF!/'4. NPV'!EIM$8,0)</f>
        <v>0</v>
      </c>
      <c r="EIM54" s="5">
        <f>-IFERROR('4. NPV'!#REF!/'4. NPV'!EIN$8,0)</f>
        <v>0</v>
      </c>
      <c r="EIN54" s="5">
        <f>-IFERROR('4. NPV'!#REF!/'4. NPV'!EIO$8,0)</f>
        <v>0</v>
      </c>
      <c r="EIO54" s="5">
        <f>-IFERROR('4. NPV'!#REF!/'4. NPV'!EIP$8,0)</f>
        <v>0</v>
      </c>
      <c r="EIP54" s="5">
        <f>-IFERROR('4. NPV'!#REF!/'4. NPV'!EIQ$8,0)</f>
        <v>0</v>
      </c>
      <c r="EIQ54" s="5">
        <f>-IFERROR('4. NPV'!#REF!/'4. NPV'!EIR$8,0)</f>
        <v>0</v>
      </c>
      <c r="EIR54" s="5">
        <f>-IFERROR('4. NPV'!#REF!/'4. NPV'!EIS$8,0)</f>
        <v>0</v>
      </c>
      <c r="EIS54" s="5">
        <f>-IFERROR('4. NPV'!#REF!/'4. NPV'!EIT$8,0)</f>
        <v>0</v>
      </c>
      <c r="EIT54" s="5">
        <f>-IFERROR('4. NPV'!#REF!/'4. NPV'!EIU$8,0)</f>
        <v>0</v>
      </c>
      <c r="EIU54" s="5">
        <f>-IFERROR('4. NPV'!#REF!/'4. NPV'!EIV$8,0)</f>
        <v>0</v>
      </c>
      <c r="EIV54" s="5">
        <f>-IFERROR('4. NPV'!#REF!/'4. NPV'!EIW$8,0)</f>
        <v>0</v>
      </c>
      <c r="EIW54" s="5">
        <f>-IFERROR('4. NPV'!#REF!/'4. NPV'!EIX$8,0)</f>
        <v>0</v>
      </c>
      <c r="EIX54" s="5">
        <f>-IFERROR('4. NPV'!#REF!/'4. NPV'!EIY$8,0)</f>
        <v>0</v>
      </c>
      <c r="EIY54" s="5">
        <f>-IFERROR('4. NPV'!#REF!/'4. NPV'!EIZ$8,0)</f>
        <v>0</v>
      </c>
      <c r="EIZ54" s="5">
        <f>-IFERROR('4. NPV'!#REF!/'4. NPV'!EJA$8,0)</f>
        <v>0</v>
      </c>
      <c r="EJA54" s="5">
        <f>-IFERROR('4. NPV'!#REF!/'4. NPV'!EJB$8,0)</f>
        <v>0</v>
      </c>
      <c r="EJB54" s="5">
        <f>-IFERROR('4. NPV'!#REF!/'4. NPV'!EJC$8,0)</f>
        <v>0</v>
      </c>
      <c r="EJC54" s="5">
        <f>-IFERROR('4. NPV'!#REF!/'4. NPV'!EJD$8,0)</f>
        <v>0</v>
      </c>
      <c r="EJD54" s="5">
        <f>-IFERROR('4. NPV'!#REF!/'4. NPV'!EJE$8,0)</f>
        <v>0</v>
      </c>
      <c r="EJE54" s="5">
        <f>-IFERROR('4. NPV'!#REF!/'4. NPV'!EJF$8,0)</f>
        <v>0</v>
      </c>
      <c r="EJF54" s="5">
        <f>-IFERROR('4. NPV'!#REF!/'4. NPV'!EJG$8,0)</f>
        <v>0</v>
      </c>
      <c r="EJG54" s="5">
        <f>-IFERROR('4. NPV'!#REF!/'4. NPV'!EJH$8,0)</f>
        <v>0</v>
      </c>
      <c r="EJH54" s="5">
        <f>-IFERROR('4. NPV'!#REF!/'4. NPV'!EJI$8,0)</f>
        <v>0</v>
      </c>
      <c r="EJI54" s="5">
        <f>-IFERROR('4. NPV'!#REF!/'4. NPV'!EJJ$8,0)</f>
        <v>0</v>
      </c>
      <c r="EJJ54" s="5">
        <f>-IFERROR('4. NPV'!#REF!/'4. NPV'!EJK$8,0)</f>
        <v>0</v>
      </c>
      <c r="EJK54" s="5">
        <f>-IFERROR('4. NPV'!#REF!/'4. NPV'!EJL$8,0)</f>
        <v>0</v>
      </c>
      <c r="EJL54" s="5">
        <f>-IFERROR('4. NPV'!#REF!/'4. NPV'!EJM$8,0)</f>
        <v>0</v>
      </c>
      <c r="EJM54" s="5">
        <f>-IFERROR('4. NPV'!#REF!/'4. NPV'!EJN$8,0)</f>
        <v>0</v>
      </c>
      <c r="EJN54" s="5">
        <f>-IFERROR('4. NPV'!#REF!/'4. NPV'!EJO$8,0)</f>
        <v>0</v>
      </c>
      <c r="EJO54" s="5">
        <f>-IFERROR('4. NPV'!#REF!/'4. NPV'!EJP$8,0)</f>
        <v>0</v>
      </c>
      <c r="EJP54" s="5">
        <f>-IFERROR('4. NPV'!#REF!/'4. NPV'!EJQ$8,0)</f>
        <v>0</v>
      </c>
      <c r="EJQ54" s="5">
        <f>-IFERROR('4. NPV'!#REF!/'4. NPV'!EJR$8,0)</f>
        <v>0</v>
      </c>
      <c r="EJR54" s="5">
        <f>-IFERROR('4. NPV'!#REF!/'4. NPV'!EJS$8,0)</f>
        <v>0</v>
      </c>
      <c r="EJS54" s="5">
        <f>-IFERROR('4. NPV'!#REF!/'4. NPV'!EJT$8,0)</f>
        <v>0</v>
      </c>
      <c r="EJT54" s="5">
        <f>-IFERROR('4. NPV'!#REF!/'4. NPV'!EJU$8,0)</f>
        <v>0</v>
      </c>
      <c r="EJU54" s="5">
        <f>-IFERROR('4. NPV'!#REF!/'4. NPV'!EJV$8,0)</f>
        <v>0</v>
      </c>
      <c r="EJV54" s="5">
        <f>-IFERROR('4. NPV'!#REF!/'4. NPV'!EJW$8,0)</f>
        <v>0</v>
      </c>
      <c r="EJW54" s="5">
        <f>-IFERROR('4. NPV'!#REF!/'4. NPV'!EJX$8,0)</f>
        <v>0</v>
      </c>
      <c r="EJX54" s="5">
        <f>-IFERROR('4. NPV'!#REF!/'4. NPV'!EJY$8,0)</f>
        <v>0</v>
      </c>
      <c r="EJY54" s="5">
        <f>-IFERROR('4. NPV'!#REF!/'4. NPV'!EJZ$8,0)</f>
        <v>0</v>
      </c>
      <c r="EJZ54" s="5">
        <f>-IFERROR('4. NPV'!#REF!/'4. NPV'!EKA$8,0)</f>
        <v>0</v>
      </c>
      <c r="EKA54" s="5">
        <f>-IFERROR('4. NPV'!#REF!/'4. NPV'!EKB$8,0)</f>
        <v>0</v>
      </c>
      <c r="EKB54" s="5">
        <f>-IFERROR('4. NPV'!#REF!/'4. NPV'!EKC$8,0)</f>
        <v>0</v>
      </c>
      <c r="EKC54" s="5">
        <f>-IFERROR('4. NPV'!#REF!/'4. NPV'!EKD$8,0)</f>
        <v>0</v>
      </c>
      <c r="EKD54" s="5">
        <f>-IFERROR('4. NPV'!#REF!/'4. NPV'!EKE$8,0)</f>
        <v>0</v>
      </c>
      <c r="EKE54" s="5">
        <f>-IFERROR('4. NPV'!#REF!/'4. NPV'!EKF$8,0)</f>
        <v>0</v>
      </c>
      <c r="EKF54" s="5">
        <f>-IFERROR('4. NPV'!#REF!/'4. NPV'!EKG$8,0)</f>
        <v>0</v>
      </c>
      <c r="EKG54" s="5">
        <f>-IFERROR('4. NPV'!#REF!/'4. NPV'!EKH$8,0)</f>
        <v>0</v>
      </c>
      <c r="EKH54" s="5">
        <f>-IFERROR('4. NPV'!#REF!/'4. NPV'!EKI$8,0)</f>
        <v>0</v>
      </c>
      <c r="EKI54" s="5">
        <f>-IFERROR('4. NPV'!#REF!/'4. NPV'!EKJ$8,0)</f>
        <v>0</v>
      </c>
      <c r="EKJ54" s="5">
        <f>-IFERROR('4. NPV'!#REF!/'4. NPV'!EKK$8,0)</f>
        <v>0</v>
      </c>
      <c r="EKK54" s="5">
        <f>-IFERROR('4. NPV'!#REF!/'4. NPV'!EKL$8,0)</f>
        <v>0</v>
      </c>
      <c r="EKL54" s="5">
        <f>-IFERROR('4. NPV'!#REF!/'4. NPV'!EKM$8,0)</f>
        <v>0</v>
      </c>
      <c r="EKM54" s="5">
        <f>-IFERROR('4. NPV'!#REF!/'4. NPV'!EKN$8,0)</f>
        <v>0</v>
      </c>
      <c r="EKN54" s="5">
        <f>-IFERROR('4. NPV'!#REF!/'4. NPV'!EKO$8,0)</f>
        <v>0</v>
      </c>
      <c r="EKO54" s="5">
        <f>-IFERROR('4. NPV'!#REF!/'4. NPV'!EKP$8,0)</f>
        <v>0</v>
      </c>
      <c r="EKP54" s="5">
        <f>-IFERROR('4. NPV'!#REF!/'4. NPV'!EKQ$8,0)</f>
        <v>0</v>
      </c>
      <c r="EKQ54" s="5">
        <f>-IFERROR('4. NPV'!#REF!/'4. NPV'!EKR$8,0)</f>
        <v>0</v>
      </c>
      <c r="EKR54" s="5">
        <f>-IFERROR('4. NPV'!#REF!/'4. NPV'!EKS$8,0)</f>
        <v>0</v>
      </c>
      <c r="EKS54" s="5">
        <f>-IFERROR('4. NPV'!#REF!/'4. NPV'!EKT$8,0)</f>
        <v>0</v>
      </c>
      <c r="EKT54" s="5">
        <f>-IFERROR('4. NPV'!#REF!/'4. NPV'!EKU$8,0)</f>
        <v>0</v>
      </c>
      <c r="EKU54" s="5">
        <f>-IFERROR('4. NPV'!#REF!/'4. NPV'!EKV$8,0)</f>
        <v>0</v>
      </c>
      <c r="EKV54" s="5">
        <f>-IFERROR('4. NPV'!#REF!/'4. NPV'!EKW$8,0)</f>
        <v>0</v>
      </c>
      <c r="EKW54" s="5">
        <f>-IFERROR('4. NPV'!#REF!/'4. NPV'!EKX$8,0)</f>
        <v>0</v>
      </c>
      <c r="EKX54" s="5">
        <f>-IFERROR('4. NPV'!#REF!/'4. NPV'!EKY$8,0)</f>
        <v>0</v>
      </c>
      <c r="EKY54" s="5">
        <f>-IFERROR('4. NPV'!#REF!/'4. NPV'!EKZ$8,0)</f>
        <v>0</v>
      </c>
      <c r="EKZ54" s="5">
        <f>-IFERROR('4. NPV'!#REF!/'4. NPV'!ELA$8,0)</f>
        <v>0</v>
      </c>
      <c r="ELA54" s="5">
        <f>-IFERROR('4. NPV'!#REF!/'4. NPV'!ELB$8,0)</f>
        <v>0</v>
      </c>
      <c r="ELB54" s="5">
        <f>-IFERROR('4. NPV'!#REF!/'4. NPV'!ELC$8,0)</f>
        <v>0</v>
      </c>
      <c r="ELC54" s="5">
        <f>-IFERROR('4. NPV'!#REF!/'4. NPV'!ELD$8,0)</f>
        <v>0</v>
      </c>
      <c r="ELD54" s="5">
        <f>-IFERROR('4. NPV'!#REF!/'4. NPV'!ELE$8,0)</f>
        <v>0</v>
      </c>
      <c r="ELE54" s="5">
        <f>-IFERROR('4. NPV'!#REF!/'4. NPV'!ELF$8,0)</f>
        <v>0</v>
      </c>
      <c r="ELF54" s="5">
        <f>-IFERROR('4. NPV'!#REF!/'4. NPV'!ELG$8,0)</f>
        <v>0</v>
      </c>
      <c r="ELG54" s="5">
        <f>-IFERROR('4. NPV'!#REF!/'4. NPV'!ELH$8,0)</f>
        <v>0</v>
      </c>
      <c r="ELH54" s="5">
        <f>-IFERROR('4. NPV'!#REF!/'4. NPV'!ELI$8,0)</f>
        <v>0</v>
      </c>
      <c r="ELI54" s="5">
        <f>-IFERROR('4. NPV'!#REF!/'4. NPV'!ELJ$8,0)</f>
        <v>0</v>
      </c>
      <c r="ELJ54" s="5">
        <f>-IFERROR('4. NPV'!#REF!/'4. NPV'!ELK$8,0)</f>
        <v>0</v>
      </c>
      <c r="ELK54" s="5">
        <f>-IFERROR('4. NPV'!#REF!/'4. NPV'!ELL$8,0)</f>
        <v>0</v>
      </c>
      <c r="ELL54" s="5">
        <f>-IFERROR('4. NPV'!#REF!/'4. NPV'!ELM$8,0)</f>
        <v>0</v>
      </c>
      <c r="ELM54" s="5">
        <f>-IFERROR('4. NPV'!#REF!/'4. NPV'!ELN$8,0)</f>
        <v>0</v>
      </c>
      <c r="ELN54" s="5">
        <f>-IFERROR('4. NPV'!#REF!/'4. NPV'!ELO$8,0)</f>
        <v>0</v>
      </c>
      <c r="ELO54" s="5">
        <f>-IFERROR('4. NPV'!#REF!/'4. NPV'!ELP$8,0)</f>
        <v>0</v>
      </c>
      <c r="ELP54" s="5">
        <f>-IFERROR('4. NPV'!#REF!/'4. NPV'!ELQ$8,0)</f>
        <v>0</v>
      </c>
      <c r="ELQ54" s="5">
        <f>-IFERROR('4. NPV'!#REF!/'4. NPV'!ELR$8,0)</f>
        <v>0</v>
      </c>
      <c r="ELR54" s="5">
        <f>-IFERROR('4. NPV'!#REF!/'4. NPV'!ELS$8,0)</f>
        <v>0</v>
      </c>
      <c r="ELS54" s="5">
        <f>-IFERROR('4. NPV'!#REF!/'4. NPV'!ELT$8,0)</f>
        <v>0</v>
      </c>
      <c r="ELT54" s="5">
        <f>-IFERROR('4. NPV'!#REF!/'4. NPV'!ELU$8,0)</f>
        <v>0</v>
      </c>
      <c r="ELU54" s="5">
        <f>-IFERROR('4. NPV'!#REF!/'4. NPV'!ELV$8,0)</f>
        <v>0</v>
      </c>
      <c r="ELV54" s="5">
        <f>-IFERROR('4. NPV'!#REF!/'4. NPV'!ELW$8,0)</f>
        <v>0</v>
      </c>
      <c r="ELW54" s="5">
        <f>-IFERROR('4. NPV'!#REF!/'4. NPV'!ELX$8,0)</f>
        <v>0</v>
      </c>
      <c r="ELX54" s="5">
        <f>-IFERROR('4. NPV'!#REF!/'4. NPV'!ELY$8,0)</f>
        <v>0</v>
      </c>
      <c r="ELY54" s="5">
        <f>-IFERROR('4. NPV'!#REF!/'4. NPV'!ELZ$8,0)</f>
        <v>0</v>
      </c>
      <c r="ELZ54" s="5">
        <f>-IFERROR('4. NPV'!#REF!/'4. NPV'!EMA$8,0)</f>
        <v>0</v>
      </c>
      <c r="EMA54" s="5">
        <f>-IFERROR('4. NPV'!#REF!/'4. NPV'!EMB$8,0)</f>
        <v>0</v>
      </c>
      <c r="EMB54" s="5">
        <f>-IFERROR('4. NPV'!#REF!/'4. NPV'!EMC$8,0)</f>
        <v>0</v>
      </c>
      <c r="EMC54" s="5">
        <f>-IFERROR('4. NPV'!#REF!/'4. NPV'!EMD$8,0)</f>
        <v>0</v>
      </c>
      <c r="EMD54" s="5">
        <f>-IFERROR('4. NPV'!#REF!/'4. NPV'!EME$8,0)</f>
        <v>0</v>
      </c>
      <c r="EME54" s="5">
        <f>-IFERROR('4. NPV'!#REF!/'4. NPV'!EMF$8,0)</f>
        <v>0</v>
      </c>
      <c r="EMF54" s="5">
        <f>-IFERROR('4. NPV'!#REF!/'4. NPV'!EMG$8,0)</f>
        <v>0</v>
      </c>
      <c r="EMG54" s="5">
        <f>-IFERROR('4. NPV'!#REF!/'4. NPV'!EMH$8,0)</f>
        <v>0</v>
      </c>
      <c r="EMH54" s="5">
        <f>-IFERROR('4. NPV'!#REF!/'4. NPV'!EMI$8,0)</f>
        <v>0</v>
      </c>
      <c r="EMI54" s="5">
        <f>-IFERROR('4. NPV'!#REF!/'4. NPV'!EMJ$8,0)</f>
        <v>0</v>
      </c>
      <c r="EMJ54" s="5">
        <f>-IFERROR('4. NPV'!#REF!/'4. NPV'!EMK$8,0)</f>
        <v>0</v>
      </c>
      <c r="EMK54" s="5">
        <f>-IFERROR('4. NPV'!#REF!/'4. NPV'!EML$8,0)</f>
        <v>0</v>
      </c>
      <c r="EML54" s="5">
        <f>-IFERROR('4. NPV'!#REF!/'4. NPV'!EMM$8,0)</f>
        <v>0</v>
      </c>
      <c r="EMM54" s="5">
        <f>-IFERROR('4. NPV'!#REF!/'4. NPV'!EMN$8,0)</f>
        <v>0</v>
      </c>
      <c r="EMN54" s="5">
        <f>-IFERROR('4. NPV'!#REF!/'4. NPV'!EMO$8,0)</f>
        <v>0</v>
      </c>
      <c r="EMO54" s="5">
        <f>-IFERROR('4. NPV'!#REF!/'4. NPV'!EMP$8,0)</f>
        <v>0</v>
      </c>
      <c r="EMP54" s="5">
        <f>-IFERROR('4. NPV'!#REF!/'4. NPV'!EMQ$8,0)</f>
        <v>0</v>
      </c>
      <c r="EMQ54" s="5">
        <f>-IFERROR('4. NPV'!#REF!/'4. NPV'!EMR$8,0)</f>
        <v>0</v>
      </c>
      <c r="EMR54" s="5">
        <f>-IFERROR('4. NPV'!#REF!/'4. NPV'!EMS$8,0)</f>
        <v>0</v>
      </c>
      <c r="EMS54" s="5">
        <f>-IFERROR('4. NPV'!#REF!/'4. NPV'!EMT$8,0)</f>
        <v>0</v>
      </c>
      <c r="EMT54" s="5">
        <f>-IFERROR('4. NPV'!#REF!/'4. NPV'!EMU$8,0)</f>
        <v>0</v>
      </c>
      <c r="EMU54" s="5">
        <f>-IFERROR('4. NPV'!#REF!/'4. NPV'!EMV$8,0)</f>
        <v>0</v>
      </c>
      <c r="EMV54" s="5">
        <f>-IFERROR('4. NPV'!#REF!/'4. NPV'!EMW$8,0)</f>
        <v>0</v>
      </c>
      <c r="EMW54" s="5">
        <f>-IFERROR('4. NPV'!#REF!/'4. NPV'!EMX$8,0)</f>
        <v>0</v>
      </c>
      <c r="EMX54" s="5">
        <f>-IFERROR('4. NPV'!#REF!/'4. NPV'!EMY$8,0)</f>
        <v>0</v>
      </c>
      <c r="EMY54" s="5">
        <f>-IFERROR('4. NPV'!#REF!/'4. NPV'!EMZ$8,0)</f>
        <v>0</v>
      </c>
      <c r="EMZ54" s="5">
        <f>-IFERROR('4. NPV'!#REF!/'4. NPV'!ENA$8,0)</f>
        <v>0</v>
      </c>
      <c r="ENA54" s="5">
        <f>-IFERROR('4. NPV'!#REF!/'4. NPV'!ENB$8,0)</f>
        <v>0</v>
      </c>
      <c r="ENB54" s="5">
        <f>-IFERROR('4. NPV'!#REF!/'4. NPV'!ENC$8,0)</f>
        <v>0</v>
      </c>
      <c r="ENC54" s="5">
        <f>-IFERROR('4. NPV'!#REF!/'4. NPV'!END$8,0)</f>
        <v>0</v>
      </c>
      <c r="END54" s="5">
        <f>-IFERROR('4. NPV'!#REF!/'4. NPV'!ENE$8,0)</f>
        <v>0</v>
      </c>
      <c r="ENE54" s="5">
        <f>-IFERROR('4. NPV'!#REF!/'4. NPV'!ENF$8,0)</f>
        <v>0</v>
      </c>
      <c r="ENF54" s="5">
        <f>-IFERROR('4. NPV'!#REF!/'4. NPV'!ENG$8,0)</f>
        <v>0</v>
      </c>
      <c r="ENG54" s="5">
        <f>-IFERROR('4. NPV'!#REF!/'4. NPV'!ENH$8,0)</f>
        <v>0</v>
      </c>
      <c r="ENH54" s="5">
        <f>-IFERROR('4. NPV'!#REF!/'4. NPV'!ENI$8,0)</f>
        <v>0</v>
      </c>
      <c r="ENI54" s="5">
        <f>-IFERROR('4. NPV'!#REF!/'4. NPV'!ENJ$8,0)</f>
        <v>0</v>
      </c>
      <c r="ENJ54" s="5">
        <f>-IFERROR('4. NPV'!#REF!/'4. NPV'!ENK$8,0)</f>
        <v>0</v>
      </c>
      <c r="ENK54" s="5">
        <f>-IFERROR('4. NPV'!#REF!/'4. NPV'!ENL$8,0)</f>
        <v>0</v>
      </c>
      <c r="ENL54" s="5">
        <f>-IFERROR('4. NPV'!#REF!/'4. NPV'!ENM$8,0)</f>
        <v>0</v>
      </c>
      <c r="ENM54" s="5">
        <f>-IFERROR('4. NPV'!#REF!/'4. NPV'!ENN$8,0)</f>
        <v>0</v>
      </c>
      <c r="ENN54" s="5">
        <f>-IFERROR('4. NPV'!#REF!/'4. NPV'!ENO$8,0)</f>
        <v>0</v>
      </c>
      <c r="ENO54" s="5">
        <f>-IFERROR('4. NPV'!#REF!/'4. NPV'!ENP$8,0)</f>
        <v>0</v>
      </c>
      <c r="ENP54" s="5">
        <f>-IFERROR('4. NPV'!#REF!/'4. NPV'!ENQ$8,0)</f>
        <v>0</v>
      </c>
      <c r="ENQ54" s="5">
        <f>-IFERROR('4. NPV'!#REF!/'4. NPV'!ENR$8,0)</f>
        <v>0</v>
      </c>
      <c r="ENR54" s="5">
        <f>-IFERROR('4. NPV'!#REF!/'4. NPV'!ENS$8,0)</f>
        <v>0</v>
      </c>
      <c r="ENS54" s="5">
        <f>-IFERROR('4. NPV'!#REF!/'4. NPV'!ENT$8,0)</f>
        <v>0</v>
      </c>
      <c r="ENT54" s="5">
        <f>-IFERROR('4. NPV'!#REF!/'4. NPV'!ENU$8,0)</f>
        <v>0</v>
      </c>
      <c r="ENU54" s="5">
        <f>-IFERROR('4. NPV'!#REF!/'4. NPV'!ENV$8,0)</f>
        <v>0</v>
      </c>
      <c r="ENV54" s="5">
        <f>-IFERROR('4. NPV'!#REF!/'4. NPV'!ENW$8,0)</f>
        <v>0</v>
      </c>
      <c r="ENW54" s="5">
        <f>-IFERROR('4. NPV'!#REF!/'4. NPV'!ENX$8,0)</f>
        <v>0</v>
      </c>
      <c r="ENX54" s="5">
        <f>-IFERROR('4. NPV'!#REF!/'4. NPV'!ENY$8,0)</f>
        <v>0</v>
      </c>
      <c r="ENY54" s="5">
        <f>-IFERROR('4. NPV'!#REF!/'4. NPV'!ENZ$8,0)</f>
        <v>0</v>
      </c>
      <c r="ENZ54" s="5">
        <f>-IFERROR('4. NPV'!#REF!/'4. NPV'!EOA$8,0)</f>
        <v>0</v>
      </c>
      <c r="EOA54" s="5">
        <f>-IFERROR('4. NPV'!#REF!/'4. NPV'!EOB$8,0)</f>
        <v>0</v>
      </c>
      <c r="EOB54" s="5">
        <f>-IFERROR('4. NPV'!#REF!/'4. NPV'!EOC$8,0)</f>
        <v>0</v>
      </c>
      <c r="EOC54" s="5">
        <f>-IFERROR('4. NPV'!#REF!/'4. NPV'!EOD$8,0)</f>
        <v>0</v>
      </c>
      <c r="EOD54" s="5">
        <f>-IFERROR('4. NPV'!#REF!/'4. NPV'!EOE$8,0)</f>
        <v>0</v>
      </c>
      <c r="EOE54" s="5">
        <f>-IFERROR('4. NPV'!#REF!/'4. NPV'!EOF$8,0)</f>
        <v>0</v>
      </c>
      <c r="EOF54" s="5">
        <f>-IFERROR('4. NPV'!#REF!/'4. NPV'!EOG$8,0)</f>
        <v>0</v>
      </c>
      <c r="EOG54" s="5">
        <f>-IFERROR('4. NPV'!#REF!/'4. NPV'!EOH$8,0)</f>
        <v>0</v>
      </c>
      <c r="EOH54" s="5">
        <f>-IFERROR('4. NPV'!#REF!/'4. NPV'!EOI$8,0)</f>
        <v>0</v>
      </c>
      <c r="EOI54" s="5">
        <f>-IFERROR('4. NPV'!#REF!/'4. NPV'!EOJ$8,0)</f>
        <v>0</v>
      </c>
      <c r="EOJ54" s="5">
        <f>-IFERROR('4. NPV'!#REF!/'4. NPV'!EOK$8,0)</f>
        <v>0</v>
      </c>
      <c r="EOK54" s="5">
        <f>-IFERROR('4. NPV'!#REF!/'4. NPV'!EOL$8,0)</f>
        <v>0</v>
      </c>
      <c r="EOL54" s="5">
        <f>-IFERROR('4. NPV'!#REF!/'4. NPV'!EOM$8,0)</f>
        <v>0</v>
      </c>
      <c r="EOM54" s="5">
        <f>-IFERROR('4. NPV'!#REF!/'4. NPV'!EON$8,0)</f>
        <v>0</v>
      </c>
      <c r="EON54" s="5">
        <f>-IFERROR('4. NPV'!#REF!/'4. NPV'!EOO$8,0)</f>
        <v>0</v>
      </c>
      <c r="EOO54" s="5">
        <f>-IFERROR('4. NPV'!#REF!/'4. NPV'!EOP$8,0)</f>
        <v>0</v>
      </c>
      <c r="EOP54" s="5">
        <f>-IFERROR('4. NPV'!#REF!/'4. NPV'!EOQ$8,0)</f>
        <v>0</v>
      </c>
      <c r="EOQ54" s="5">
        <f>-IFERROR('4. NPV'!#REF!/'4. NPV'!EOR$8,0)</f>
        <v>0</v>
      </c>
      <c r="EOR54" s="5">
        <f>-IFERROR('4. NPV'!#REF!/'4. NPV'!EOS$8,0)</f>
        <v>0</v>
      </c>
      <c r="EOS54" s="5">
        <f>-IFERROR('4. NPV'!#REF!/'4. NPV'!EOT$8,0)</f>
        <v>0</v>
      </c>
      <c r="EOT54" s="5">
        <f>-IFERROR('4. NPV'!#REF!/'4. NPV'!EOU$8,0)</f>
        <v>0</v>
      </c>
      <c r="EOU54" s="5">
        <f>-IFERROR('4. NPV'!#REF!/'4. NPV'!EOV$8,0)</f>
        <v>0</v>
      </c>
      <c r="EOV54" s="5">
        <f>-IFERROR('4. NPV'!#REF!/'4. NPV'!EOW$8,0)</f>
        <v>0</v>
      </c>
      <c r="EOW54" s="5">
        <f>-IFERROR('4. NPV'!#REF!/'4. NPV'!EOX$8,0)</f>
        <v>0</v>
      </c>
      <c r="EOX54" s="5">
        <f>-IFERROR('4. NPV'!#REF!/'4. NPV'!EOY$8,0)</f>
        <v>0</v>
      </c>
      <c r="EOY54" s="5">
        <f>-IFERROR('4. NPV'!#REF!/'4. NPV'!EOZ$8,0)</f>
        <v>0</v>
      </c>
      <c r="EOZ54" s="5">
        <f>-IFERROR('4. NPV'!#REF!/'4. NPV'!EPA$8,0)</f>
        <v>0</v>
      </c>
      <c r="EPA54" s="5">
        <f>-IFERROR('4. NPV'!#REF!/'4. NPV'!EPB$8,0)</f>
        <v>0</v>
      </c>
      <c r="EPB54" s="5">
        <f>-IFERROR('4. NPV'!#REF!/'4. NPV'!EPC$8,0)</f>
        <v>0</v>
      </c>
      <c r="EPC54" s="5">
        <f>-IFERROR('4. NPV'!#REF!/'4. NPV'!EPD$8,0)</f>
        <v>0</v>
      </c>
      <c r="EPD54" s="5">
        <f>-IFERROR('4. NPV'!#REF!/'4. NPV'!EPE$8,0)</f>
        <v>0</v>
      </c>
      <c r="EPE54" s="5">
        <f>-IFERROR('4. NPV'!#REF!/'4. NPV'!EPF$8,0)</f>
        <v>0</v>
      </c>
      <c r="EPF54" s="5">
        <f>-IFERROR('4. NPV'!#REF!/'4. NPV'!EPG$8,0)</f>
        <v>0</v>
      </c>
      <c r="EPG54" s="5">
        <f>-IFERROR('4. NPV'!#REF!/'4. NPV'!EPH$8,0)</f>
        <v>0</v>
      </c>
      <c r="EPH54" s="5">
        <f>-IFERROR('4. NPV'!#REF!/'4. NPV'!EPI$8,0)</f>
        <v>0</v>
      </c>
      <c r="EPI54" s="5">
        <f>-IFERROR('4. NPV'!#REF!/'4. NPV'!EPJ$8,0)</f>
        <v>0</v>
      </c>
      <c r="EPJ54" s="5">
        <f>-IFERROR('4. NPV'!#REF!/'4. NPV'!EPK$8,0)</f>
        <v>0</v>
      </c>
      <c r="EPK54" s="5">
        <f>-IFERROR('4. NPV'!#REF!/'4. NPV'!EPL$8,0)</f>
        <v>0</v>
      </c>
      <c r="EPL54" s="5">
        <f>-IFERROR('4. NPV'!#REF!/'4. NPV'!EPM$8,0)</f>
        <v>0</v>
      </c>
      <c r="EPM54" s="5">
        <f>-IFERROR('4. NPV'!#REF!/'4. NPV'!EPN$8,0)</f>
        <v>0</v>
      </c>
      <c r="EPN54" s="5">
        <f>-IFERROR('4. NPV'!#REF!/'4. NPV'!EPO$8,0)</f>
        <v>0</v>
      </c>
      <c r="EPO54" s="5">
        <f>-IFERROR('4. NPV'!#REF!/'4. NPV'!EPP$8,0)</f>
        <v>0</v>
      </c>
      <c r="EPP54" s="5">
        <f>-IFERROR('4. NPV'!#REF!/'4. NPV'!EPQ$8,0)</f>
        <v>0</v>
      </c>
      <c r="EPQ54" s="5">
        <f>-IFERROR('4. NPV'!#REF!/'4. NPV'!EPR$8,0)</f>
        <v>0</v>
      </c>
      <c r="EPR54" s="5">
        <f>-IFERROR('4. NPV'!#REF!/'4. NPV'!EPS$8,0)</f>
        <v>0</v>
      </c>
      <c r="EPS54" s="5">
        <f>-IFERROR('4. NPV'!#REF!/'4. NPV'!EPT$8,0)</f>
        <v>0</v>
      </c>
      <c r="EPT54" s="5">
        <f>-IFERROR('4. NPV'!#REF!/'4. NPV'!EPU$8,0)</f>
        <v>0</v>
      </c>
      <c r="EPU54" s="5">
        <f>-IFERROR('4. NPV'!#REF!/'4. NPV'!EPV$8,0)</f>
        <v>0</v>
      </c>
      <c r="EPV54" s="5">
        <f>-IFERROR('4. NPV'!#REF!/'4. NPV'!EPW$8,0)</f>
        <v>0</v>
      </c>
      <c r="EPW54" s="5">
        <f>-IFERROR('4. NPV'!#REF!/'4. NPV'!EPX$8,0)</f>
        <v>0</v>
      </c>
      <c r="EPX54" s="5">
        <f>-IFERROR('4. NPV'!#REF!/'4. NPV'!EPY$8,0)</f>
        <v>0</v>
      </c>
      <c r="EPY54" s="5">
        <f>-IFERROR('4. NPV'!#REF!/'4. NPV'!EPZ$8,0)</f>
        <v>0</v>
      </c>
      <c r="EPZ54" s="5">
        <f>-IFERROR('4. NPV'!#REF!/'4. NPV'!EQA$8,0)</f>
        <v>0</v>
      </c>
      <c r="EQA54" s="5">
        <f>-IFERROR('4. NPV'!#REF!/'4. NPV'!EQB$8,0)</f>
        <v>0</v>
      </c>
      <c r="EQB54" s="5">
        <f>-IFERROR('4. NPV'!#REF!/'4. NPV'!EQC$8,0)</f>
        <v>0</v>
      </c>
      <c r="EQC54" s="5">
        <f>-IFERROR('4. NPV'!#REF!/'4. NPV'!EQD$8,0)</f>
        <v>0</v>
      </c>
      <c r="EQD54" s="5">
        <f>-IFERROR('4. NPV'!#REF!/'4. NPV'!EQE$8,0)</f>
        <v>0</v>
      </c>
      <c r="EQE54" s="5">
        <f>-IFERROR('4. NPV'!#REF!/'4. NPV'!EQF$8,0)</f>
        <v>0</v>
      </c>
      <c r="EQF54" s="5">
        <f>-IFERROR('4. NPV'!#REF!/'4. NPV'!EQG$8,0)</f>
        <v>0</v>
      </c>
      <c r="EQG54" s="5">
        <f>-IFERROR('4. NPV'!#REF!/'4. NPV'!EQH$8,0)</f>
        <v>0</v>
      </c>
      <c r="EQH54" s="5">
        <f>-IFERROR('4. NPV'!#REF!/'4. NPV'!EQI$8,0)</f>
        <v>0</v>
      </c>
      <c r="EQI54" s="5">
        <f>-IFERROR('4. NPV'!#REF!/'4. NPV'!EQJ$8,0)</f>
        <v>0</v>
      </c>
      <c r="EQJ54" s="5">
        <f>-IFERROR('4. NPV'!#REF!/'4. NPV'!EQK$8,0)</f>
        <v>0</v>
      </c>
      <c r="EQK54" s="5">
        <f>-IFERROR('4. NPV'!#REF!/'4. NPV'!EQL$8,0)</f>
        <v>0</v>
      </c>
      <c r="EQL54" s="5">
        <f>-IFERROR('4. NPV'!#REF!/'4. NPV'!EQM$8,0)</f>
        <v>0</v>
      </c>
      <c r="EQM54" s="5">
        <f>-IFERROR('4. NPV'!#REF!/'4. NPV'!EQN$8,0)</f>
        <v>0</v>
      </c>
      <c r="EQN54" s="5">
        <f>-IFERROR('4. NPV'!#REF!/'4. NPV'!EQO$8,0)</f>
        <v>0</v>
      </c>
      <c r="EQO54" s="5">
        <f>-IFERROR('4. NPV'!#REF!/'4. NPV'!EQP$8,0)</f>
        <v>0</v>
      </c>
      <c r="EQP54" s="5">
        <f>-IFERROR('4. NPV'!#REF!/'4. NPV'!EQQ$8,0)</f>
        <v>0</v>
      </c>
      <c r="EQQ54" s="5">
        <f>-IFERROR('4. NPV'!#REF!/'4. NPV'!EQR$8,0)</f>
        <v>0</v>
      </c>
      <c r="EQR54" s="5">
        <f>-IFERROR('4. NPV'!#REF!/'4. NPV'!EQS$8,0)</f>
        <v>0</v>
      </c>
      <c r="EQS54" s="5">
        <f>-IFERROR('4. NPV'!#REF!/'4. NPV'!EQT$8,0)</f>
        <v>0</v>
      </c>
      <c r="EQT54" s="5">
        <f>-IFERROR('4. NPV'!#REF!/'4. NPV'!EQU$8,0)</f>
        <v>0</v>
      </c>
      <c r="EQU54" s="5">
        <f>-IFERROR('4. NPV'!#REF!/'4. NPV'!EQV$8,0)</f>
        <v>0</v>
      </c>
      <c r="EQV54" s="5">
        <f>-IFERROR('4. NPV'!#REF!/'4. NPV'!EQW$8,0)</f>
        <v>0</v>
      </c>
      <c r="EQW54" s="5">
        <f>-IFERROR('4. NPV'!#REF!/'4. NPV'!EQX$8,0)</f>
        <v>0</v>
      </c>
      <c r="EQX54" s="5">
        <f>-IFERROR('4. NPV'!#REF!/'4. NPV'!EQY$8,0)</f>
        <v>0</v>
      </c>
      <c r="EQY54" s="5">
        <f>-IFERROR('4. NPV'!#REF!/'4. NPV'!EQZ$8,0)</f>
        <v>0</v>
      </c>
      <c r="EQZ54" s="5">
        <f>-IFERROR('4. NPV'!#REF!/'4. NPV'!ERA$8,0)</f>
        <v>0</v>
      </c>
      <c r="ERA54" s="5">
        <f>-IFERROR('4. NPV'!#REF!/'4. NPV'!ERB$8,0)</f>
        <v>0</v>
      </c>
      <c r="ERB54" s="5">
        <f>-IFERROR('4. NPV'!#REF!/'4. NPV'!ERC$8,0)</f>
        <v>0</v>
      </c>
      <c r="ERC54" s="5">
        <f>-IFERROR('4. NPV'!#REF!/'4. NPV'!ERD$8,0)</f>
        <v>0</v>
      </c>
      <c r="ERD54" s="5">
        <f>-IFERROR('4. NPV'!#REF!/'4. NPV'!ERE$8,0)</f>
        <v>0</v>
      </c>
      <c r="ERE54" s="5">
        <f>-IFERROR('4. NPV'!#REF!/'4. NPV'!ERF$8,0)</f>
        <v>0</v>
      </c>
      <c r="ERF54" s="5">
        <f>-IFERROR('4. NPV'!#REF!/'4. NPV'!ERG$8,0)</f>
        <v>0</v>
      </c>
      <c r="ERG54" s="5">
        <f>-IFERROR('4. NPV'!#REF!/'4. NPV'!ERH$8,0)</f>
        <v>0</v>
      </c>
      <c r="ERH54" s="5">
        <f>-IFERROR('4. NPV'!#REF!/'4. NPV'!ERI$8,0)</f>
        <v>0</v>
      </c>
      <c r="ERI54" s="5">
        <f>-IFERROR('4. NPV'!#REF!/'4. NPV'!ERJ$8,0)</f>
        <v>0</v>
      </c>
      <c r="ERJ54" s="5">
        <f>-IFERROR('4. NPV'!#REF!/'4. NPV'!ERK$8,0)</f>
        <v>0</v>
      </c>
      <c r="ERK54" s="5">
        <f>-IFERROR('4. NPV'!#REF!/'4. NPV'!ERL$8,0)</f>
        <v>0</v>
      </c>
      <c r="ERL54" s="5">
        <f>-IFERROR('4. NPV'!#REF!/'4. NPV'!ERM$8,0)</f>
        <v>0</v>
      </c>
      <c r="ERM54" s="5">
        <f>-IFERROR('4. NPV'!#REF!/'4. NPV'!ERN$8,0)</f>
        <v>0</v>
      </c>
      <c r="ERN54" s="5">
        <f>-IFERROR('4. NPV'!#REF!/'4. NPV'!ERO$8,0)</f>
        <v>0</v>
      </c>
      <c r="ERO54" s="5">
        <f>-IFERROR('4. NPV'!#REF!/'4. NPV'!ERP$8,0)</f>
        <v>0</v>
      </c>
      <c r="ERP54" s="5">
        <f>-IFERROR('4. NPV'!#REF!/'4. NPV'!ERQ$8,0)</f>
        <v>0</v>
      </c>
      <c r="ERQ54" s="5">
        <f>-IFERROR('4. NPV'!#REF!/'4. NPV'!ERR$8,0)</f>
        <v>0</v>
      </c>
      <c r="ERR54" s="5">
        <f>-IFERROR('4. NPV'!#REF!/'4. NPV'!ERS$8,0)</f>
        <v>0</v>
      </c>
      <c r="ERS54" s="5">
        <f>-IFERROR('4. NPV'!#REF!/'4. NPV'!ERT$8,0)</f>
        <v>0</v>
      </c>
      <c r="ERT54" s="5">
        <f>-IFERROR('4. NPV'!#REF!/'4. NPV'!ERU$8,0)</f>
        <v>0</v>
      </c>
      <c r="ERU54" s="5">
        <f>-IFERROR('4. NPV'!#REF!/'4. NPV'!ERV$8,0)</f>
        <v>0</v>
      </c>
      <c r="ERV54" s="5">
        <f>-IFERROR('4. NPV'!#REF!/'4. NPV'!ERW$8,0)</f>
        <v>0</v>
      </c>
      <c r="ERW54" s="5">
        <f>-IFERROR('4. NPV'!#REF!/'4. NPV'!ERX$8,0)</f>
        <v>0</v>
      </c>
      <c r="ERX54" s="5">
        <f>-IFERROR('4. NPV'!#REF!/'4. NPV'!ERY$8,0)</f>
        <v>0</v>
      </c>
      <c r="ERY54" s="5">
        <f>-IFERROR('4. NPV'!#REF!/'4. NPV'!ERZ$8,0)</f>
        <v>0</v>
      </c>
      <c r="ERZ54" s="5">
        <f>-IFERROR('4. NPV'!#REF!/'4. NPV'!ESA$8,0)</f>
        <v>0</v>
      </c>
      <c r="ESA54" s="5">
        <f>-IFERROR('4. NPV'!#REF!/'4. NPV'!ESB$8,0)</f>
        <v>0</v>
      </c>
      <c r="ESB54" s="5">
        <f>-IFERROR('4. NPV'!#REF!/'4. NPV'!ESC$8,0)</f>
        <v>0</v>
      </c>
      <c r="ESC54" s="5">
        <f>-IFERROR('4. NPV'!#REF!/'4. NPV'!ESD$8,0)</f>
        <v>0</v>
      </c>
      <c r="ESD54" s="5">
        <f>-IFERROR('4. NPV'!#REF!/'4. NPV'!ESE$8,0)</f>
        <v>0</v>
      </c>
      <c r="ESE54" s="5">
        <f>-IFERROR('4. NPV'!#REF!/'4. NPV'!ESF$8,0)</f>
        <v>0</v>
      </c>
      <c r="ESF54" s="5">
        <f>-IFERROR('4. NPV'!#REF!/'4. NPV'!ESG$8,0)</f>
        <v>0</v>
      </c>
      <c r="ESG54" s="5">
        <f>-IFERROR('4. NPV'!#REF!/'4. NPV'!ESH$8,0)</f>
        <v>0</v>
      </c>
      <c r="ESH54" s="5">
        <f>-IFERROR('4. NPV'!#REF!/'4. NPV'!ESI$8,0)</f>
        <v>0</v>
      </c>
      <c r="ESI54" s="5">
        <f>-IFERROR('4. NPV'!#REF!/'4. NPV'!ESJ$8,0)</f>
        <v>0</v>
      </c>
      <c r="ESJ54" s="5">
        <f>-IFERROR('4. NPV'!#REF!/'4. NPV'!ESK$8,0)</f>
        <v>0</v>
      </c>
      <c r="ESK54" s="5">
        <f>-IFERROR('4. NPV'!#REF!/'4. NPV'!ESL$8,0)</f>
        <v>0</v>
      </c>
      <c r="ESL54" s="5">
        <f>-IFERROR('4. NPV'!#REF!/'4. NPV'!ESM$8,0)</f>
        <v>0</v>
      </c>
      <c r="ESM54" s="5">
        <f>-IFERROR('4. NPV'!#REF!/'4. NPV'!ESN$8,0)</f>
        <v>0</v>
      </c>
      <c r="ESN54" s="5">
        <f>-IFERROR('4. NPV'!#REF!/'4. NPV'!ESO$8,0)</f>
        <v>0</v>
      </c>
      <c r="ESO54" s="5">
        <f>-IFERROR('4. NPV'!#REF!/'4. NPV'!ESP$8,0)</f>
        <v>0</v>
      </c>
      <c r="ESP54" s="5">
        <f>-IFERROR('4. NPV'!#REF!/'4. NPV'!ESQ$8,0)</f>
        <v>0</v>
      </c>
      <c r="ESQ54" s="5">
        <f>-IFERROR('4. NPV'!#REF!/'4. NPV'!ESR$8,0)</f>
        <v>0</v>
      </c>
      <c r="ESR54" s="5">
        <f>-IFERROR('4. NPV'!#REF!/'4. NPV'!ESS$8,0)</f>
        <v>0</v>
      </c>
      <c r="ESS54" s="5">
        <f>-IFERROR('4. NPV'!#REF!/'4. NPV'!EST$8,0)</f>
        <v>0</v>
      </c>
      <c r="EST54" s="5">
        <f>-IFERROR('4. NPV'!#REF!/'4. NPV'!ESU$8,0)</f>
        <v>0</v>
      </c>
      <c r="ESU54" s="5">
        <f>-IFERROR('4. NPV'!#REF!/'4. NPV'!ESV$8,0)</f>
        <v>0</v>
      </c>
      <c r="ESV54" s="5">
        <f>-IFERROR('4. NPV'!#REF!/'4. NPV'!ESW$8,0)</f>
        <v>0</v>
      </c>
      <c r="ESW54" s="5">
        <f>-IFERROR('4. NPV'!#REF!/'4. NPV'!ESX$8,0)</f>
        <v>0</v>
      </c>
      <c r="ESX54" s="5">
        <f>-IFERROR('4. NPV'!#REF!/'4. NPV'!ESY$8,0)</f>
        <v>0</v>
      </c>
      <c r="ESY54" s="5">
        <f>-IFERROR('4. NPV'!#REF!/'4. NPV'!ESZ$8,0)</f>
        <v>0</v>
      </c>
      <c r="ESZ54" s="5">
        <f>-IFERROR('4. NPV'!#REF!/'4. NPV'!ETA$8,0)</f>
        <v>0</v>
      </c>
      <c r="ETA54" s="5">
        <f>-IFERROR('4. NPV'!#REF!/'4. NPV'!ETB$8,0)</f>
        <v>0</v>
      </c>
      <c r="ETB54" s="5">
        <f>-IFERROR('4. NPV'!#REF!/'4. NPV'!ETC$8,0)</f>
        <v>0</v>
      </c>
      <c r="ETC54" s="5">
        <f>-IFERROR('4. NPV'!#REF!/'4. NPV'!ETD$8,0)</f>
        <v>0</v>
      </c>
      <c r="ETD54" s="5">
        <f>-IFERROR('4. NPV'!#REF!/'4. NPV'!ETE$8,0)</f>
        <v>0</v>
      </c>
      <c r="ETE54" s="5">
        <f>-IFERROR('4. NPV'!#REF!/'4. NPV'!ETF$8,0)</f>
        <v>0</v>
      </c>
      <c r="ETF54" s="5">
        <f>-IFERROR('4. NPV'!#REF!/'4. NPV'!ETG$8,0)</f>
        <v>0</v>
      </c>
      <c r="ETG54" s="5">
        <f>-IFERROR('4. NPV'!#REF!/'4. NPV'!ETH$8,0)</f>
        <v>0</v>
      </c>
      <c r="ETH54" s="5">
        <f>-IFERROR('4. NPV'!#REF!/'4. NPV'!ETI$8,0)</f>
        <v>0</v>
      </c>
      <c r="ETI54" s="5">
        <f>-IFERROR('4. NPV'!#REF!/'4. NPV'!ETJ$8,0)</f>
        <v>0</v>
      </c>
      <c r="ETJ54" s="5">
        <f>-IFERROR('4. NPV'!#REF!/'4. NPV'!ETK$8,0)</f>
        <v>0</v>
      </c>
      <c r="ETK54" s="5">
        <f>-IFERROR('4. NPV'!#REF!/'4. NPV'!ETL$8,0)</f>
        <v>0</v>
      </c>
      <c r="ETL54" s="5">
        <f>-IFERROR('4. NPV'!#REF!/'4. NPV'!ETM$8,0)</f>
        <v>0</v>
      </c>
      <c r="ETM54" s="5">
        <f>-IFERROR('4. NPV'!#REF!/'4. NPV'!ETN$8,0)</f>
        <v>0</v>
      </c>
      <c r="ETN54" s="5">
        <f>-IFERROR('4. NPV'!#REF!/'4. NPV'!ETO$8,0)</f>
        <v>0</v>
      </c>
      <c r="ETO54" s="5">
        <f>-IFERROR('4. NPV'!#REF!/'4. NPV'!ETP$8,0)</f>
        <v>0</v>
      </c>
      <c r="ETP54" s="5">
        <f>-IFERROR('4. NPV'!#REF!/'4. NPV'!ETQ$8,0)</f>
        <v>0</v>
      </c>
      <c r="ETQ54" s="5">
        <f>-IFERROR('4. NPV'!#REF!/'4. NPV'!ETR$8,0)</f>
        <v>0</v>
      </c>
      <c r="ETR54" s="5">
        <f>-IFERROR('4. NPV'!#REF!/'4. NPV'!ETS$8,0)</f>
        <v>0</v>
      </c>
      <c r="ETS54" s="5">
        <f>-IFERROR('4. NPV'!#REF!/'4. NPV'!ETT$8,0)</f>
        <v>0</v>
      </c>
      <c r="ETT54" s="5">
        <f>-IFERROR('4. NPV'!#REF!/'4. NPV'!ETU$8,0)</f>
        <v>0</v>
      </c>
      <c r="ETU54" s="5">
        <f>-IFERROR('4. NPV'!#REF!/'4. NPV'!ETV$8,0)</f>
        <v>0</v>
      </c>
      <c r="ETV54" s="5">
        <f>-IFERROR('4. NPV'!#REF!/'4. NPV'!ETW$8,0)</f>
        <v>0</v>
      </c>
      <c r="ETW54" s="5">
        <f>-IFERROR('4. NPV'!#REF!/'4. NPV'!ETX$8,0)</f>
        <v>0</v>
      </c>
      <c r="ETX54" s="5">
        <f>-IFERROR('4. NPV'!#REF!/'4. NPV'!ETY$8,0)</f>
        <v>0</v>
      </c>
      <c r="ETY54" s="5">
        <f>-IFERROR('4. NPV'!#REF!/'4. NPV'!ETZ$8,0)</f>
        <v>0</v>
      </c>
      <c r="ETZ54" s="5">
        <f>-IFERROR('4. NPV'!#REF!/'4. NPV'!EUA$8,0)</f>
        <v>0</v>
      </c>
      <c r="EUA54" s="5">
        <f>-IFERROR('4. NPV'!#REF!/'4. NPV'!EUB$8,0)</f>
        <v>0</v>
      </c>
      <c r="EUB54" s="5">
        <f>-IFERROR('4. NPV'!#REF!/'4. NPV'!EUC$8,0)</f>
        <v>0</v>
      </c>
      <c r="EUC54" s="5">
        <f>-IFERROR('4. NPV'!#REF!/'4. NPV'!EUD$8,0)</f>
        <v>0</v>
      </c>
      <c r="EUD54" s="5">
        <f>-IFERROR('4. NPV'!#REF!/'4. NPV'!EUE$8,0)</f>
        <v>0</v>
      </c>
      <c r="EUE54" s="5">
        <f>-IFERROR('4. NPV'!#REF!/'4. NPV'!EUF$8,0)</f>
        <v>0</v>
      </c>
      <c r="EUF54" s="5">
        <f>-IFERROR('4. NPV'!#REF!/'4. NPV'!EUG$8,0)</f>
        <v>0</v>
      </c>
      <c r="EUG54" s="5">
        <f>-IFERROR('4. NPV'!#REF!/'4. NPV'!EUH$8,0)</f>
        <v>0</v>
      </c>
      <c r="EUH54" s="5">
        <f>-IFERROR('4. NPV'!#REF!/'4. NPV'!EUI$8,0)</f>
        <v>0</v>
      </c>
      <c r="EUI54" s="5">
        <f>-IFERROR('4. NPV'!#REF!/'4. NPV'!EUJ$8,0)</f>
        <v>0</v>
      </c>
      <c r="EUJ54" s="5">
        <f>-IFERROR('4. NPV'!#REF!/'4. NPV'!EUK$8,0)</f>
        <v>0</v>
      </c>
      <c r="EUK54" s="5">
        <f>-IFERROR('4. NPV'!#REF!/'4. NPV'!EUL$8,0)</f>
        <v>0</v>
      </c>
      <c r="EUL54" s="5">
        <f>-IFERROR('4. NPV'!#REF!/'4. NPV'!EUM$8,0)</f>
        <v>0</v>
      </c>
      <c r="EUM54" s="5">
        <f>-IFERROR('4. NPV'!#REF!/'4. NPV'!EUN$8,0)</f>
        <v>0</v>
      </c>
      <c r="EUN54" s="5">
        <f>-IFERROR('4. NPV'!#REF!/'4. NPV'!EUO$8,0)</f>
        <v>0</v>
      </c>
      <c r="EUO54" s="5">
        <f>-IFERROR('4. NPV'!#REF!/'4. NPV'!EUP$8,0)</f>
        <v>0</v>
      </c>
      <c r="EUP54" s="5">
        <f>-IFERROR('4. NPV'!#REF!/'4. NPV'!EUQ$8,0)</f>
        <v>0</v>
      </c>
      <c r="EUQ54" s="5">
        <f>-IFERROR('4. NPV'!#REF!/'4. NPV'!EUR$8,0)</f>
        <v>0</v>
      </c>
      <c r="EUR54" s="5">
        <f>-IFERROR('4. NPV'!#REF!/'4. NPV'!EUS$8,0)</f>
        <v>0</v>
      </c>
      <c r="EUS54" s="5">
        <f>-IFERROR('4. NPV'!#REF!/'4. NPV'!EUT$8,0)</f>
        <v>0</v>
      </c>
      <c r="EUT54" s="5">
        <f>-IFERROR('4. NPV'!#REF!/'4. NPV'!EUU$8,0)</f>
        <v>0</v>
      </c>
      <c r="EUU54" s="5">
        <f>-IFERROR('4. NPV'!#REF!/'4. NPV'!EUV$8,0)</f>
        <v>0</v>
      </c>
      <c r="EUV54" s="5">
        <f>-IFERROR('4. NPV'!#REF!/'4. NPV'!EUW$8,0)</f>
        <v>0</v>
      </c>
      <c r="EUW54" s="5">
        <f>-IFERROR('4. NPV'!#REF!/'4. NPV'!EUX$8,0)</f>
        <v>0</v>
      </c>
      <c r="EUX54" s="5">
        <f>-IFERROR('4. NPV'!#REF!/'4. NPV'!EUY$8,0)</f>
        <v>0</v>
      </c>
      <c r="EUY54" s="5">
        <f>-IFERROR('4. NPV'!#REF!/'4. NPV'!EUZ$8,0)</f>
        <v>0</v>
      </c>
      <c r="EUZ54" s="5">
        <f>-IFERROR('4. NPV'!#REF!/'4. NPV'!EVA$8,0)</f>
        <v>0</v>
      </c>
      <c r="EVA54" s="5">
        <f>-IFERROR('4. NPV'!#REF!/'4. NPV'!EVB$8,0)</f>
        <v>0</v>
      </c>
      <c r="EVB54" s="5">
        <f>-IFERROR('4. NPV'!#REF!/'4. NPV'!EVC$8,0)</f>
        <v>0</v>
      </c>
      <c r="EVC54" s="5">
        <f>-IFERROR('4. NPV'!#REF!/'4. NPV'!EVD$8,0)</f>
        <v>0</v>
      </c>
      <c r="EVD54" s="5">
        <f>-IFERROR('4. NPV'!#REF!/'4. NPV'!EVE$8,0)</f>
        <v>0</v>
      </c>
      <c r="EVE54" s="5">
        <f>-IFERROR('4. NPV'!#REF!/'4. NPV'!EVF$8,0)</f>
        <v>0</v>
      </c>
      <c r="EVF54" s="5">
        <f>-IFERROR('4. NPV'!#REF!/'4. NPV'!EVG$8,0)</f>
        <v>0</v>
      </c>
      <c r="EVG54" s="5">
        <f>-IFERROR('4. NPV'!#REF!/'4. NPV'!EVH$8,0)</f>
        <v>0</v>
      </c>
      <c r="EVH54" s="5">
        <f>-IFERROR('4. NPV'!#REF!/'4. NPV'!EVI$8,0)</f>
        <v>0</v>
      </c>
      <c r="EVI54" s="5">
        <f>-IFERROR('4. NPV'!#REF!/'4. NPV'!EVJ$8,0)</f>
        <v>0</v>
      </c>
      <c r="EVJ54" s="5">
        <f>-IFERROR('4. NPV'!#REF!/'4. NPV'!EVK$8,0)</f>
        <v>0</v>
      </c>
      <c r="EVK54" s="5">
        <f>-IFERROR('4. NPV'!#REF!/'4. NPV'!EVL$8,0)</f>
        <v>0</v>
      </c>
      <c r="EVL54" s="5">
        <f>-IFERROR('4. NPV'!#REF!/'4. NPV'!EVM$8,0)</f>
        <v>0</v>
      </c>
      <c r="EVM54" s="5">
        <f>-IFERROR('4. NPV'!#REF!/'4. NPV'!EVN$8,0)</f>
        <v>0</v>
      </c>
      <c r="EVN54" s="5">
        <f>-IFERROR('4. NPV'!#REF!/'4. NPV'!EVO$8,0)</f>
        <v>0</v>
      </c>
      <c r="EVO54" s="5">
        <f>-IFERROR('4. NPV'!#REF!/'4. NPV'!EVP$8,0)</f>
        <v>0</v>
      </c>
      <c r="EVP54" s="5">
        <f>-IFERROR('4. NPV'!#REF!/'4. NPV'!EVQ$8,0)</f>
        <v>0</v>
      </c>
      <c r="EVQ54" s="5">
        <f>-IFERROR('4. NPV'!#REF!/'4. NPV'!EVR$8,0)</f>
        <v>0</v>
      </c>
      <c r="EVR54" s="5">
        <f>-IFERROR('4. NPV'!#REF!/'4. NPV'!EVS$8,0)</f>
        <v>0</v>
      </c>
      <c r="EVS54" s="5">
        <f>-IFERROR('4. NPV'!#REF!/'4. NPV'!EVT$8,0)</f>
        <v>0</v>
      </c>
      <c r="EVT54" s="5">
        <f>-IFERROR('4. NPV'!#REF!/'4. NPV'!EVU$8,0)</f>
        <v>0</v>
      </c>
      <c r="EVU54" s="5">
        <f>-IFERROR('4. NPV'!#REF!/'4. NPV'!EVV$8,0)</f>
        <v>0</v>
      </c>
      <c r="EVV54" s="5">
        <f>-IFERROR('4. NPV'!#REF!/'4. NPV'!EVW$8,0)</f>
        <v>0</v>
      </c>
      <c r="EVW54" s="5">
        <f>-IFERROR('4. NPV'!#REF!/'4. NPV'!EVX$8,0)</f>
        <v>0</v>
      </c>
      <c r="EVX54" s="5">
        <f>-IFERROR('4. NPV'!#REF!/'4. NPV'!EVY$8,0)</f>
        <v>0</v>
      </c>
      <c r="EVY54" s="5">
        <f>-IFERROR('4. NPV'!#REF!/'4. NPV'!EVZ$8,0)</f>
        <v>0</v>
      </c>
      <c r="EVZ54" s="5">
        <f>-IFERROR('4. NPV'!#REF!/'4. NPV'!EWA$8,0)</f>
        <v>0</v>
      </c>
      <c r="EWA54" s="5">
        <f>-IFERROR('4. NPV'!#REF!/'4. NPV'!EWB$8,0)</f>
        <v>0</v>
      </c>
      <c r="EWB54" s="5">
        <f>-IFERROR('4. NPV'!#REF!/'4. NPV'!EWC$8,0)</f>
        <v>0</v>
      </c>
      <c r="EWC54" s="5">
        <f>-IFERROR('4. NPV'!#REF!/'4. NPV'!EWD$8,0)</f>
        <v>0</v>
      </c>
      <c r="EWD54" s="5">
        <f>-IFERROR('4. NPV'!#REF!/'4. NPV'!EWE$8,0)</f>
        <v>0</v>
      </c>
      <c r="EWE54" s="5">
        <f>-IFERROR('4. NPV'!#REF!/'4. NPV'!EWF$8,0)</f>
        <v>0</v>
      </c>
      <c r="EWF54" s="5">
        <f>-IFERROR('4. NPV'!#REF!/'4. NPV'!EWG$8,0)</f>
        <v>0</v>
      </c>
      <c r="EWG54" s="5">
        <f>-IFERROR('4. NPV'!#REF!/'4. NPV'!EWH$8,0)</f>
        <v>0</v>
      </c>
      <c r="EWH54" s="5">
        <f>-IFERROR('4. NPV'!#REF!/'4. NPV'!EWI$8,0)</f>
        <v>0</v>
      </c>
      <c r="EWI54" s="5">
        <f>-IFERROR('4. NPV'!#REF!/'4. NPV'!EWJ$8,0)</f>
        <v>0</v>
      </c>
      <c r="EWJ54" s="5">
        <f>-IFERROR('4. NPV'!#REF!/'4. NPV'!EWK$8,0)</f>
        <v>0</v>
      </c>
      <c r="EWK54" s="5">
        <f>-IFERROR('4. NPV'!#REF!/'4. NPV'!EWL$8,0)</f>
        <v>0</v>
      </c>
      <c r="EWL54" s="5">
        <f>-IFERROR('4. NPV'!#REF!/'4. NPV'!EWM$8,0)</f>
        <v>0</v>
      </c>
      <c r="EWM54" s="5">
        <f>-IFERROR('4. NPV'!#REF!/'4. NPV'!EWN$8,0)</f>
        <v>0</v>
      </c>
      <c r="EWN54" s="5">
        <f>-IFERROR('4. NPV'!#REF!/'4. NPV'!EWO$8,0)</f>
        <v>0</v>
      </c>
      <c r="EWO54" s="5">
        <f>-IFERROR('4. NPV'!#REF!/'4. NPV'!EWP$8,0)</f>
        <v>0</v>
      </c>
      <c r="EWP54" s="5">
        <f>-IFERROR('4. NPV'!#REF!/'4. NPV'!EWQ$8,0)</f>
        <v>0</v>
      </c>
      <c r="EWQ54" s="5">
        <f>-IFERROR('4. NPV'!#REF!/'4. NPV'!EWR$8,0)</f>
        <v>0</v>
      </c>
      <c r="EWR54" s="5">
        <f>-IFERROR('4. NPV'!#REF!/'4. NPV'!EWS$8,0)</f>
        <v>0</v>
      </c>
      <c r="EWS54" s="5">
        <f>-IFERROR('4. NPV'!#REF!/'4. NPV'!EWT$8,0)</f>
        <v>0</v>
      </c>
      <c r="EWT54" s="5">
        <f>-IFERROR('4. NPV'!#REF!/'4. NPV'!EWU$8,0)</f>
        <v>0</v>
      </c>
      <c r="EWU54" s="5">
        <f>-IFERROR('4. NPV'!#REF!/'4. NPV'!EWV$8,0)</f>
        <v>0</v>
      </c>
      <c r="EWV54" s="5">
        <f>-IFERROR('4. NPV'!#REF!/'4. NPV'!EWW$8,0)</f>
        <v>0</v>
      </c>
      <c r="EWW54" s="5">
        <f>-IFERROR('4. NPV'!#REF!/'4. NPV'!EWX$8,0)</f>
        <v>0</v>
      </c>
      <c r="EWX54" s="5">
        <f>-IFERROR('4. NPV'!#REF!/'4. NPV'!EWY$8,0)</f>
        <v>0</v>
      </c>
      <c r="EWY54" s="5">
        <f>-IFERROR('4. NPV'!#REF!/'4. NPV'!EWZ$8,0)</f>
        <v>0</v>
      </c>
      <c r="EWZ54" s="5">
        <f>-IFERROR('4. NPV'!#REF!/'4. NPV'!EXA$8,0)</f>
        <v>0</v>
      </c>
      <c r="EXA54" s="5">
        <f>-IFERROR('4. NPV'!#REF!/'4. NPV'!EXB$8,0)</f>
        <v>0</v>
      </c>
      <c r="EXB54" s="5">
        <f>-IFERROR('4. NPV'!#REF!/'4. NPV'!EXC$8,0)</f>
        <v>0</v>
      </c>
      <c r="EXC54" s="5">
        <f>-IFERROR('4. NPV'!#REF!/'4. NPV'!EXD$8,0)</f>
        <v>0</v>
      </c>
      <c r="EXD54" s="5">
        <f>-IFERROR('4. NPV'!#REF!/'4. NPV'!EXE$8,0)</f>
        <v>0</v>
      </c>
      <c r="EXE54" s="5">
        <f>-IFERROR('4. NPV'!#REF!/'4. NPV'!EXF$8,0)</f>
        <v>0</v>
      </c>
      <c r="EXF54" s="5">
        <f>-IFERROR('4. NPV'!#REF!/'4. NPV'!EXG$8,0)</f>
        <v>0</v>
      </c>
      <c r="EXG54" s="5">
        <f>-IFERROR('4. NPV'!#REF!/'4. NPV'!EXH$8,0)</f>
        <v>0</v>
      </c>
      <c r="EXH54" s="5">
        <f>-IFERROR('4. NPV'!#REF!/'4. NPV'!EXI$8,0)</f>
        <v>0</v>
      </c>
      <c r="EXI54" s="5">
        <f>-IFERROR('4. NPV'!#REF!/'4. NPV'!EXJ$8,0)</f>
        <v>0</v>
      </c>
      <c r="EXJ54" s="5">
        <f>-IFERROR('4. NPV'!#REF!/'4. NPV'!EXK$8,0)</f>
        <v>0</v>
      </c>
      <c r="EXK54" s="5">
        <f>-IFERROR('4. NPV'!#REF!/'4. NPV'!EXL$8,0)</f>
        <v>0</v>
      </c>
      <c r="EXL54" s="5">
        <f>-IFERROR('4. NPV'!#REF!/'4. NPV'!EXM$8,0)</f>
        <v>0</v>
      </c>
      <c r="EXM54" s="5">
        <f>-IFERROR('4. NPV'!#REF!/'4. NPV'!EXN$8,0)</f>
        <v>0</v>
      </c>
      <c r="EXN54" s="5">
        <f>-IFERROR('4. NPV'!#REF!/'4. NPV'!EXO$8,0)</f>
        <v>0</v>
      </c>
      <c r="EXO54" s="5">
        <f>-IFERROR('4. NPV'!#REF!/'4. NPV'!EXP$8,0)</f>
        <v>0</v>
      </c>
      <c r="EXP54" s="5">
        <f>-IFERROR('4. NPV'!#REF!/'4. NPV'!EXQ$8,0)</f>
        <v>0</v>
      </c>
      <c r="EXQ54" s="5">
        <f>-IFERROR('4. NPV'!#REF!/'4. NPV'!EXR$8,0)</f>
        <v>0</v>
      </c>
      <c r="EXR54" s="5">
        <f>-IFERROR('4. NPV'!#REF!/'4. NPV'!EXS$8,0)</f>
        <v>0</v>
      </c>
      <c r="EXS54" s="5">
        <f>-IFERROR('4. NPV'!#REF!/'4. NPV'!EXT$8,0)</f>
        <v>0</v>
      </c>
      <c r="EXT54" s="5">
        <f>-IFERROR('4. NPV'!#REF!/'4. NPV'!EXU$8,0)</f>
        <v>0</v>
      </c>
      <c r="EXU54" s="5">
        <f>-IFERROR('4. NPV'!#REF!/'4. NPV'!EXV$8,0)</f>
        <v>0</v>
      </c>
      <c r="EXV54" s="5">
        <f>-IFERROR('4. NPV'!#REF!/'4. NPV'!EXW$8,0)</f>
        <v>0</v>
      </c>
      <c r="EXW54" s="5">
        <f>-IFERROR('4. NPV'!#REF!/'4. NPV'!EXX$8,0)</f>
        <v>0</v>
      </c>
      <c r="EXX54" s="5">
        <f>-IFERROR('4. NPV'!#REF!/'4. NPV'!EXY$8,0)</f>
        <v>0</v>
      </c>
      <c r="EXY54" s="5">
        <f>-IFERROR('4. NPV'!#REF!/'4. NPV'!EXZ$8,0)</f>
        <v>0</v>
      </c>
      <c r="EXZ54" s="5">
        <f>-IFERROR('4. NPV'!#REF!/'4. NPV'!EYA$8,0)</f>
        <v>0</v>
      </c>
      <c r="EYA54" s="5">
        <f>-IFERROR('4. NPV'!#REF!/'4. NPV'!EYB$8,0)</f>
        <v>0</v>
      </c>
      <c r="EYB54" s="5">
        <f>-IFERROR('4. NPV'!#REF!/'4. NPV'!EYC$8,0)</f>
        <v>0</v>
      </c>
      <c r="EYC54" s="5">
        <f>-IFERROR('4. NPV'!#REF!/'4. NPV'!EYD$8,0)</f>
        <v>0</v>
      </c>
      <c r="EYD54" s="5">
        <f>-IFERROR('4. NPV'!#REF!/'4. NPV'!EYE$8,0)</f>
        <v>0</v>
      </c>
      <c r="EYE54" s="5">
        <f>-IFERROR('4. NPV'!#REF!/'4. NPV'!EYF$8,0)</f>
        <v>0</v>
      </c>
      <c r="EYF54" s="5">
        <f>-IFERROR('4. NPV'!#REF!/'4. NPV'!EYG$8,0)</f>
        <v>0</v>
      </c>
      <c r="EYG54" s="5">
        <f>-IFERROR('4. NPV'!#REF!/'4. NPV'!EYH$8,0)</f>
        <v>0</v>
      </c>
      <c r="EYH54" s="5">
        <f>-IFERROR('4. NPV'!#REF!/'4. NPV'!EYI$8,0)</f>
        <v>0</v>
      </c>
      <c r="EYI54" s="5">
        <f>-IFERROR('4. NPV'!#REF!/'4. NPV'!EYJ$8,0)</f>
        <v>0</v>
      </c>
      <c r="EYJ54" s="5">
        <f>-IFERROR('4. NPV'!#REF!/'4. NPV'!EYK$8,0)</f>
        <v>0</v>
      </c>
      <c r="EYK54" s="5">
        <f>-IFERROR('4. NPV'!#REF!/'4. NPV'!EYL$8,0)</f>
        <v>0</v>
      </c>
      <c r="EYL54" s="5">
        <f>-IFERROR('4. NPV'!#REF!/'4. NPV'!EYM$8,0)</f>
        <v>0</v>
      </c>
      <c r="EYM54" s="5">
        <f>-IFERROR('4. NPV'!#REF!/'4. NPV'!EYN$8,0)</f>
        <v>0</v>
      </c>
      <c r="EYN54" s="5">
        <f>-IFERROR('4. NPV'!#REF!/'4. NPV'!EYO$8,0)</f>
        <v>0</v>
      </c>
      <c r="EYO54" s="5">
        <f>-IFERROR('4. NPV'!#REF!/'4. NPV'!EYP$8,0)</f>
        <v>0</v>
      </c>
      <c r="EYP54" s="5">
        <f>-IFERROR('4. NPV'!#REF!/'4. NPV'!EYQ$8,0)</f>
        <v>0</v>
      </c>
      <c r="EYQ54" s="5">
        <f>-IFERROR('4. NPV'!#REF!/'4. NPV'!EYR$8,0)</f>
        <v>0</v>
      </c>
      <c r="EYR54" s="5">
        <f>-IFERROR('4. NPV'!#REF!/'4. NPV'!EYS$8,0)</f>
        <v>0</v>
      </c>
      <c r="EYS54" s="5">
        <f>-IFERROR('4. NPV'!#REF!/'4. NPV'!EYT$8,0)</f>
        <v>0</v>
      </c>
      <c r="EYT54" s="5">
        <f>-IFERROR('4. NPV'!#REF!/'4. NPV'!EYU$8,0)</f>
        <v>0</v>
      </c>
      <c r="EYU54" s="5">
        <f>-IFERROR('4. NPV'!#REF!/'4. NPV'!EYV$8,0)</f>
        <v>0</v>
      </c>
      <c r="EYV54" s="5">
        <f>-IFERROR('4. NPV'!#REF!/'4. NPV'!EYW$8,0)</f>
        <v>0</v>
      </c>
      <c r="EYW54" s="5">
        <f>-IFERROR('4. NPV'!#REF!/'4. NPV'!EYX$8,0)</f>
        <v>0</v>
      </c>
      <c r="EYX54" s="5">
        <f>-IFERROR('4. NPV'!#REF!/'4. NPV'!EYY$8,0)</f>
        <v>0</v>
      </c>
      <c r="EYY54" s="5">
        <f>-IFERROR('4. NPV'!#REF!/'4. NPV'!EYZ$8,0)</f>
        <v>0</v>
      </c>
      <c r="EYZ54" s="5">
        <f>-IFERROR('4. NPV'!#REF!/'4. NPV'!EZA$8,0)</f>
        <v>0</v>
      </c>
      <c r="EZA54" s="5">
        <f>-IFERROR('4. NPV'!#REF!/'4. NPV'!EZB$8,0)</f>
        <v>0</v>
      </c>
      <c r="EZB54" s="5">
        <f>-IFERROR('4. NPV'!#REF!/'4. NPV'!EZC$8,0)</f>
        <v>0</v>
      </c>
      <c r="EZC54" s="5">
        <f>-IFERROR('4. NPV'!#REF!/'4. NPV'!EZD$8,0)</f>
        <v>0</v>
      </c>
      <c r="EZD54" s="5">
        <f>-IFERROR('4. NPV'!#REF!/'4. NPV'!EZE$8,0)</f>
        <v>0</v>
      </c>
      <c r="EZE54" s="5">
        <f>-IFERROR('4. NPV'!#REF!/'4. NPV'!EZF$8,0)</f>
        <v>0</v>
      </c>
      <c r="EZF54" s="5">
        <f>-IFERROR('4. NPV'!#REF!/'4. NPV'!EZG$8,0)</f>
        <v>0</v>
      </c>
      <c r="EZG54" s="5">
        <f>-IFERROR('4. NPV'!#REF!/'4. NPV'!EZH$8,0)</f>
        <v>0</v>
      </c>
      <c r="EZH54" s="5">
        <f>-IFERROR('4. NPV'!#REF!/'4. NPV'!EZI$8,0)</f>
        <v>0</v>
      </c>
      <c r="EZI54" s="5">
        <f>-IFERROR('4. NPV'!#REF!/'4. NPV'!EZJ$8,0)</f>
        <v>0</v>
      </c>
      <c r="EZJ54" s="5">
        <f>-IFERROR('4. NPV'!#REF!/'4. NPV'!EZK$8,0)</f>
        <v>0</v>
      </c>
      <c r="EZK54" s="5">
        <f>-IFERROR('4. NPV'!#REF!/'4. NPV'!EZL$8,0)</f>
        <v>0</v>
      </c>
      <c r="EZL54" s="5">
        <f>-IFERROR('4. NPV'!#REF!/'4. NPV'!EZM$8,0)</f>
        <v>0</v>
      </c>
      <c r="EZM54" s="5">
        <f>-IFERROR('4. NPV'!#REF!/'4. NPV'!EZN$8,0)</f>
        <v>0</v>
      </c>
      <c r="EZN54" s="5">
        <f>-IFERROR('4. NPV'!#REF!/'4. NPV'!EZO$8,0)</f>
        <v>0</v>
      </c>
      <c r="EZO54" s="5">
        <f>-IFERROR('4. NPV'!#REF!/'4. NPV'!EZP$8,0)</f>
        <v>0</v>
      </c>
      <c r="EZP54" s="5">
        <f>-IFERROR('4. NPV'!#REF!/'4. NPV'!EZQ$8,0)</f>
        <v>0</v>
      </c>
      <c r="EZQ54" s="5">
        <f>-IFERROR('4. NPV'!#REF!/'4. NPV'!EZR$8,0)</f>
        <v>0</v>
      </c>
      <c r="EZR54" s="5">
        <f>-IFERROR('4. NPV'!#REF!/'4. NPV'!EZS$8,0)</f>
        <v>0</v>
      </c>
      <c r="EZS54" s="5">
        <f>-IFERROR('4. NPV'!#REF!/'4. NPV'!EZT$8,0)</f>
        <v>0</v>
      </c>
      <c r="EZT54" s="5">
        <f>-IFERROR('4. NPV'!#REF!/'4. NPV'!EZU$8,0)</f>
        <v>0</v>
      </c>
      <c r="EZU54" s="5">
        <f>-IFERROR('4. NPV'!#REF!/'4. NPV'!EZV$8,0)</f>
        <v>0</v>
      </c>
      <c r="EZV54" s="5">
        <f>-IFERROR('4. NPV'!#REF!/'4. NPV'!EZW$8,0)</f>
        <v>0</v>
      </c>
      <c r="EZW54" s="5">
        <f>-IFERROR('4. NPV'!#REF!/'4. NPV'!EZX$8,0)</f>
        <v>0</v>
      </c>
      <c r="EZX54" s="5">
        <f>-IFERROR('4. NPV'!#REF!/'4. NPV'!EZY$8,0)</f>
        <v>0</v>
      </c>
      <c r="EZY54" s="5">
        <f>-IFERROR('4. NPV'!#REF!/'4. NPV'!EZZ$8,0)</f>
        <v>0</v>
      </c>
      <c r="EZZ54" s="5">
        <f>-IFERROR('4. NPV'!#REF!/'4. NPV'!FAA$8,0)</f>
        <v>0</v>
      </c>
      <c r="FAA54" s="5">
        <f>-IFERROR('4. NPV'!#REF!/'4. NPV'!FAB$8,0)</f>
        <v>0</v>
      </c>
      <c r="FAB54" s="5">
        <f>-IFERROR('4. NPV'!#REF!/'4. NPV'!FAC$8,0)</f>
        <v>0</v>
      </c>
      <c r="FAC54" s="5">
        <f>-IFERROR('4. NPV'!#REF!/'4. NPV'!FAD$8,0)</f>
        <v>0</v>
      </c>
      <c r="FAD54" s="5">
        <f>-IFERROR('4. NPV'!#REF!/'4. NPV'!FAE$8,0)</f>
        <v>0</v>
      </c>
      <c r="FAE54" s="5">
        <f>-IFERROR('4. NPV'!#REF!/'4. NPV'!FAF$8,0)</f>
        <v>0</v>
      </c>
      <c r="FAF54" s="5">
        <f>-IFERROR('4. NPV'!#REF!/'4. NPV'!FAG$8,0)</f>
        <v>0</v>
      </c>
      <c r="FAG54" s="5">
        <f>-IFERROR('4. NPV'!#REF!/'4. NPV'!FAH$8,0)</f>
        <v>0</v>
      </c>
      <c r="FAH54" s="5">
        <f>-IFERROR('4. NPV'!#REF!/'4. NPV'!FAI$8,0)</f>
        <v>0</v>
      </c>
      <c r="FAI54" s="5">
        <f>-IFERROR('4. NPV'!#REF!/'4. NPV'!FAJ$8,0)</f>
        <v>0</v>
      </c>
      <c r="FAJ54" s="5">
        <f>-IFERROR('4. NPV'!#REF!/'4. NPV'!FAK$8,0)</f>
        <v>0</v>
      </c>
      <c r="FAK54" s="5">
        <f>-IFERROR('4. NPV'!#REF!/'4. NPV'!FAL$8,0)</f>
        <v>0</v>
      </c>
      <c r="FAL54" s="5">
        <f>-IFERROR('4. NPV'!#REF!/'4. NPV'!FAM$8,0)</f>
        <v>0</v>
      </c>
      <c r="FAM54" s="5">
        <f>-IFERROR('4. NPV'!#REF!/'4. NPV'!FAN$8,0)</f>
        <v>0</v>
      </c>
      <c r="FAN54" s="5">
        <f>-IFERROR('4. NPV'!#REF!/'4. NPV'!FAO$8,0)</f>
        <v>0</v>
      </c>
      <c r="FAO54" s="5">
        <f>-IFERROR('4. NPV'!#REF!/'4. NPV'!FAP$8,0)</f>
        <v>0</v>
      </c>
      <c r="FAP54" s="5">
        <f>-IFERROR('4. NPV'!#REF!/'4. NPV'!FAQ$8,0)</f>
        <v>0</v>
      </c>
      <c r="FAQ54" s="5">
        <f>-IFERROR('4. NPV'!#REF!/'4. NPV'!FAR$8,0)</f>
        <v>0</v>
      </c>
      <c r="FAR54" s="5">
        <f>-IFERROR('4. NPV'!#REF!/'4. NPV'!FAS$8,0)</f>
        <v>0</v>
      </c>
      <c r="FAS54" s="5">
        <f>-IFERROR('4. NPV'!#REF!/'4. NPV'!FAT$8,0)</f>
        <v>0</v>
      </c>
      <c r="FAT54" s="5">
        <f>-IFERROR('4. NPV'!#REF!/'4. NPV'!FAU$8,0)</f>
        <v>0</v>
      </c>
      <c r="FAU54" s="5">
        <f>-IFERROR('4. NPV'!#REF!/'4. NPV'!FAV$8,0)</f>
        <v>0</v>
      </c>
      <c r="FAV54" s="5">
        <f>-IFERROR('4. NPV'!#REF!/'4. NPV'!FAW$8,0)</f>
        <v>0</v>
      </c>
      <c r="FAW54" s="5">
        <f>-IFERROR('4. NPV'!#REF!/'4. NPV'!FAX$8,0)</f>
        <v>0</v>
      </c>
      <c r="FAX54" s="5">
        <f>-IFERROR('4. NPV'!#REF!/'4. NPV'!FAY$8,0)</f>
        <v>0</v>
      </c>
      <c r="FAY54" s="5">
        <f>-IFERROR('4. NPV'!#REF!/'4. NPV'!FAZ$8,0)</f>
        <v>0</v>
      </c>
      <c r="FAZ54" s="5">
        <f>-IFERROR('4. NPV'!#REF!/'4. NPV'!FBA$8,0)</f>
        <v>0</v>
      </c>
      <c r="FBA54" s="5">
        <f>-IFERROR('4. NPV'!#REF!/'4. NPV'!FBB$8,0)</f>
        <v>0</v>
      </c>
      <c r="FBB54" s="5">
        <f>-IFERROR('4. NPV'!#REF!/'4. NPV'!FBC$8,0)</f>
        <v>0</v>
      </c>
      <c r="FBC54" s="5">
        <f>-IFERROR('4. NPV'!#REF!/'4. NPV'!FBD$8,0)</f>
        <v>0</v>
      </c>
      <c r="FBD54" s="5">
        <f>-IFERROR('4. NPV'!#REF!/'4. NPV'!FBE$8,0)</f>
        <v>0</v>
      </c>
      <c r="FBE54" s="5">
        <f>-IFERROR('4. NPV'!#REF!/'4. NPV'!FBF$8,0)</f>
        <v>0</v>
      </c>
      <c r="FBF54" s="5">
        <f>-IFERROR('4. NPV'!#REF!/'4. NPV'!FBG$8,0)</f>
        <v>0</v>
      </c>
      <c r="FBG54" s="5">
        <f>-IFERROR('4. NPV'!#REF!/'4. NPV'!FBH$8,0)</f>
        <v>0</v>
      </c>
      <c r="FBH54" s="5">
        <f>-IFERROR('4. NPV'!#REF!/'4. NPV'!FBI$8,0)</f>
        <v>0</v>
      </c>
      <c r="FBI54" s="5">
        <f>-IFERROR('4. NPV'!#REF!/'4. NPV'!FBJ$8,0)</f>
        <v>0</v>
      </c>
      <c r="FBJ54" s="5">
        <f>-IFERROR('4. NPV'!#REF!/'4. NPV'!FBK$8,0)</f>
        <v>0</v>
      </c>
      <c r="FBK54" s="5">
        <f>-IFERROR('4. NPV'!#REF!/'4. NPV'!FBL$8,0)</f>
        <v>0</v>
      </c>
      <c r="FBL54" s="5">
        <f>-IFERROR('4. NPV'!#REF!/'4. NPV'!FBM$8,0)</f>
        <v>0</v>
      </c>
      <c r="FBM54" s="5">
        <f>-IFERROR('4. NPV'!#REF!/'4. NPV'!FBN$8,0)</f>
        <v>0</v>
      </c>
      <c r="FBN54" s="5">
        <f>-IFERROR('4. NPV'!#REF!/'4. NPV'!FBO$8,0)</f>
        <v>0</v>
      </c>
      <c r="FBO54" s="5">
        <f>-IFERROR('4. NPV'!#REF!/'4. NPV'!FBP$8,0)</f>
        <v>0</v>
      </c>
      <c r="FBP54" s="5">
        <f>-IFERROR('4. NPV'!#REF!/'4. NPV'!FBQ$8,0)</f>
        <v>0</v>
      </c>
      <c r="FBQ54" s="5">
        <f>-IFERROR('4. NPV'!#REF!/'4. NPV'!FBR$8,0)</f>
        <v>0</v>
      </c>
      <c r="FBR54" s="5">
        <f>-IFERROR('4. NPV'!#REF!/'4. NPV'!FBS$8,0)</f>
        <v>0</v>
      </c>
      <c r="FBS54" s="5">
        <f>-IFERROR('4. NPV'!#REF!/'4. NPV'!FBT$8,0)</f>
        <v>0</v>
      </c>
      <c r="FBT54" s="5">
        <f>-IFERROR('4. NPV'!#REF!/'4. NPV'!FBU$8,0)</f>
        <v>0</v>
      </c>
      <c r="FBU54" s="5">
        <f>-IFERROR('4. NPV'!#REF!/'4. NPV'!FBV$8,0)</f>
        <v>0</v>
      </c>
      <c r="FBV54" s="5">
        <f>-IFERROR('4. NPV'!#REF!/'4. NPV'!FBW$8,0)</f>
        <v>0</v>
      </c>
      <c r="FBW54" s="5">
        <f>-IFERROR('4. NPV'!#REF!/'4. NPV'!FBX$8,0)</f>
        <v>0</v>
      </c>
      <c r="FBX54" s="5">
        <f>-IFERROR('4. NPV'!#REF!/'4. NPV'!FBY$8,0)</f>
        <v>0</v>
      </c>
      <c r="FBY54" s="5">
        <f>-IFERROR('4. NPV'!#REF!/'4. NPV'!FBZ$8,0)</f>
        <v>0</v>
      </c>
      <c r="FBZ54" s="5">
        <f>-IFERROR('4. NPV'!#REF!/'4. NPV'!FCA$8,0)</f>
        <v>0</v>
      </c>
      <c r="FCA54" s="5">
        <f>-IFERROR('4. NPV'!#REF!/'4. NPV'!FCB$8,0)</f>
        <v>0</v>
      </c>
      <c r="FCB54" s="5">
        <f>-IFERROR('4. NPV'!#REF!/'4. NPV'!FCC$8,0)</f>
        <v>0</v>
      </c>
      <c r="FCC54" s="5">
        <f>-IFERROR('4. NPV'!#REF!/'4. NPV'!FCD$8,0)</f>
        <v>0</v>
      </c>
      <c r="FCD54" s="5">
        <f>-IFERROR('4. NPV'!#REF!/'4. NPV'!FCE$8,0)</f>
        <v>0</v>
      </c>
      <c r="FCE54" s="5">
        <f>-IFERROR('4. NPV'!#REF!/'4. NPV'!FCF$8,0)</f>
        <v>0</v>
      </c>
      <c r="FCF54" s="5">
        <f>-IFERROR('4. NPV'!#REF!/'4. NPV'!FCG$8,0)</f>
        <v>0</v>
      </c>
      <c r="FCG54" s="5">
        <f>-IFERROR('4. NPV'!#REF!/'4. NPV'!FCH$8,0)</f>
        <v>0</v>
      </c>
      <c r="FCH54" s="5">
        <f>-IFERROR('4. NPV'!#REF!/'4. NPV'!FCI$8,0)</f>
        <v>0</v>
      </c>
      <c r="FCI54" s="5">
        <f>-IFERROR('4. NPV'!#REF!/'4. NPV'!FCJ$8,0)</f>
        <v>0</v>
      </c>
      <c r="FCJ54" s="5">
        <f>-IFERROR('4. NPV'!#REF!/'4. NPV'!FCK$8,0)</f>
        <v>0</v>
      </c>
      <c r="FCK54" s="5">
        <f>-IFERROR('4. NPV'!#REF!/'4. NPV'!FCL$8,0)</f>
        <v>0</v>
      </c>
      <c r="FCL54" s="5">
        <f>-IFERROR('4. NPV'!#REF!/'4. NPV'!FCM$8,0)</f>
        <v>0</v>
      </c>
      <c r="FCM54" s="5">
        <f>-IFERROR('4. NPV'!#REF!/'4. NPV'!FCN$8,0)</f>
        <v>0</v>
      </c>
      <c r="FCN54" s="5">
        <f>-IFERROR('4. NPV'!#REF!/'4. NPV'!FCO$8,0)</f>
        <v>0</v>
      </c>
      <c r="FCO54" s="5">
        <f>-IFERROR('4. NPV'!#REF!/'4. NPV'!FCP$8,0)</f>
        <v>0</v>
      </c>
      <c r="FCP54" s="5">
        <f>-IFERROR('4. NPV'!#REF!/'4. NPV'!FCQ$8,0)</f>
        <v>0</v>
      </c>
      <c r="FCQ54" s="5">
        <f>-IFERROR('4. NPV'!#REF!/'4. NPV'!FCR$8,0)</f>
        <v>0</v>
      </c>
      <c r="FCR54" s="5">
        <f>-IFERROR('4. NPV'!#REF!/'4. NPV'!FCS$8,0)</f>
        <v>0</v>
      </c>
      <c r="FCS54" s="5">
        <f>-IFERROR('4. NPV'!#REF!/'4. NPV'!FCT$8,0)</f>
        <v>0</v>
      </c>
      <c r="FCT54" s="5">
        <f>-IFERROR('4. NPV'!#REF!/'4. NPV'!FCU$8,0)</f>
        <v>0</v>
      </c>
      <c r="FCU54" s="5">
        <f>-IFERROR('4. NPV'!#REF!/'4. NPV'!FCV$8,0)</f>
        <v>0</v>
      </c>
      <c r="FCV54" s="5">
        <f>-IFERROR('4. NPV'!#REF!/'4. NPV'!FCW$8,0)</f>
        <v>0</v>
      </c>
      <c r="FCW54" s="5">
        <f>-IFERROR('4. NPV'!#REF!/'4. NPV'!FCX$8,0)</f>
        <v>0</v>
      </c>
      <c r="FCX54" s="5">
        <f>-IFERROR('4. NPV'!#REF!/'4. NPV'!FCY$8,0)</f>
        <v>0</v>
      </c>
      <c r="FCY54" s="5">
        <f>-IFERROR('4. NPV'!#REF!/'4. NPV'!FCZ$8,0)</f>
        <v>0</v>
      </c>
      <c r="FCZ54" s="5">
        <f>-IFERROR('4. NPV'!#REF!/'4. NPV'!FDA$8,0)</f>
        <v>0</v>
      </c>
      <c r="FDA54" s="5">
        <f>-IFERROR('4. NPV'!#REF!/'4. NPV'!FDB$8,0)</f>
        <v>0</v>
      </c>
      <c r="FDB54" s="5">
        <f>-IFERROR('4. NPV'!#REF!/'4. NPV'!FDC$8,0)</f>
        <v>0</v>
      </c>
      <c r="FDC54" s="5">
        <f>-IFERROR('4. NPV'!#REF!/'4. NPV'!FDD$8,0)</f>
        <v>0</v>
      </c>
      <c r="FDD54" s="5">
        <f>-IFERROR('4. NPV'!#REF!/'4. NPV'!FDE$8,0)</f>
        <v>0</v>
      </c>
      <c r="FDE54" s="5">
        <f>-IFERROR('4. NPV'!#REF!/'4. NPV'!FDF$8,0)</f>
        <v>0</v>
      </c>
      <c r="FDF54" s="5">
        <f>-IFERROR('4. NPV'!#REF!/'4. NPV'!FDG$8,0)</f>
        <v>0</v>
      </c>
      <c r="FDG54" s="5">
        <f>-IFERROR('4. NPV'!#REF!/'4. NPV'!FDH$8,0)</f>
        <v>0</v>
      </c>
      <c r="FDH54" s="5">
        <f>-IFERROR('4. NPV'!#REF!/'4. NPV'!FDI$8,0)</f>
        <v>0</v>
      </c>
      <c r="FDI54" s="5">
        <f>-IFERROR('4. NPV'!#REF!/'4. NPV'!FDJ$8,0)</f>
        <v>0</v>
      </c>
      <c r="FDJ54" s="5">
        <f>-IFERROR('4. NPV'!#REF!/'4. NPV'!FDK$8,0)</f>
        <v>0</v>
      </c>
      <c r="FDK54" s="5">
        <f>-IFERROR('4. NPV'!#REF!/'4. NPV'!FDL$8,0)</f>
        <v>0</v>
      </c>
      <c r="FDL54" s="5">
        <f>-IFERROR('4. NPV'!#REF!/'4. NPV'!FDM$8,0)</f>
        <v>0</v>
      </c>
      <c r="FDM54" s="5">
        <f>-IFERROR('4. NPV'!#REF!/'4. NPV'!FDN$8,0)</f>
        <v>0</v>
      </c>
      <c r="FDN54" s="5">
        <f>-IFERROR('4. NPV'!#REF!/'4. NPV'!FDO$8,0)</f>
        <v>0</v>
      </c>
      <c r="FDO54" s="5">
        <f>-IFERROR('4. NPV'!#REF!/'4. NPV'!FDP$8,0)</f>
        <v>0</v>
      </c>
      <c r="FDP54" s="5">
        <f>-IFERROR('4. NPV'!#REF!/'4. NPV'!FDQ$8,0)</f>
        <v>0</v>
      </c>
      <c r="FDQ54" s="5">
        <f>-IFERROR('4. NPV'!#REF!/'4. NPV'!FDR$8,0)</f>
        <v>0</v>
      </c>
      <c r="FDR54" s="5">
        <f>-IFERROR('4. NPV'!#REF!/'4. NPV'!FDS$8,0)</f>
        <v>0</v>
      </c>
      <c r="FDS54" s="5">
        <f>-IFERROR('4. NPV'!#REF!/'4. NPV'!FDT$8,0)</f>
        <v>0</v>
      </c>
      <c r="FDT54" s="5">
        <f>-IFERROR('4. NPV'!#REF!/'4. NPV'!FDU$8,0)</f>
        <v>0</v>
      </c>
      <c r="FDU54" s="5">
        <f>-IFERROR('4. NPV'!#REF!/'4. NPV'!FDV$8,0)</f>
        <v>0</v>
      </c>
      <c r="FDV54" s="5">
        <f>-IFERROR('4. NPV'!#REF!/'4. NPV'!FDW$8,0)</f>
        <v>0</v>
      </c>
      <c r="FDW54" s="5">
        <f>-IFERROR('4. NPV'!#REF!/'4. NPV'!FDX$8,0)</f>
        <v>0</v>
      </c>
      <c r="FDX54" s="5">
        <f>-IFERROR('4. NPV'!#REF!/'4. NPV'!FDY$8,0)</f>
        <v>0</v>
      </c>
      <c r="FDY54" s="5">
        <f>-IFERROR('4. NPV'!#REF!/'4. NPV'!FDZ$8,0)</f>
        <v>0</v>
      </c>
      <c r="FDZ54" s="5">
        <f>-IFERROR('4. NPV'!#REF!/'4. NPV'!FEA$8,0)</f>
        <v>0</v>
      </c>
      <c r="FEA54" s="5">
        <f>-IFERROR('4. NPV'!#REF!/'4. NPV'!FEB$8,0)</f>
        <v>0</v>
      </c>
      <c r="FEB54" s="5">
        <f>-IFERROR('4. NPV'!#REF!/'4. NPV'!FEC$8,0)</f>
        <v>0</v>
      </c>
      <c r="FEC54" s="5">
        <f>-IFERROR('4. NPV'!#REF!/'4. NPV'!FED$8,0)</f>
        <v>0</v>
      </c>
      <c r="FED54" s="5">
        <f>-IFERROR('4. NPV'!#REF!/'4. NPV'!FEE$8,0)</f>
        <v>0</v>
      </c>
      <c r="FEE54" s="5">
        <f>-IFERROR('4. NPV'!#REF!/'4. NPV'!FEF$8,0)</f>
        <v>0</v>
      </c>
      <c r="FEF54" s="5">
        <f>-IFERROR('4. NPV'!#REF!/'4. NPV'!FEG$8,0)</f>
        <v>0</v>
      </c>
      <c r="FEG54" s="5">
        <f>-IFERROR('4. NPV'!#REF!/'4. NPV'!FEH$8,0)</f>
        <v>0</v>
      </c>
      <c r="FEH54" s="5">
        <f>-IFERROR('4. NPV'!#REF!/'4. NPV'!FEI$8,0)</f>
        <v>0</v>
      </c>
      <c r="FEI54" s="5">
        <f>-IFERROR('4. NPV'!#REF!/'4. NPV'!FEJ$8,0)</f>
        <v>0</v>
      </c>
      <c r="FEJ54" s="5">
        <f>-IFERROR('4. NPV'!#REF!/'4. NPV'!FEK$8,0)</f>
        <v>0</v>
      </c>
      <c r="FEK54" s="5">
        <f>-IFERROR('4. NPV'!#REF!/'4. NPV'!FEL$8,0)</f>
        <v>0</v>
      </c>
      <c r="FEL54" s="5">
        <f>-IFERROR('4. NPV'!#REF!/'4. NPV'!FEM$8,0)</f>
        <v>0</v>
      </c>
      <c r="FEM54" s="5">
        <f>-IFERROR('4. NPV'!#REF!/'4. NPV'!FEN$8,0)</f>
        <v>0</v>
      </c>
      <c r="FEN54" s="5">
        <f>-IFERROR('4. NPV'!#REF!/'4. NPV'!FEO$8,0)</f>
        <v>0</v>
      </c>
      <c r="FEO54" s="5">
        <f>-IFERROR('4. NPV'!#REF!/'4. NPV'!FEP$8,0)</f>
        <v>0</v>
      </c>
      <c r="FEP54" s="5">
        <f>-IFERROR('4. NPV'!#REF!/'4. NPV'!FEQ$8,0)</f>
        <v>0</v>
      </c>
      <c r="FEQ54" s="5">
        <f>-IFERROR('4. NPV'!#REF!/'4. NPV'!FER$8,0)</f>
        <v>0</v>
      </c>
      <c r="FER54" s="5">
        <f>-IFERROR('4. NPV'!#REF!/'4. NPV'!FES$8,0)</f>
        <v>0</v>
      </c>
      <c r="FES54" s="5">
        <f>-IFERROR('4. NPV'!#REF!/'4. NPV'!FET$8,0)</f>
        <v>0</v>
      </c>
      <c r="FET54" s="5">
        <f>-IFERROR('4. NPV'!#REF!/'4. NPV'!FEU$8,0)</f>
        <v>0</v>
      </c>
      <c r="FEU54" s="5">
        <f>-IFERROR('4. NPV'!#REF!/'4. NPV'!FEV$8,0)</f>
        <v>0</v>
      </c>
      <c r="FEV54" s="5">
        <f>-IFERROR('4. NPV'!#REF!/'4. NPV'!FEW$8,0)</f>
        <v>0</v>
      </c>
      <c r="FEW54" s="5">
        <f>-IFERROR('4. NPV'!#REF!/'4. NPV'!FEX$8,0)</f>
        <v>0</v>
      </c>
      <c r="FEX54" s="5">
        <f>-IFERROR('4. NPV'!#REF!/'4. NPV'!FEY$8,0)</f>
        <v>0</v>
      </c>
      <c r="FEY54" s="5">
        <f>-IFERROR('4. NPV'!#REF!/'4. NPV'!FEZ$8,0)</f>
        <v>0</v>
      </c>
      <c r="FEZ54" s="5">
        <f>-IFERROR('4. NPV'!#REF!/'4. NPV'!FFA$8,0)</f>
        <v>0</v>
      </c>
      <c r="FFA54" s="5">
        <f>-IFERROR('4. NPV'!#REF!/'4. NPV'!FFB$8,0)</f>
        <v>0</v>
      </c>
      <c r="FFB54" s="5">
        <f>-IFERROR('4. NPV'!#REF!/'4. NPV'!FFC$8,0)</f>
        <v>0</v>
      </c>
      <c r="FFC54" s="5">
        <f>-IFERROR('4. NPV'!#REF!/'4. NPV'!FFD$8,0)</f>
        <v>0</v>
      </c>
      <c r="FFD54" s="5">
        <f>-IFERROR('4. NPV'!#REF!/'4. NPV'!FFE$8,0)</f>
        <v>0</v>
      </c>
      <c r="FFE54" s="5">
        <f>-IFERROR('4. NPV'!#REF!/'4. NPV'!FFF$8,0)</f>
        <v>0</v>
      </c>
      <c r="FFF54" s="5">
        <f>-IFERROR('4. NPV'!#REF!/'4. NPV'!FFG$8,0)</f>
        <v>0</v>
      </c>
      <c r="FFG54" s="5">
        <f>-IFERROR('4. NPV'!#REF!/'4. NPV'!FFH$8,0)</f>
        <v>0</v>
      </c>
      <c r="FFH54" s="5">
        <f>-IFERROR('4. NPV'!#REF!/'4. NPV'!FFI$8,0)</f>
        <v>0</v>
      </c>
      <c r="FFI54" s="5">
        <f>-IFERROR('4. NPV'!#REF!/'4. NPV'!FFJ$8,0)</f>
        <v>0</v>
      </c>
      <c r="FFJ54" s="5">
        <f>-IFERROR('4. NPV'!#REF!/'4. NPV'!FFK$8,0)</f>
        <v>0</v>
      </c>
      <c r="FFK54" s="5">
        <f>-IFERROR('4. NPV'!#REF!/'4. NPV'!FFL$8,0)</f>
        <v>0</v>
      </c>
      <c r="FFL54" s="5">
        <f>-IFERROR('4. NPV'!#REF!/'4. NPV'!FFM$8,0)</f>
        <v>0</v>
      </c>
      <c r="FFM54" s="5">
        <f>-IFERROR('4. NPV'!#REF!/'4. NPV'!FFN$8,0)</f>
        <v>0</v>
      </c>
      <c r="FFN54" s="5">
        <f>-IFERROR('4. NPV'!#REF!/'4. NPV'!FFO$8,0)</f>
        <v>0</v>
      </c>
      <c r="FFO54" s="5">
        <f>-IFERROR('4. NPV'!#REF!/'4. NPV'!FFP$8,0)</f>
        <v>0</v>
      </c>
      <c r="FFP54" s="5">
        <f>-IFERROR('4. NPV'!#REF!/'4. NPV'!FFQ$8,0)</f>
        <v>0</v>
      </c>
      <c r="FFQ54" s="5">
        <f>-IFERROR('4. NPV'!#REF!/'4. NPV'!FFR$8,0)</f>
        <v>0</v>
      </c>
      <c r="FFR54" s="5">
        <f>-IFERROR('4. NPV'!#REF!/'4. NPV'!FFS$8,0)</f>
        <v>0</v>
      </c>
      <c r="FFS54" s="5">
        <f>-IFERROR('4. NPV'!#REF!/'4. NPV'!FFT$8,0)</f>
        <v>0</v>
      </c>
      <c r="FFT54" s="5">
        <f>-IFERROR('4. NPV'!#REF!/'4. NPV'!FFU$8,0)</f>
        <v>0</v>
      </c>
      <c r="FFU54" s="5">
        <f>-IFERROR('4. NPV'!#REF!/'4. NPV'!FFV$8,0)</f>
        <v>0</v>
      </c>
      <c r="FFV54" s="5">
        <f>-IFERROR('4. NPV'!#REF!/'4. NPV'!FFW$8,0)</f>
        <v>0</v>
      </c>
      <c r="FFW54" s="5">
        <f>-IFERROR('4. NPV'!#REF!/'4. NPV'!FFX$8,0)</f>
        <v>0</v>
      </c>
      <c r="FFX54" s="5">
        <f>-IFERROR('4. NPV'!#REF!/'4. NPV'!FFY$8,0)</f>
        <v>0</v>
      </c>
      <c r="FFY54" s="5">
        <f>-IFERROR('4. NPV'!#REF!/'4. NPV'!FFZ$8,0)</f>
        <v>0</v>
      </c>
      <c r="FFZ54" s="5">
        <f>-IFERROR('4. NPV'!#REF!/'4. NPV'!FGA$8,0)</f>
        <v>0</v>
      </c>
      <c r="FGA54" s="5">
        <f>-IFERROR('4. NPV'!#REF!/'4. NPV'!FGB$8,0)</f>
        <v>0</v>
      </c>
      <c r="FGB54" s="5">
        <f>-IFERROR('4. NPV'!#REF!/'4. NPV'!FGC$8,0)</f>
        <v>0</v>
      </c>
      <c r="FGC54" s="5">
        <f>-IFERROR('4. NPV'!#REF!/'4. NPV'!FGD$8,0)</f>
        <v>0</v>
      </c>
      <c r="FGD54" s="5">
        <f>-IFERROR('4. NPV'!#REF!/'4. NPV'!FGE$8,0)</f>
        <v>0</v>
      </c>
      <c r="FGE54" s="5">
        <f>-IFERROR('4. NPV'!#REF!/'4. NPV'!FGF$8,0)</f>
        <v>0</v>
      </c>
      <c r="FGF54" s="5">
        <f>-IFERROR('4. NPV'!#REF!/'4. NPV'!FGG$8,0)</f>
        <v>0</v>
      </c>
      <c r="FGG54" s="5">
        <f>-IFERROR('4. NPV'!#REF!/'4. NPV'!FGH$8,0)</f>
        <v>0</v>
      </c>
      <c r="FGH54" s="5">
        <f>-IFERROR('4. NPV'!#REF!/'4. NPV'!FGI$8,0)</f>
        <v>0</v>
      </c>
      <c r="FGI54" s="5">
        <f>-IFERROR('4. NPV'!#REF!/'4. NPV'!FGJ$8,0)</f>
        <v>0</v>
      </c>
      <c r="FGJ54" s="5">
        <f>-IFERROR('4. NPV'!#REF!/'4. NPV'!FGK$8,0)</f>
        <v>0</v>
      </c>
      <c r="FGK54" s="5">
        <f>-IFERROR('4. NPV'!#REF!/'4. NPV'!FGL$8,0)</f>
        <v>0</v>
      </c>
      <c r="FGL54" s="5">
        <f>-IFERROR('4. NPV'!#REF!/'4. NPV'!FGM$8,0)</f>
        <v>0</v>
      </c>
      <c r="FGM54" s="5">
        <f>-IFERROR('4. NPV'!#REF!/'4. NPV'!FGN$8,0)</f>
        <v>0</v>
      </c>
      <c r="FGN54" s="5">
        <f>-IFERROR('4. NPV'!#REF!/'4. NPV'!FGO$8,0)</f>
        <v>0</v>
      </c>
      <c r="FGO54" s="5">
        <f>-IFERROR('4. NPV'!#REF!/'4. NPV'!FGP$8,0)</f>
        <v>0</v>
      </c>
      <c r="FGP54" s="5">
        <f>-IFERROR('4. NPV'!#REF!/'4. NPV'!FGQ$8,0)</f>
        <v>0</v>
      </c>
      <c r="FGQ54" s="5">
        <f>-IFERROR('4. NPV'!#REF!/'4. NPV'!FGR$8,0)</f>
        <v>0</v>
      </c>
      <c r="FGR54" s="5">
        <f>-IFERROR('4. NPV'!#REF!/'4. NPV'!FGS$8,0)</f>
        <v>0</v>
      </c>
      <c r="FGS54" s="5">
        <f>-IFERROR('4. NPV'!#REF!/'4. NPV'!FGT$8,0)</f>
        <v>0</v>
      </c>
      <c r="FGT54" s="5">
        <f>-IFERROR('4. NPV'!#REF!/'4. NPV'!FGU$8,0)</f>
        <v>0</v>
      </c>
      <c r="FGU54" s="5">
        <f>-IFERROR('4. NPV'!#REF!/'4. NPV'!FGV$8,0)</f>
        <v>0</v>
      </c>
      <c r="FGV54" s="5">
        <f>-IFERROR('4. NPV'!#REF!/'4. NPV'!FGW$8,0)</f>
        <v>0</v>
      </c>
      <c r="FGW54" s="5">
        <f>-IFERROR('4. NPV'!#REF!/'4. NPV'!FGX$8,0)</f>
        <v>0</v>
      </c>
      <c r="FGX54" s="5">
        <f>-IFERROR('4. NPV'!#REF!/'4. NPV'!FGY$8,0)</f>
        <v>0</v>
      </c>
      <c r="FGY54" s="5">
        <f>-IFERROR('4. NPV'!#REF!/'4. NPV'!FGZ$8,0)</f>
        <v>0</v>
      </c>
      <c r="FGZ54" s="5">
        <f>-IFERROR('4. NPV'!#REF!/'4. NPV'!FHA$8,0)</f>
        <v>0</v>
      </c>
      <c r="FHA54" s="5">
        <f>-IFERROR('4. NPV'!#REF!/'4. NPV'!FHB$8,0)</f>
        <v>0</v>
      </c>
      <c r="FHB54" s="5">
        <f>-IFERROR('4. NPV'!#REF!/'4. NPV'!FHC$8,0)</f>
        <v>0</v>
      </c>
      <c r="FHC54" s="5">
        <f>-IFERROR('4. NPV'!#REF!/'4. NPV'!FHD$8,0)</f>
        <v>0</v>
      </c>
      <c r="FHD54" s="5">
        <f>-IFERROR('4. NPV'!#REF!/'4. NPV'!FHE$8,0)</f>
        <v>0</v>
      </c>
      <c r="FHE54" s="5">
        <f>-IFERROR('4. NPV'!#REF!/'4. NPV'!FHF$8,0)</f>
        <v>0</v>
      </c>
      <c r="FHF54" s="5">
        <f>-IFERROR('4. NPV'!#REF!/'4. NPV'!FHG$8,0)</f>
        <v>0</v>
      </c>
      <c r="FHG54" s="5">
        <f>-IFERROR('4. NPV'!#REF!/'4. NPV'!FHH$8,0)</f>
        <v>0</v>
      </c>
      <c r="FHH54" s="5">
        <f>-IFERROR('4. NPV'!#REF!/'4. NPV'!FHI$8,0)</f>
        <v>0</v>
      </c>
      <c r="FHI54" s="5">
        <f>-IFERROR('4. NPV'!#REF!/'4. NPV'!FHJ$8,0)</f>
        <v>0</v>
      </c>
      <c r="FHJ54" s="5">
        <f>-IFERROR('4. NPV'!#REF!/'4. NPV'!FHK$8,0)</f>
        <v>0</v>
      </c>
      <c r="FHK54" s="5">
        <f>-IFERROR('4. NPV'!#REF!/'4. NPV'!FHL$8,0)</f>
        <v>0</v>
      </c>
      <c r="FHL54" s="5">
        <f>-IFERROR('4. NPV'!#REF!/'4. NPV'!FHM$8,0)</f>
        <v>0</v>
      </c>
      <c r="FHM54" s="5">
        <f>-IFERROR('4. NPV'!#REF!/'4. NPV'!FHN$8,0)</f>
        <v>0</v>
      </c>
      <c r="FHN54" s="5">
        <f>-IFERROR('4. NPV'!#REF!/'4. NPV'!FHO$8,0)</f>
        <v>0</v>
      </c>
      <c r="FHO54" s="5">
        <f>-IFERROR('4. NPV'!#REF!/'4. NPV'!FHP$8,0)</f>
        <v>0</v>
      </c>
      <c r="FHP54" s="5">
        <f>-IFERROR('4. NPV'!#REF!/'4. NPV'!FHQ$8,0)</f>
        <v>0</v>
      </c>
      <c r="FHQ54" s="5">
        <f>-IFERROR('4. NPV'!#REF!/'4. NPV'!FHR$8,0)</f>
        <v>0</v>
      </c>
      <c r="FHR54" s="5">
        <f>-IFERROR('4. NPV'!#REF!/'4. NPV'!FHS$8,0)</f>
        <v>0</v>
      </c>
      <c r="FHS54" s="5">
        <f>-IFERROR('4. NPV'!#REF!/'4. NPV'!FHT$8,0)</f>
        <v>0</v>
      </c>
      <c r="FHT54" s="5">
        <f>-IFERROR('4. NPV'!#REF!/'4. NPV'!FHU$8,0)</f>
        <v>0</v>
      </c>
      <c r="FHU54" s="5">
        <f>-IFERROR('4. NPV'!#REF!/'4. NPV'!FHV$8,0)</f>
        <v>0</v>
      </c>
      <c r="FHV54" s="5">
        <f>-IFERROR('4. NPV'!#REF!/'4. NPV'!FHW$8,0)</f>
        <v>0</v>
      </c>
      <c r="FHW54" s="5">
        <f>-IFERROR('4. NPV'!#REF!/'4. NPV'!FHX$8,0)</f>
        <v>0</v>
      </c>
      <c r="FHX54" s="5">
        <f>-IFERROR('4. NPV'!#REF!/'4. NPV'!FHY$8,0)</f>
        <v>0</v>
      </c>
      <c r="FHY54" s="5">
        <f>-IFERROR('4. NPV'!#REF!/'4. NPV'!FHZ$8,0)</f>
        <v>0</v>
      </c>
      <c r="FHZ54" s="5">
        <f>-IFERROR('4. NPV'!#REF!/'4. NPV'!FIA$8,0)</f>
        <v>0</v>
      </c>
      <c r="FIA54" s="5">
        <f>-IFERROR('4. NPV'!#REF!/'4. NPV'!FIB$8,0)</f>
        <v>0</v>
      </c>
      <c r="FIB54" s="5">
        <f>-IFERROR('4. NPV'!#REF!/'4. NPV'!FIC$8,0)</f>
        <v>0</v>
      </c>
      <c r="FIC54" s="5">
        <f>-IFERROR('4. NPV'!#REF!/'4. NPV'!FID$8,0)</f>
        <v>0</v>
      </c>
      <c r="FID54" s="5">
        <f>-IFERROR('4. NPV'!#REF!/'4. NPV'!FIE$8,0)</f>
        <v>0</v>
      </c>
      <c r="FIE54" s="5">
        <f>-IFERROR('4. NPV'!#REF!/'4. NPV'!FIF$8,0)</f>
        <v>0</v>
      </c>
      <c r="FIF54" s="5">
        <f>-IFERROR('4. NPV'!#REF!/'4. NPV'!FIG$8,0)</f>
        <v>0</v>
      </c>
      <c r="FIG54" s="5">
        <f>-IFERROR('4. NPV'!#REF!/'4. NPV'!FIH$8,0)</f>
        <v>0</v>
      </c>
      <c r="FIH54" s="5">
        <f>-IFERROR('4. NPV'!#REF!/'4. NPV'!FII$8,0)</f>
        <v>0</v>
      </c>
      <c r="FII54" s="5">
        <f>-IFERROR('4. NPV'!#REF!/'4. NPV'!FIJ$8,0)</f>
        <v>0</v>
      </c>
      <c r="FIJ54" s="5">
        <f>-IFERROR('4. NPV'!#REF!/'4. NPV'!FIK$8,0)</f>
        <v>0</v>
      </c>
      <c r="FIK54" s="5">
        <f>-IFERROR('4. NPV'!#REF!/'4. NPV'!FIL$8,0)</f>
        <v>0</v>
      </c>
      <c r="FIL54" s="5">
        <f>-IFERROR('4. NPV'!#REF!/'4. NPV'!FIM$8,0)</f>
        <v>0</v>
      </c>
      <c r="FIM54" s="5">
        <f>-IFERROR('4. NPV'!#REF!/'4. NPV'!FIN$8,0)</f>
        <v>0</v>
      </c>
      <c r="FIN54" s="5">
        <f>-IFERROR('4. NPV'!#REF!/'4. NPV'!FIO$8,0)</f>
        <v>0</v>
      </c>
      <c r="FIO54" s="5">
        <f>-IFERROR('4. NPV'!#REF!/'4. NPV'!FIP$8,0)</f>
        <v>0</v>
      </c>
      <c r="FIP54" s="5">
        <f>-IFERROR('4. NPV'!#REF!/'4. NPV'!FIQ$8,0)</f>
        <v>0</v>
      </c>
      <c r="FIQ54" s="5">
        <f>-IFERROR('4. NPV'!#REF!/'4. NPV'!FIR$8,0)</f>
        <v>0</v>
      </c>
      <c r="FIR54" s="5">
        <f>-IFERROR('4. NPV'!#REF!/'4. NPV'!FIS$8,0)</f>
        <v>0</v>
      </c>
      <c r="FIS54" s="5">
        <f>-IFERROR('4. NPV'!#REF!/'4. NPV'!FIT$8,0)</f>
        <v>0</v>
      </c>
      <c r="FIT54" s="5">
        <f>-IFERROR('4. NPV'!#REF!/'4. NPV'!FIU$8,0)</f>
        <v>0</v>
      </c>
      <c r="FIU54" s="5">
        <f>-IFERROR('4. NPV'!#REF!/'4. NPV'!FIV$8,0)</f>
        <v>0</v>
      </c>
      <c r="FIV54" s="5">
        <f>-IFERROR('4. NPV'!#REF!/'4. NPV'!FIW$8,0)</f>
        <v>0</v>
      </c>
      <c r="FIW54" s="5">
        <f>-IFERROR('4. NPV'!#REF!/'4. NPV'!FIX$8,0)</f>
        <v>0</v>
      </c>
      <c r="FIX54" s="5">
        <f>-IFERROR('4. NPV'!#REF!/'4. NPV'!FIY$8,0)</f>
        <v>0</v>
      </c>
      <c r="FIY54" s="5">
        <f>-IFERROR('4. NPV'!#REF!/'4. NPV'!FIZ$8,0)</f>
        <v>0</v>
      </c>
      <c r="FIZ54" s="5">
        <f>-IFERROR('4. NPV'!#REF!/'4. NPV'!FJA$8,0)</f>
        <v>0</v>
      </c>
      <c r="FJA54" s="5">
        <f>-IFERROR('4. NPV'!#REF!/'4. NPV'!FJB$8,0)</f>
        <v>0</v>
      </c>
      <c r="FJB54" s="5">
        <f>-IFERROR('4. NPV'!#REF!/'4. NPV'!FJC$8,0)</f>
        <v>0</v>
      </c>
      <c r="FJC54" s="5">
        <f>-IFERROR('4. NPV'!#REF!/'4. NPV'!FJD$8,0)</f>
        <v>0</v>
      </c>
      <c r="FJD54" s="5">
        <f>-IFERROR('4. NPV'!#REF!/'4. NPV'!FJE$8,0)</f>
        <v>0</v>
      </c>
      <c r="FJE54" s="5">
        <f>-IFERROR('4. NPV'!#REF!/'4. NPV'!FJF$8,0)</f>
        <v>0</v>
      </c>
      <c r="FJF54" s="5">
        <f>-IFERROR('4. NPV'!#REF!/'4. NPV'!FJG$8,0)</f>
        <v>0</v>
      </c>
      <c r="FJG54" s="5">
        <f>-IFERROR('4. NPV'!#REF!/'4. NPV'!FJH$8,0)</f>
        <v>0</v>
      </c>
      <c r="FJH54" s="5">
        <f>-IFERROR('4. NPV'!#REF!/'4. NPV'!FJI$8,0)</f>
        <v>0</v>
      </c>
      <c r="FJI54" s="5">
        <f>-IFERROR('4. NPV'!#REF!/'4. NPV'!FJJ$8,0)</f>
        <v>0</v>
      </c>
      <c r="FJJ54" s="5">
        <f>-IFERROR('4. NPV'!#REF!/'4. NPV'!FJK$8,0)</f>
        <v>0</v>
      </c>
      <c r="FJK54" s="5">
        <f>-IFERROR('4. NPV'!#REF!/'4. NPV'!FJL$8,0)</f>
        <v>0</v>
      </c>
      <c r="FJL54" s="5">
        <f>-IFERROR('4. NPV'!#REF!/'4. NPV'!FJM$8,0)</f>
        <v>0</v>
      </c>
      <c r="FJM54" s="5">
        <f>-IFERROR('4. NPV'!#REF!/'4. NPV'!FJN$8,0)</f>
        <v>0</v>
      </c>
      <c r="FJN54" s="5">
        <f>-IFERROR('4. NPV'!#REF!/'4. NPV'!FJO$8,0)</f>
        <v>0</v>
      </c>
      <c r="FJO54" s="5">
        <f>-IFERROR('4. NPV'!#REF!/'4. NPV'!FJP$8,0)</f>
        <v>0</v>
      </c>
      <c r="FJP54" s="5">
        <f>-IFERROR('4. NPV'!#REF!/'4. NPV'!FJQ$8,0)</f>
        <v>0</v>
      </c>
      <c r="FJQ54" s="5">
        <f>-IFERROR('4. NPV'!#REF!/'4. NPV'!FJR$8,0)</f>
        <v>0</v>
      </c>
      <c r="FJR54" s="5">
        <f>-IFERROR('4. NPV'!#REF!/'4. NPV'!FJS$8,0)</f>
        <v>0</v>
      </c>
      <c r="FJS54" s="5">
        <f>-IFERROR('4. NPV'!#REF!/'4. NPV'!FJT$8,0)</f>
        <v>0</v>
      </c>
      <c r="FJT54" s="5">
        <f>-IFERROR('4. NPV'!#REF!/'4. NPV'!FJU$8,0)</f>
        <v>0</v>
      </c>
      <c r="FJU54" s="5">
        <f>-IFERROR('4. NPV'!#REF!/'4. NPV'!FJV$8,0)</f>
        <v>0</v>
      </c>
      <c r="FJV54" s="5">
        <f>-IFERROR('4. NPV'!#REF!/'4. NPV'!FJW$8,0)</f>
        <v>0</v>
      </c>
      <c r="FJW54" s="5">
        <f>-IFERROR('4. NPV'!#REF!/'4. NPV'!FJX$8,0)</f>
        <v>0</v>
      </c>
      <c r="FJX54" s="5">
        <f>-IFERROR('4. NPV'!#REF!/'4. NPV'!FJY$8,0)</f>
        <v>0</v>
      </c>
      <c r="FJY54" s="5">
        <f>-IFERROR('4. NPV'!#REF!/'4. NPV'!FJZ$8,0)</f>
        <v>0</v>
      </c>
      <c r="FJZ54" s="5">
        <f>-IFERROR('4. NPV'!#REF!/'4. NPV'!FKA$8,0)</f>
        <v>0</v>
      </c>
      <c r="FKA54" s="5">
        <f>-IFERROR('4. NPV'!#REF!/'4. NPV'!FKB$8,0)</f>
        <v>0</v>
      </c>
      <c r="FKB54" s="5">
        <f>-IFERROR('4. NPV'!#REF!/'4. NPV'!FKC$8,0)</f>
        <v>0</v>
      </c>
      <c r="FKC54" s="5">
        <f>-IFERROR('4. NPV'!#REF!/'4. NPV'!FKD$8,0)</f>
        <v>0</v>
      </c>
      <c r="FKD54" s="5">
        <f>-IFERROR('4. NPV'!#REF!/'4. NPV'!FKE$8,0)</f>
        <v>0</v>
      </c>
      <c r="FKE54" s="5">
        <f>-IFERROR('4. NPV'!#REF!/'4. NPV'!FKF$8,0)</f>
        <v>0</v>
      </c>
      <c r="FKF54" s="5">
        <f>-IFERROR('4. NPV'!#REF!/'4. NPV'!FKG$8,0)</f>
        <v>0</v>
      </c>
      <c r="FKG54" s="5">
        <f>-IFERROR('4. NPV'!#REF!/'4. NPV'!FKH$8,0)</f>
        <v>0</v>
      </c>
      <c r="FKH54" s="5">
        <f>-IFERROR('4. NPV'!#REF!/'4. NPV'!FKI$8,0)</f>
        <v>0</v>
      </c>
      <c r="FKI54" s="5">
        <f>-IFERROR('4. NPV'!#REF!/'4. NPV'!FKJ$8,0)</f>
        <v>0</v>
      </c>
      <c r="FKJ54" s="5">
        <f>-IFERROR('4. NPV'!#REF!/'4. NPV'!FKK$8,0)</f>
        <v>0</v>
      </c>
      <c r="FKK54" s="5">
        <f>-IFERROR('4. NPV'!#REF!/'4. NPV'!FKL$8,0)</f>
        <v>0</v>
      </c>
      <c r="FKL54" s="5">
        <f>-IFERROR('4. NPV'!#REF!/'4. NPV'!FKM$8,0)</f>
        <v>0</v>
      </c>
      <c r="FKM54" s="5">
        <f>-IFERROR('4. NPV'!#REF!/'4. NPV'!FKN$8,0)</f>
        <v>0</v>
      </c>
      <c r="FKN54" s="5">
        <f>-IFERROR('4. NPV'!#REF!/'4. NPV'!FKO$8,0)</f>
        <v>0</v>
      </c>
      <c r="FKO54" s="5">
        <f>-IFERROR('4. NPV'!#REF!/'4. NPV'!FKP$8,0)</f>
        <v>0</v>
      </c>
      <c r="FKP54" s="5">
        <f>-IFERROR('4. NPV'!#REF!/'4. NPV'!FKQ$8,0)</f>
        <v>0</v>
      </c>
      <c r="FKQ54" s="5">
        <f>-IFERROR('4. NPV'!#REF!/'4. NPV'!FKR$8,0)</f>
        <v>0</v>
      </c>
      <c r="FKR54" s="5">
        <f>-IFERROR('4. NPV'!#REF!/'4. NPV'!FKS$8,0)</f>
        <v>0</v>
      </c>
      <c r="FKS54" s="5">
        <f>-IFERROR('4. NPV'!#REF!/'4. NPV'!FKT$8,0)</f>
        <v>0</v>
      </c>
      <c r="FKT54" s="5">
        <f>-IFERROR('4. NPV'!#REF!/'4. NPV'!FKU$8,0)</f>
        <v>0</v>
      </c>
      <c r="FKU54" s="5">
        <f>-IFERROR('4. NPV'!#REF!/'4. NPV'!FKV$8,0)</f>
        <v>0</v>
      </c>
      <c r="FKV54" s="5">
        <f>-IFERROR('4. NPV'!#REF!/'4. NPV'!FKW$8,0)</f>
        <v>0</v>
      </c>
      <c r="FKW54" s="5">
        <f>-IFERROR('4. NPV'!#REF!/'4. NPV'!FKX$8,0)</f>
        <v>0</v>
      </c>
      <c r="FKX54" s="5">
        <f>-IFERROR('4. NPV'!#REF!/'4. NPV'!FKY$8,0)</f>
        <v>0</v>
      </c>
      <c r="FKY54" s="5">
        <f>-IFERROR('4. NPV'!#REF!/'4. NPV'!FKZ$8,0)</f>
        <v>0</v>
      </c>
      <c r="FKZ54" s="5">
        <f>-IFERROR('4. NPV'!#REF!/'4. NPV'!FLA$8,0)</f>
        <v>0</v>
      </c>
      <c r="FLA54" s="5">
        <f>-IFERROR('4. NPV'!#REF!/'4. NPV'!FLB$8,0)</f>
        <v>0</v>
      </c>
      <c r="FLB54" s="5">
        <f>-IFERROR('4. NPV'!#REF!/'4. NPV'!FLC$8,0)</f>
        <v>0</v>
      </c>
      <c r="FLC54" s="5">
        <f>-IFERROR('4. NPV'!#REF!/'4. NPV'!FLD$8,0)</f>
        <v>0</v>
      </c>
      <c r="FLD54" s="5">
        <f>-IFERROR('4. NPV'!#REF!/'4. NPV'!FLE$8,0)</f>
        <v>0</v>
      </c>
      <c r="FLE54" s="5">
        <f>-IFERROR('4. NPV'!#REF!/'4. NPV'!FLF$8,0)</f>
        <v>0</v>
      </c>
      <c r="FLF54" s="5">
        <f>-IFERROR('4. NPV'!#REF!/'4. NPV'!FLG$8,0)</f>
        <v>0</v>
      </c>
      <c r="FLG54" s="5">
        <f>-IFERROR('4. NPV'!#REF!/'4. NPV'!FLH$8,0)</f>
        <v>0</v>
      </c>
      <c r="FLH54" s="5">
        <f>-IFERROR('4. NPV'!#REF!/'4. NPV'!FLI$8,0)</f>
        <v>0</v>
      </c>
      <c r="FLI54" s="5">
        <f>-IFERROR('4. NPV'!#REF!/'4. NPV'!FLJ$8,0)</f>
        <v>0</v>
      </c>
      <c r="FLJ54" s="5">
        <f>-IFERROR('4. NPV'!#REF!/'4. NPV'!FLK$8,0)</f>
        <v>0</v>
      </c>
      <c r="FLK54" s="5">
        <f>-IFERROR('4. NPV'!#REF!/'4. NPV'!FLL$8,0)</f>
        <v>0</v>
      </c>
      <c r="FLL54" s="5">
        <f>-IFERROR('4. NPV'!#REF!/'4. NPV'!FLM$8,0)</f>
        <v>0</v>
      </c>
      <c r="FLM54" s="5">
        <f>-IFERROR('4. NPV'!#REF!/'4. NPV'!FLN$8,0)</f>
        <v>0</v>
      </c>
      <c r="FLN54" s="5">
        <f>-IFERROR('4. NPV'!#REF!/'4. NPV'!FLO$8,0)</f>
        <v>0</v>
      </c>
      <c r="FLO54" s="5">
        <f>-IFERROR('4. NPV'!#REF!/'4. NPV'!FLP$8,0)</f>
        <v>0</v>
      </c>
      <c r="FLP54" s="5">
        <f>-IFERROR('4. NPV'!#REF!/'4. NPV'!FLQ$8,0)</f>
        <v>0</v>
      </c>
      <c r="FLQ54" s="5">
        <f>-IFERROR('4. NPV'!#REF!/'4. NPV'!FLR$8,0)</f>
        <v>0</v>
      </c>
      <c r="FLR54" s="5">
        <f>-IFERROR('4. NPV'!#REF!/'4. NPV'!FLS$8,0)</f>
        <v>0</v>
      </c>
      <c r="FLS54" s="5">
        <f>-IFERROR('4. NPV'!#REF!/'4. NPV'!FLT$8,0)</f>
        <v>0</v>
      </c>
      <c r="FLT54" s="5">
        <f>-IFERROR('4. NPV'!#REF!/'4. NPV'!FLU$8,0)</f>
        <v>0</v>
      </c>
      <c r="FLU54" s="5">
        <f>-IFERROR('4. NPV'!#REF!/'4. NPV'!FLV$8,0)</f>
        <v>0</v>
      </c>
      <c r="FLV54" s="5">
        <f>-IFERROR('4. NPV'!#REF!/'4. NPV'!FLW$8,0)</f>
        <v>0</v>
      </c>
      <c r="FLW54" s="5">
        <f>-IFERROR('4. NPV'!#REF!/'4. NPV'!FLX$8,0)</f>
        <v>0</v>
      </c>
      <c r="FLX54" s="5">
        <f>-IFERROR('4. NPV'!#REF!/'4. NPV'!FLY$8,0)</f>
        <v>0</v>
      </c>
      <c r="FLY54" s="5">
        <f>-IFERROR('4. NPV'!#REF!/'4. NPV'!FLZ$8,0)</f>
        <v>0</v>
      </c>
      <c r="FLZ54" s="5">
        <f>-IFERROR('4. NPV'!#REF!/'4. NPV'!FMA$8,0)</f>
        <v>0</v>
      </c>
      <c r="FMA54" s="5">
        <f>-IFERROR('4. NPV'!#REF!/'4. NPV'!FMB$8,0)</f>
        <v>0</v>
      </c>
      <c r="FMB54" s="5">
        <f>-IFERROR('4. NPV'!#REF!/'4. NPV'!FMC$8,0)</f>
        <v>0</v>
      </c>
      <c r="FMC54" s="5">
        <f>-IFERROR('4. NPV'!#REF!/'4. NPV'!FMD$8,0)</f>
        <v>0</v>
      </c>
      <c r="FMD54" s="5">
        <f>-IFERROR('4. NPV'!#REF!/'4. NPV'!FME$8,0)</f>
        <v>0</v>
      </c>
      <c r="FME54" s="5">
        <f>-IFERROR('4. NPV'!#REF!/'4. NPV'!FMF$8,0)</f>
        <v>0</v>
      </c>
      <c r="FMF54" s="5">
        <f>-IFERROR('4. NPV'!#REF!/'4. NPV'!FMG$8,0)</f>
        <v>0</v>
      </c>
      <c r="FMG54" s="5">
        <f>-IFERROR('4. NPV'!#REF!/'4. NPV'!FMH$8,0)</f>
        <v>0</v>
      </c>
      <c r="FMH54" s="5">
        <f>-IFERROR('4. NPV'!#REF!/'4. NPV'!FMI$8,0)</f>
        <v>0</v>
      </c>
      <c r="FMI54" s="5">
        <f>-IFERROR('4. NPV'!#REF!/'4. NPV'!FMJ$8,0)</f>
        <v>0</v>
      </c>
      <c r="FMJ54" s="5">
        <f>-IFERROR('4. NPV'!#REF!/'4. NPV'!FMK$8,0)</f>
        <v>0</v>
      </c>
      <c r="FMK54" s="5">
        <f>-IFERROR('4. NPV'!#REF!/'4. NPV'!FML$8,0)</f>
        <v>0</v>
      </c>
      <c r="FML54" s="5">
        <f>-IFERROR('4. NPV'!#REF!/'4. NPV'!FMM$8,0)</f>
        <v>0</v>
      </c>
      <c r="FMM54" s="5">
        <f>-IFERROR('4. NPV'!#REF!/'4. NPV'!FMN$8,0)</f>
        <v>0</v>
      </c>
      <c r="FMN54" s="5">
        <f>-IFERROR('4. NPV'!#REF!/'4. NPV'!FMO$8,0)</f>
        <v>0</v>
      </c>
      <c r="FMO54" s="5">
        <f>-IFERROR('4. NPV'!#REF!/'4. NPV'!FMP$8,0)</f>
        <v>0</v>
      </c>
      <c r="FMP54" s="5">
        <f>-IFERROR('4. NPV'!#REF!/'4. NPV'!FMQ$8,0)</f>
        <v>0</v>
      </c>
      <c r="FMQ54" s="5">
        <f>-IFERROR('4. NPV'!#REF!/'4. NPV'!FMR$8,0)</f>
        <v>0</v>
      </c>
      <c r="FMR54" s="5">
        <f>-IFERROR('4. NPV'!#REF!/'4. NPV'!FMS$8,0)</f>
        <v>0</v>
      </c>
      <c r="FMS54" s="5">
        <f>-IFERROR('4. NPV'!#REF!/'4. NPV'!FMT$8,0)</f>
        <v>0</v>
      </c>
      <c r="FMT54" s="5">
        <f>-IFERROR('4. NPV'!#REF!/'4. NPV'!FMU$8,0)</f>
        <v>0</v>
      </c>
      <c r="FMU54" s="5">
        <f>-IFERROR('4. NPV'!#REF!/'4. NPV'!FMV$8,0)</f>
        <v>0</v>
      </c>
      <c r="FMV54" s="5">
        <f>-IFERROR('4. NPV'!#REF!/'4. NPV'!FMW$8,0)</f>
        <v>0</v>
      </c>
      <c r="FMW54" s="5">
        <f>-IFERROR('4. NPV'!#REF!/'4. NPV'!FMX$8,0)</f>
        <v>0</v>
      </c>
      <c r="FMX54" s="5">
        <f>-IFERROR('4. NPV'!#REF!/'4. NPV'!FMY$8,0)</f>
        <v>0</v>
      </c>
      <c r="FMY54" s="5">
        <f>-IFERROR('4. NPV'!#REF!/'4. NPV'!FMZ$8,0)</f>
        <v>0</v>
      </c>
      <c r="FMZ54" s="5">
        <f>-IFERROR('4. NPV'!#REF!/'4. NPV'!FNA$8,0)</f>
        <v>0</v>
      </c>
      <c r="FNA54" s="5">
        <f>-IFERROR('4. NPV'!#REF!/'4. NPV'!FNB$8,0)</f>
        <v>0</v>
      </c>
      <c r="FNB54" s="5">
        <f>-IFERROR('4. NPV'!#REF!/'4. NPV'!FNC$8,0)</f>
        <v>0</v>
      </c>
      <c r="FNC54" s="5">
        <f>-IFERROR('4. NPV'!#REF!/'4. NPV'!FND$8,0)</f>
        <v>0</v>
      </c>
      <c r="FND54" s="5">
        <f>-IFERROR('4. NPV'!#REF!/'4. NPV'!FNE$8,0)</f>
        <v>0</v>
      </c>
      <c r="FNE54" s="5">
        <f>-IFERROR('4. NPV'!#REF!/'4. NPV'!FNF$8,0)</f>
        <v>0</v>
      </c>
      <c r="FNF54" s="5">
        <f>-IFERROR('4. NPV'!#REF!/'4. NPV'!FNG$8,0)</f>
        <v>0</v>
      </c>
      <c r="FNG54" s="5">
        <f>-IFERROR('4. NPV'!#REF!/'4. NPV'!FNH$8,0)</f>
        <v>0</v>
      </c>
      <c r="FNH54" s="5">
        <f>-IFERROR('4. NPV'!#REF!/'4. NPV'!FNI$8,0)</f>
        <v>0</v>
      </c>
      <c r="FNI54" s="5">
        <f>-IFERROR('4. NPV'!#REF!/'4. NPV'!FNJ$8,0)</f>
        <v>0</v>
      </c>
      <c r="FNJ54" s="5">
        <f>-IFERROR('4. NPV'!#REF!/'4. NPV'!FNK$8,0)</f>
        <v>0</v>
      </c>
      <c r="FNK54" s="5">
        <f>-IFERROR('4. NPV'!#REF!/'4. NPV'!FNL$8,0)</f>
        <v>0</v>
      </c>
      <c r="FNL54" s="5">
        <f>-IFERROR('4. NPV'!#REF!/'4. NPV'!FNM$8,0)</f>
        <v>0</v>
      </c>
      <c r="FNM54" s="5">
        <f>-IFERROR('4. NPV'!#REF!/'4. NPV'!FNN$8,0)</f>
        <v>0</v>
      </c>
      <c r="FNN54" s="5">
        <f>-IFERROR('4. NPV'!#REF!/'4. NPV'!FNO$8,0)</f>
        <v>0</v>
      </c>
      <c r="FNO54" s="5">
        <f>-IFERROR('4. NPV'!#REF!/'4. NPV'!FNP$8,0)</f>
        <v>0</v>
      </c>
      <c r="FNP54" s="5">
        <f>-IFERROR('4. NPV'!#REF!/'4. NPV'!FNQ$8,0)</f>
        <v>0</v>
      </c>
      <c r="FNQ54" s="5">
        <f>-IFERROR('4. NPV'!#REF!/'4. NPV'!FNR$8,0)</f>
        <v>0</v>
      </c>
      <c r="FNR54" s="5">
        <f>-IFERROR('4. NPV'!#REF!/'4. NPV'!FNS$8,0)</f>
        <v>0</v>
      </c>
      <c r="FNS54" s="5">
        <f>-IFERROR('4. NPV'!#REF!/'4. NPV'!FNT$8,0)</f>
        <v>0</v>
      </c>
      <c r="FNT54" s="5">
        <f>-IFERROR('4. NPV'!#REF!/'4. NPV'!FNU$8,0)</f>
        <v>0</v>
      </c>
      <c r="FNU54" s="5">
        <f>-IFERROR('4. NPV'!#REF!/'4. NPV'!FNV$8,0)</f>
        <v>0</v>
      </c>
      <c r="FNV54" s="5">
        <f>-IFERROR('4. NPV'!#REF!/'4. NPV'!FNW$8,0)</f>
        <v>0</v>
      </c>
      <c r="FNW54" s="5">
        <f>-IFERROR('4. NPV'!#REF!/'4. NPV'!FNX$8,0)</f>
        <v>0</v>
      </c>
      <c r="FNX54" s="5">
        <f>-IFERROR('4. NPV'!#REF!/'4. NPV'!FNY$8,0)</f>
        <v>0</v>
      </c>
      <c r="FNY54" s="5">
        <f>-IFERROR('4. NPV'!#REF!/'4. NPV'!FNZ$8,0)</f>
        <v>0</v>
      </c>
      <c r="FNZ54" s="5">
        <f>-IFERROR('4. NPV'!#REF!/'4. NPV'!FOA$8,0)</f>
        <v>0</v>
      </c>
      <c r="FOA54" s="5">
        <f>-IFERROR('4. NPV'!#REF!/'4. NPV'!FOB$8,0)</f>
        <v>0</v>
      </c>
      <c r="FOB54" s="5">
        <f>-IFERROR('4. NPV'!#REF!/'4. NPV'!FOC$8,0)</f>
        <v>0</v>
      </c>
      <c r="FOC54" s="5">
        <f>-IFERROR('4. NPV'!#REF!/'4. NPV'!FOD$8,0)</f>
        <v>0</v>
      </c>
      <c r="FOD54" s="5">
        <f>-IFERROR('4. NPV'!#REF!/'4. NPV'!FOE$8,0)</f>
        <v>0</v>
      </c>
      <c r="FOE54" s="5">
        <f>-IFERROR('4. NPV'!#REF!/'4. NPV'!FOF$8,0)</f>
        <v>0</v>
      </c>
      <c r="FOF54" s="5">
        <f>-IFERROR('4. NPV'!#REF!/'4. NPV'!FOG$8,0)</f>
        <v>0</v>
      </c>
      <c r="FOG54" s="5">
        <f>-IFERROR('4. NPV'!#REF!/'4. NPV'!FOH$8,0)</f>
        <v>0</v>
      </c>
      <c r="FOH54" s="5">
        <f>-IFERROR('4. NPV'!#REF!/'4. NPV'!FOI$8,0)</f>
        <v>0</v>
      </c>
      <c r="FOI54" s="5">
        <f>-IFERROR('4. NPV'!#REF!/'4. NPV'!FOJ$8,0)</f>
        <v>0</v>
      </c>
      <c r="FOJ54" s="5">
        <f>-IFERROR('4. NPV'!#REF!/'4. NPV'!FOK$8,0)</f>
        <v>0</v>
      </c>
      <c r="FOK54" s="5">
        <f>-IFERROR('4. NPV'!#REF!/'4. NPV'!FOL$8,0)</f>
        <v>0</v>
      </c>
      <c r="FOL54" s="5">
        <f>-IFERROR('4. NPV'!#REF!/'4. NPV'!FOM$8,0)</f>
        <v>0</v>
      </c>
      <c r="FOM54" s="5">
        <f>-IFERROR('4. NPV'!#REF!/'4. NPV'!FON$8,0)</f>
        <v>0</v>
      </c>
      <c r="FON54" s="5">
        <f>-IFERROR('4. NPV'!#REF!/'4. NPV'!FOO$8,0)</f>
        <v>0</v>
      </c>
      <c r="FOO54" s="5">
        <f>-IFERROR('4. NPV'!#REF!/'4. NPV'!FOP$8,0)</f>
        <v>0</v>
      </c>
      <c r="FOP54" s="5">
        <f>-IFERROR('4. NPV'!#REF!/'4. NPV'!FOQ$8,0)</f>
        <v>0</v>
      </c>
      <c r="FOQ54" s="5">
        <f>-IFERROR('4. NPV'!#REF!/'4. NPV'!FOR$8,0)</f>
        <v>0</v>
      </c>
      <c r="FOR54" s="5">
        <f>-IFERROR('4. NPV'!#REF!/'4. NPV'!FOS$8,0)</f>
        <v>0</v>
      </c>
      <c r="FOS54" s="5">
        <f>-IFERROR('4. NPV'!#REF!/'4. NPV'!FOT$8,0)</f>
        <v>0</v>
      </c>
      <c r="FOT54" s="5">
        <f>-IFERROR('4. NPV'!#REF!/'4. NPV'!FOU$8,0)</f>
        <v>0</v>
      </c>
      <c r="FOU54" s="5">
        <f>-IFERROR('4. NPV'!#REF!/'4. NPV'!FOV$8,0)</f>
        <v>0</v>
      </c>
      <c r="FOV54" s="5">
        <f>-IFERROR('4. NPV'!#REF!/'4. NPV'!FOW$8,0)</f>
        <v>0</v>
      </c>
      <c r="FOW54" s="5">
        <f>-IFERROR('4. NPV'!#REF!/'4. NPV'!FOX$8,0)</f>
        <v>0</v>
      </c>
      <c r="FOX54" s="5">
        <f>-IFERROR('4. NPV'!#REF!/'4. NPV'!FOY$8,0)</f>
        <v>0</v>
      </c>
      <c r="FOY54" s="5">
        <f>-IFERROR('4. NPV'!#REF!/'4. NPV'!FOZ$8,0)</f>
        <v>0</v>
      </c>
      <c r="FOZ54" s="5">
        <f>-IFERROR('4. NPV'!#REF!/'4. NPV'!FPA$8,0)</f>
        <v>0</v>
      </c>
      <c r="FPA54" s="5">
        <f>-IFERROR('4. NPV'!#REF!/'4. NPV'!FPB$8,0)</f>
        <v>0</v>
      </c>
      <c r="FPB54" s="5">
        <f>-IFERROR('4. NPV'!#REF!/'4. NPV'!FPC$8,0)</f>
        <v>0</v>
      </c>
      <c r="FPC54" s="5">
        <f>-IFERROR('4. NPV'!#REF!/'4. NPV'!FPD$8,0)</f>
        <v>0</v>
      </c>
      <c r="FPD54" s="5">
        <f>-IFERROR('4. NPV'!#REF!/'4. NPV'!FPE$8,0)</f>
        <v>0</v>
      </c>
      <c r="FPE54" s="5">
        <f>-IFERROR('4. NPV'!#REF!/'4. NPV'!FPF$8,0)</f>
        <v>0</v>
      </c>
      <c r="FPF54" s="5">
        <f>-IFERROR('4. NPV'!#REF!/'4. NPV'!FPG$8,0)</f>
        <v>0</v>
      </c>
      <c r="FPG54" s="5">
        <f>-IFERROR('4. NPV'!#REF!/'4. NPV'!FPH$8,0)</f>
        <v>0</v>
      </c>
      <c r="FPH54" s="5">
        <f>-IFERROR('4. NPV'!#REF!/'4. NPV'!FPI$8,0)</f>
        <v>0</v>
      </c>
      <c r="FPI54" s="5">
        <f>-IFERROR('4. NPV'!#REF!/'4. NPV'!FPJ$8,0)</f>
        <v>0</v>
      </c>
      <c r="FPJ54" s="5">
        <f>-IFERROR('4. NPV'!#REF!/'4. NPV'!FPK$8,0)</f>
        <v>0</v>
      </c>
      <c r="FPK54" s="5">
        <f>-IFERROR('4. NPV'!#REF!/'4. NPV'!FPL$8,0)</f>
        <v>0</v>
      </c>
      <c r="FPL54" s="5">
        <f>-IFERROR('4. NPV'!#REF!/'4. NPV'!FPM$8,0)</f>
        <v>0</v>
      </c>
      <c r="FPM54" s="5">
        <f>-IFERROR('4. NPV'!#REF!/'4. NPV'!FPN$8,0)</f>
        <v>0</v>
      </c>
      <c r="FPN54" s="5">
        <f>-IFERROR('4. NPV'!#REF!/'4. NPV'!FPO$8,0)</f>
        <v>0</v>
      </c>
      <c r="FPO54" s="5">
        <f>-IFERROR('4. NPV'!#REF!/'4. NPV'!FPP$8,0)</f>
        <v>0</v>
      </c>
      <c r="FPP54" s="5">
        <f>-IFERROR('4. NPV'!#REF!/'4. NPV'!FPQ$8,0)</f>
        <v>0</v>
      </c>
      <c r="FPQ54" s="5">
        <f>-IFERROR('4. NPV'!#REF!/'4. NPV'!FPR$8,0)</f>
        <v>0</v>
      </c>
      <c r="FPR54" s="5">
        <f>-IFERROR('4. NPV'!#REF!/'4. NPV'!FPS$8,0)</f>
        <v>0</v>
      </c>
      <c r="FPS54" s="5">
        <f>-IFERROR('4. NPV'!#REF!/'4. NPV'!FPT$8,0)</f>
        <v>0</v>
      </c>
      <c r="FPT54" s="5">
        <f>-IFERROR('4. NPV'!#REF!/'4. NPV'!FPU$8,0)</f>
        <v>0</v>
      </c>
      <c r="FPU54" s="5">
        <f>-IFERROR('4. NPV'!#REF!/'4. NPV'!FPV$8,0)</f>
        <v>0</v>
      </c>
      <c r="FPV54" s="5">
        <f>-IFERROR('4. NPV'!#REF!/'4. NPV'!FPW$8,0)</f>
        <v>0</v>
      </c>
      <c r="FPW54" s="5">
        <f>-IFERROR('4. NPV'!#REF!/'4. NPV'!FPX$8,0)</f>
        <v>0</v>
      </c>
      <c r="FPX54" s="5">
        <f>-IFERROR('4. NPV'!#REF!/'4. NPV'!FPY$8,0)</f>
        <v>0</v>
      </c>
      <c r="FPY54" s="5">
        <f>-IFERROR('4. NPV'!#REF!/'4. NPV'!FPZ$8,0)</f>
        <v>0</v>
      </c>
      <c r="FPZ54" s="5">
        <f>-IFERROR('4. NPV'!#REF!/'4. NPV'!FQA$8,0)</f>
        <v>0</v>
      </c>
      <c r="FQA54" s="5">
        <f>-IFERROR('4. NPV'!#REF!/'4. NPV'!FQB$8,0)</f>
        <v>0</v>
      </c>
      <c r="FQB54" s="5">
        <f>-IFERROR('4. NPV'!#REF!/'4. NPV'!FQC$8,0)</f>
        <v>0</v>
      </c>
      <c r="FQC54" s="5">
        <f>-IFERROR('4. NPV'!#REF!/'4. NPV'!FQD$8,0)</f>
        <v>0</v>
      </c>
      <c r="FQD54" s="5">
        <f>-IFERROR('4. NPV'!#REF!/'4. NPV'!FQE$8,0)</f>
        <v>0</v>
      </c>
      <c r="FQE54" s="5">
        <f>-IFERROR('4. NPV'!#REF!/'4. NPV'!FQF$8,0)</f>
        <v>0</v>
      </c>
      <c r="FQF54" s="5">
        <f>-IFERROR('4. NPV'!#REF!/'4. NPV'!FQG$8,0)</f>
        <v>0</v>
      </c>
      <c r="FQG54" s="5">
        <f>-IFERROR('4. NPV'!#REF!/'4. NPV'!FQH$8,0)</f>
        <v>0</v>
      </c>
      <c r="FQH54" s="5">
        <f>-IFERROR('4. NPV'!#REF!/'4. NPV'!FQI$8,0)</f>
        <v>0</v>
      </c>
      <c r="FQI54" s="5">
        <f>-IFERROR('4. NPV'!#REF!/'4. NPV'!FQJ$8,0)</f>
        <v>0</v>
      </c>
      <c r="FQJ54" s="5">
        <f>-IFERROR('4. NPV'!#REF!/'4. NPV'!FQK$8,0)</f>
        <v>0</v>
      </c>
      <c r="FQK54" s="5">
        <f>-IFERROR('4. NPV'!#REF!/'4. NPV'!FQL$8,0)</f>
        <v>0</v>
      </c>
      <c r="FQL54" s="5">
        <f>-IFERROR('4. NPV'!#REF!/'4. NPV'!FQM$8,0)</f>
        <v>0</v>
      </c>
      <c r="FQM54" s="5">
        <f>-IFERROR('4. NPV'!#REF!/'4. NPV'!FQN$8,0)</f>
        <v>0</v>
      </c>
      <c r="FQN54" s="5">
        <f>-IFERROR('4. NPV'!#REF!/'4. NPV'!FQO$8,0)</f>
        <v>0</v>
      </c>
      <c r="FQO54" s="5">
        <f>-IFERROR('4. NPV'!#REF!/'4. NPV'!FQP$8,0)</f>
        <v>0</v>
      </c>
      <c r="FQP54" s="5">
        <f>-IFERROR('4. NPV'!#REF!/'4. NPV'!FQQ$8,0)</f>
        <v>0</v>
      </c>
      <c r="FQQ54" s="5">
        <f>-IFERROR('4. NPV'!#REF!/'4. NPV'!FQR$8,0)</f>
        <v>0</v>
      </c>
      <c r="FQR54" s="5">
        <f>-IFERROR('4. NPV'!#REF!/'4. NPV'!FQS$8,0)</f>
        <v>0</v>
      </c>
      <c r="FQS54" s="5">
        <f>-IFERROR('4. NPV'!#REF!/'4. NPV'!FQT$8,0)</f>
        <v>0</v>
      </c>
      <c r="FQT54" s="5">
        <f>-IFERROR('4. NPV'!#REF!/'4. NPV'!FQU$8,0)</f>
        <v>0</v>
      </c>
      <c r="FQU54" s="5">
        <f>-IFERROR('4. NPV'!#REF!/'4. NPV'!FQV$8,0)</f>
        <v>0</v>
      </c>
      <c r="FQV54" s="5">
        <f>-IFERROR('4. NPV'!#REF!/'4. NPV'!FQW$8,0)</f>
        <v>0</v>
      </c>
      <c r="FQW54" s="5">
        <f>-IFERROR('4. NPV'!#REF!/'4. NPV'!FQX$8,0)</f>
        <v>0</v>
      </c>
      <c r="FQX54" s="5">
        <f>-IFERROR('4. NPV'!#REF!/'4. NPV'!FQY$8,0)</f>
        <v>0</v>
      </c>
      <c r="FQY54" s="5">
        <f>-IFERROR('4. NPV'!#REF!/'4. NPV'!FQZ$8,0)</f>
        <v>0</v>
      </c>
      <c r="FQZ54" s="5">
        <f>-IFERROR('4. NPV'!#REF!/'4. NPV'!FRA$8,0)</f>
        <v>0</v>
      </c>
      <c r="FRA54" s="5">
        <f>-IFERROR('4. NPV'!#REF!/'4. NPV'!FRB$8,0)</f>
        <v>0</v>
      </c>
      <c r="FRB54" s="5">
        <f>-IFERROR('4. NPV'!#REF!/'4. NPV'!FRC$8,0)</f>
        <v>0</v>
      </c>
      <c r="FRC54" s="5">
        <f>-IFERROR('4. NPV'!#REF!/'4. NPV'!FRD$8,0)</f>
        <v>0</v>
      </c>
      <c r="FRD54" s="5">
        <f>-IFERROR('4. NPV'!#REF!/'4. NPV'!FRE$8,0)</f>
        <v>0</v>
      </c>
      <c r="FRE54" s="5">
        <f>-IFERROR('4. NPV'!#REF!/'4. NPV'!FRF$8,0)</f>
        <v>0</v>
      </c>
      <c r="FRF54" s="5">
        <f>-IFERROR('4. NPV'!#REF!/'4. NPV'!FRG$8,0)</f>
        <v>0</v>
      </c>
      <c r="FRG54" s="5">
        <f>-IFERROR('4. NPV'!#REF!/'4. NPV'!FRH$8,0)</f>
        <v>0</v>
      </c>
      <c r="FRH54" s="5">
        <f>-IFERROR('4. NPV'!#REF!/'4. NPV'!FRI$8,0)</f>
        <v>0</v>
      </c>
      <c r="FRI54" s="5">
        <f>-IFERROR('4. NPV'!#REF!/'4. NPV'!FRJ$8,0)</f>
        <v>0</v>
      </c>
      <c r="FRJ54" s="5">
        <f>-IFERROR('4. NPV'!#REF!/'4. NPV'!FRK$8,0)</f>
        <v>0</v>
      </c>
      <c r="FRK54" s="5">
        <f>-IFERROR('4. NPV'!#REF!/'4. NPV'!FRL$8,0)</f>
        <v>0</v>
      </c>
      <c r="FRL54" s="5">
        <f>-IFERROR('4. NPV'!#REF!/'4. NPV'!FRM$8,0)</f>
        <v>0</v>
      </c>
      <c r="FRM54" s="5">
        <f>-IFERROR('4. NPV'!#REF!/'4. NPV'!FRN$8,0)</f>
        <v>0</v>
      </c>
      <c r="FRN54" s="5">
        <f>-IFERROR('4. NPV'!#REF!/'4. NPV'!FRO$8,0)</f>
        <v>0</v>
      </c>
      <c r="FRO54" s="5">
        <f>-IFERROR('4. NPV'!#REF!/'4. NPV'!FRP$8,0)</f>
        <v>0</v>
      </c>
      <c r="FRP54" s="5">
        <f>-IFERROR('4. NPV'!#REF!/'4. NPV'!FRQ$8,0)</f>
        <v>0</v>
      </c>
      <c r="FRQ54" s="5">
        <f>-IFERROR('4. NPV'!#REF!/'4. NPV'!FRR$8,0)</f>
        <v>0</v>
      </c>
      <c r="FRR54" s="5">
        <f>-IFERROR('4. NPV'!#REF!/'4. NPV'!FRS$8,0)</f>
        <v>0</v>
      </c>
      <c r="FRS54" s="5">
        <f>-IFERROR('4. NPV'!#REF!/'4. NPV'!FRT$8,0)</f>
        <v>0</v>
      </c>
      <c r="FRT54" s="5">
        <f>-IFERROR('4. NPV'!#REF!/'4. NPV'!FRU$8,0)</f>
        <v>0</v>
      </c>
      <c r="FRU54" s="5">
        <f>-IFERROR('4. NPV'!#REF!/'4. NPV'!FRV$8,0)</f>
        <v>0</v>
      </c>
      <c r="FRV54" s="5">
        <f>-IFERROR('4. NPV'!#REF!/'4. NPV'!FRW$8,0)</f>
        <v>0</v>
      </c>
      <c r="FRW54" s="5">
        <f>-IFERROR('4. NPV'!#REF!/'4. NPV'!FRX$8,0)</f>
        <v>0</v>
      </c>
      <c r="FRX54" s="5">
        <f>-IFERROR('4. NPV'!#REF!/'4. NPV'!FRY$8,0)</f>
        <v>0</v>
      </c>
      <c r="FRY54" s="5">
        <f>-IFERROR('4. NPV'!#REF!/'4. NPV'!FRZ$8,0)</f>
        <v>0</v>
      </c>
      <c r="FRZ54" s="5">
        <f>-IFERROR('4. NPV'!#REF!/'4. NPV'!FSA$8,0)</f>
        <v>0</v>
      </c>
      <c r="FSA54" s="5">
        <f>-IFERROR('4. NPV'!#REF!/'4. NPV'!FSB$8,0)</f>
        <v>0</v>
      </c>
      <c r="FSB54" s="5">
        <f>-IFERROR('4. NPV'!#REF!/'4. NPV'!FSC$8,0)</f>
        <v>0</v>
      </c>
      <c r="FSC54" s="5">
        <f>-IFERROR('4. NPV'!#REF!/'4. NPV'!FSD$8,0)</f>
        <v>0</v>
      </c>
      <c r="FSD54" s="5">
        <f>-IFERROR('4. NPV'!#REF!/'4. NPV'!FSE$8,0)</f>
        <v>0</v>
      </c>
      <c r="FSE54" s="5">
        <f>-IFERROR('4. NPV'!#REF!/'4. NPV'!FSF$8,0)</f>
        <v>0</v>
      </c>
      <c r="FSF54" s="5">
        <f>-IFERROR('4. NPV'!#REF!/'4. NPV'!FSG$8,0)</f>
        <v>0</v>
      </c>
      <c r="FSG54" s="5">
        <f>-IFERROR('4. NPV'!#REF!/'4. NPV'!FSH$8,0)</f>
        <v>0</v>
      </c>
      <c r="FSH54" s="5">
        <f>-IFERROR('4. NPV'!#REF!/'4. NPV'!FSI$8,0)</f>
        <v>0</v>
      </c>
      <c r="FSI54" s="5">
        <f>-IFERROR('4. NPV'!#REF!/'4. NPV'!FSJ$8,0)</f>
        <v>0</v>
      </c>
      <c r="FSJ54" s="5">
        <f>-IFERROR('4. NPV'!#REF!/'4. NPV'!FSK$8,0)</f>
        <v>0</v>
      </c>
      <c r="FSK54" s="5">
        <f>-IFERROR('4. NPV'!#REF!/'4. NPV'!FSL$8,0)</f>
        <v>0</v>
      </c>
      <c r="FSL54" s="5">
        <f>-IFERROR('4. NPV'!#REF!/'4. NPV'!FSM$8,0)</f>
        <v>0</v>
      </c>
      <c r="FSM54" s="5">
        <f>-IFERROR('4. NPV'!#REF!/'4. NPV'!FSN$8,0)</f>
        <v>0</v>
      </c>
      <c r="FSN54" s="5">
        <f>-IFERROR('4. NPV'!#REF!/'4. NPV'!FSO$8,0)</f>
        <v>0</v>
      </c>
      <c r="FSO54" s="5">
        <f>-IFERROR('4. NPV'!#REF!/'4. NPV'!FSP$8,0)</f>
        <v>0</v>
      </c>
      <c r="FSP54" s="5">
        <f>-IFERROR('4. NPV'!#REF!/'4. NPV'!FSQ$8,0)</f>
        <v>0</v>
      </c>
      <c r="FSQ54" s="5">
        <f>-IFERROR('4. NPV'!#REF!/'4. NPV'!FSR$8,0)</f>
        <v>0</v>
      </c>
      <c r="FSR54" s="5">
        <f>-IFERROR('4. NPV'!#REF!/'4. NPV'!FSS$8,0)</f>
        <v>0</v>
      </c>
      <c r="FSS54" s="5">
        <f>-IFERROR('4. NPV'!#REF!/'4. NPV'!FST$8,0)</f>
        <v>0</v>
      </c>
      <c r="FST54" s="5">
        <f>-IFERROR('4. NPV'!#REF!/'4. NPV'!FSU$8,0)</f>
        <v>0</v>
      </c>
      <c r="FSU54" s="5">
        <f>-IFERROR('4. NPV'!#REF!/'4. NPV'!FSV$8,0)</f>
        <v>0</v>
      </c>
      <c r="FSV54" s="5">
        <f>-IFERROR('4. NPV'!#REF!/'4. NPV'!FSW$8,0)</f>
        <v>0</v>
      </c>
      <c r="FSW54" s="5">
        <f>-IFERROR('4. NPV'!#REF!/'4. NPV'!FSX$8,0)</f>
        <v>0</v>
      </c>
      <c r="FSX54" s="5">
        <f>-IFERROR('4. NPV'!#REF!/'4. NPV'!FSY$8,0)</f>
        <v>0</v>
      </c>
      <c r="FSY54" s="5">
        <f>-IFERROR('4. NPV'!#REF!/'4. NPV'!FSZ$8,0)</f>
        <v>0</v>
      </c>
      <c r="FSZ54" s="5">
        <f>-IFERROR('4. NPV'!#REF!/'4. NPV'!FTA$8,0)</f>
        <v>0</v>
      </c>
      <c r="FTA54" s="5">
        <f>-IFERROR('4. NPV'!#REF!/'4. NPV'!FTB$8,0)</f>
        <v>0</v>
      </c>
      <c r="FTB54" s="5">
        <f>-IFERROR('4. NPV'!#REF!/'4. NPV'!FTC$8,0)</f>
        <v>0</v>
      </c>
      <c r="FTC54" s="5">
        <f>-IFERROR('4. NPV'!#REF!/'4. NPV'!FTD$8,0)</f>
        <v>0</v>
      </c>
      <c r="FTD54" s="5">
        <f>-IFERROR('4. NPV'!#REF!/'4. NPV'!FTE$8,0)</f>
        <v>0</v>
      </c>
      <c r="FTE54" s="5">
        <f>-IFERROR('4. NPV'!#REF!/'4. NPV'!FTF$8,0)</f>
        <v>0</v>
      </c>
      <c r="FTF54" s="5">
        <f>-IFERROR('4. NPV'!#REF!/'4. NPV'!FTG$8,0)</f>
        <v>0</v>
      </c>
      <c r="FTG54" s="5">
        <f>-IFERROR('4. NPV'!#REF!/'4. NPV'!FTH$8,0)</f>
        <v>0</v>
      </c>
      <c r="FTH54" s="5">
        <f>-IFERROR('4. NPV'!#REF!/'4. NPV'!FTI$8,0)</f>
        <v>0</v>
      </c>
      <c r="FTI54" s="5">
        <f>-IFERROR('4. NPV'!#REF!/'4. NPV'!FTJ$8,0)</f>
        <v>0</v>
      </c>
      <c r="FTJ54" s="5">
        <f>-IFERROR('4. NPV'!#REF!/'4. NPV'!FTK$8,0)</f>
        <v>0</v>
      </c>
      <c r="FTK54" s="5">
        <f>-IFERROR('4. NPV'!#REF!/'4. NPV'!FTL$8,0)</f>
        <v>0</v>
      </c>
      <c r="FTL54" s="5">
        <f>-IFERROR('4. NPV'!#REF!/'4. NPV'!FTM$8,0)</f>
        <v>0</v>
      </c>
      <c r="FTM54" s="5">
        <f>-IFERROR('4. NPV'!#REF!/'4. NPV'!FTN$8,0)</f>
        <v>0</v>
      </c>
      <c r="FTN54" s="5">
        <f>-IFERROR('4. NPV'!#REF!/'4. NPV'!FTO$8,0)</f>
        <v>0</v>
      </c>
      <c r="FTO54" s="5">
        <f>-IFERROR('4. NPV'!#REF!/'4. NPV'!FTP$8,0)</f>
        <v>0</v>
      </c>
      <c r="FTP54" s="5">
        <f>-IFERROR('4. NPV'!#REF!/'4. NPV'!FTQ$8,0)</f>
        <v>0</v>
      </c>
      <c r="FTQ54" s="5">
        <f>-IFERROR('4. NPV'!#REF!/'4. NPV'!FTR$8,0)</f>
        <v>0</v>
      </c>
      <c r="FTR54" s="5">
        <f>-IFERROR('4. NPV'!#REF!/'4. NPV'!FTS$8,0)</f>
        <v>0</v>
      </c>
      <c r="FTS54" s="5">
        <f>-IFERROR('4. NPV'!#REF!/'4. NPV'!FTT$8,0)</f>
        <v>0</v>
      </c>
      <c r="FTT54" s="5">
        <f>-IFERROR('4. NPV'!#REF!/'4. NPV'!FTU$8,0)</f>
        <v>0</v>
      </c>
      <c r="FTU54" s="5">
        <f>-IFERROR('4. NPV'!#REF!/'4. NPV'!FTV$8,0)</f>
        <v>0</v>
      </c>
      <c r="FTV54" s="5">
        <f>-IFERROR('4. NPV'!#REF!/'4. NPV'!FTW$8,0)</f>
        <v>0</v>
      </c>
      <c r="FTW54" s="5">
        <f>-IFERROR('4. NPV'!#REF!/'4. NPV'!FTX$8,0)</f>
        <v>0</v>
      </c>
      <c r="FTX54" s="5">
        <f>-IFERROR('4. NPV'!#REF!/'4. NPV'!FTY$8,0)</f>
        <v>0</v>
      </c>
      <c r="FTY54" s="5">
        <f>-IFERROR('4. NPV'!#REF!/'4. NPV'!FTZ$8,0)</f>
        <v>0</v>
      </c>
      <c r="FTZ54" s="5">
        <f>-IFERROR('4. NPV'!#REF!/'4. NPV'!FUA$8,0)</f>
        <v>0</v>
      </c>
      <c r="FUA54" s="5">
        <f>-IFERROR('4. NPV'!#REF!/'4. NPV'!FUB$8,0)</f>
        <v>0</v>
      </c>
      <c r="FUB54" s="5">
        <f>-IFERROR('4. NPV'!#REF!/'4. NPV'!FUC$8,0)</f>
        <v>0</v>
      </c>
      <c r="FUC54" s="5">
        <f>-IFERROR('4. NPV'!#REF!/'4. NPV'!FUD$8,0)</f>
        <v>0</v>
      </c>
      <c r="FUD54" s="5">
        <f>-IFERROR('4. NPV'!#REF!/'4. NPV'!FUE$8,0)</f>
        <v>0</v>
      </c>
      <c r="FUE54" s="5">
        <f>-IFERROR('4. NPV'!#REF!/'4. NPV'!FUF$8,0)</f>
        <v>0</v>
      </c>
      <c r="FUF54" s="5">
        <f>-IFERROR('4. NPV'!#REF!/'4. NPV'!FUG$8,0)</f>
        <v>0</v>
      </c>
      <c r="FUG54" s="5">
        <f>-IFERROR('4. NPV'!#REF!/'4. NPV'!FUH$8,0)</f>
        <v>0</v>
      </c>
      <c r="FUH54" s="5">
        <f>-IFERROR('4. NPV'!#REF!/'4. NPV'!FUI$8,0)</f>
        <v>0</v>
      </c>
      <c r="FUI54" s="5">
        <f>-IFERROR('4. NPV'!#REF!/'4. NPV'!FUJ$8,0)</f>
        <v>0</v>
      </c>
      <c r="FUJ54" s="5">
        <f>-IFERROR('4. NPV'!#REF!/'4. NPV'!FUK$8,0)</f>
        <v>0</v>
      </c>
      <c r="FUK54" s="5">
        <f>-IFERROR('4. NPV'!#REF!/'4. NPV'!FUL$8,0)</f>
        <v>0</v>
      </c>
      <c r="FUL54" s="5">
        <f>-IFERROR('4. NPV'!#REF!/'4. NPV'!FUM$8,0)</f>
        <v>0</v>
      </c>
      <c r="FUM54" s="5">
        <f>-IFERROR('4. NPV'!#REF!/'4. NPV'!FUN$8,0)</f>
        <v>0</v>
      </c>
      <c r="FUN54" s="5">
        <f>-IFERROR('4. NPV'!#REF!/'4. NPV'!FUO$8,0)</f>
        <v>0</v>
      </c>
      <c r="FUO54" s="5">
        <f>-IFERROR('4. NPV'!#REF!/'4. NPV'!FUP$8,0)</f>
        <v>0</v>
      </c>
      <c r="FUP54" s="5">
        <f>-IFERROR('4. NPV'!#REF!/'4. NPV'!FUQ$8,0)</f>
        <v>0</v>
      </c>
      <c r="FUQ54" s="5">
        <f>-IFERROR('4. NPV'!#REF!/'4. NPV'!FUR$8,0)</f>
        <v>0</v>
      </c>
      <c r="FUR54" s="5">
        <f>-IFERROR('4. NPV'!#REF!/'4. NPV'!FUS$8,0)</f>
        <v>0</v>
      </c>
      <c r="FUS54" s="5">
        <f>-IFERROR('4. NPV'!#REF!/'4. NPV'!FUT$8,0)</f>
        <v>0</v>
      </c>
      <c r="FUT54" s="5">
        <f>-IFERROR('4. NPV'!#REF!/'4. NPV'!FUU$8,0)</f>
        <v>0</v>
      </c>
      <c r="FUU54" s="5">
        <f>-IFERROR('4. NPV'!#REF!/'4. NPV'!FUV$8,0)</f>
        <v>0</v>
      </c>
      <c r="FUV54" s="5">
        <f>-IFERROR('4. NPV'!#REF!/'4. NPV'!FUW$8,0)</f>
        <v>0</v>
      </c>
      <c r="FUW54" s="5">
        <f>-IFERROR('4. NPV'!#REF!/'4. NPV'!FUX$8,0)</f>
        <v>0</v>
      </c>
      <c r="FUX54" s="5">
        <f>-IFERROR('4. NPV'!#REF!/'4. NPV'!FUY$8,0)</f>
        <v>0</v>
      </c>
      <c r="FUY54" s="5">
        <f>-IFERROR('4. NPV'!#REF!/'4. NPV'!FUZ$8,0)</f>
        <v>0</v>
      </c>
      <c r="FUZ54" s="5">
        <f>-IFERROR('4. NPV'!#REF!/'4. NPV'!FVA$8,0)</f>
        <v>0</v>
      </c>
      <c r="FVA54" s="5">
        <f>-IFERROR('4. NPV'!#REF!/'4. NPV'!FVB$8,0)</f>
        <v>0</v>
      </c>
      <c r="FVB54" s="5">
        <f>-IFERROR('4. NPV'!#REF!/'4. NPV'!FVC$8,0)</f>
        <v>0</v>
      </c>
      <c r="FVC54" s="5">
        <f>-IFERROR('4. NPV'!#REF!/'4. NPV'!FVD$8,0)</f>
        <v>0</v>
      </c>
      <c r="FVD54" s="5">
        <f>-IFERROR('4. NPV'!#REF!/'4. NPV'!FVE$8,0)</f>
        <v>0</v>
      </c>
      <c r="FVE54" s="5">
        <f>-IFERROR('4. NPV'!#REF!/'4. NPV'!FVF$8,0)</f>
        <v>0</v>
      </c>
      <c r="FVF54" s="5">
        <f>-IFERROR('4. NPV'!#REF!/'4. NPV'!FVG$8,0)</f>
        <v>0</v>
      </c>
      <c r="FVG54" s="5">
        <f>-IFERROR('4. NPV'!#REF!/'4. NPV'!FVH$8,0)</f>
        <v>0</v>
      </c>
      <c r="FVH54" s="5">
        <f>-IFERROR('4. NPV'!#REF!/'4. NPV'!FVI$8,0)</f>
        <v>0</v>
      </c>
      <c r="FVI54" s="5">
        <f>-IFERROR('4. NPV'!#REF!/'4. NPV'!FVJ$8,0)</f>
        <v>0</v>
      </c>
      <c r="FVJ54" s="5">
        <f>-IFERROR('4. NPV'!#REF!/'4. NPV'!FVK$8,0)</f>
        <v>0</v>
      </c>
      <c r="FVK54" s="5">
        <f>-IFERROR('4. NPV'!#REF!/'4. NPV'!FVL$8,0)</f>
        <v>0</v>
      </c>
      <c r="FVL54" s="5">
        <f>-IFERROR('4. NPV'!#REF!/'4. NPV'!FVM$8,0)</f>
        <v>0</v>
      </c>
      <c r="FVM54" s="5">
        <f>-IFERROR('4. NPV'!#REF!/'4. NPV'!FVN$8,0)</f>
        <v>0</v>
      </c>
      <c r="FVN54" s="5">
        <f>-IFERROR('4. NPV'!#REF!/'4. NPV'!FVO$8,0)</f>
        <v>0</v>
      </c>
      <c r="FVO54" s="5">
        <f>-IFERROR('4. NPV'!#REF!/'4. NPV'!FVP$8,0)</f>
        <v>0</v>
      </c>
      <c r="FVP54" s="5">
        <f>-IFERROR('4. NPV'!#REF!/'4. NPV'!FVQ$8,0)</f>
        <v>0</v>
      </c>
      <c r="FVQ54" s="5">
        <f>-IFERROR('4. NPV'!#REF!/'4. NPV'!FVR$8,0)</f>
        <v>0</v>
      </c>
      <c r="FVR54" s="5">
        <f>-IFERROR('4. NPV'!#REF!/'4. NPV'!FVS$8,0)</f>
        <v>0</v>
      </c>
      <c r="FVS54" s="5">
        <f>-IFERROR('4. NPV'!#REF!/'4. NPV'!FVT$8,0)</f>
        <v>0</v>
      </c>
      <c r="FVT54" s="5">
        <f>-IFERROR('4. NPV'!#REF!/'4. NPV'!FVU$8,0)</f>
        <v>0</v>
      </c>
      <c r="FVU54" s="5">
        <f>-IFERROR('4. NPV'!#REF!/'4. NPV'!FVV$8,0)</f>
        <v>0</v>
      </c>
      <c r="FVV54" s="5">
        <f>-IFERROR('4. NPV'!#REF!/'4. NPV'!FVW$8,0)</f>
        <v>0</v>
      </c>
      <c r="FVW54" s="5">
        <f>-IFERROR('4. NPV'!#REF!/'4. NPV'!FVX$8,0)</f>
        <v>0</v>
      </c>
      <c r="FVX54" s="5">
        <f>-IFERROR('4. NPV'!#REF!/'4. NPV'!FVY$8,0)</f>
        <v>0</v>
      </c>
      <c r="FVY54" s="5">
        <f>-IFERROR('4. NPV'!#REF!/'4. NPV'!FVZ$8,0)</f>
        <v>0</v>
      </c>
      <c r="FVZ54" s="5">
        <f>-IFERROR('4. NPV'!#REF!/'4. NPV'!FWA$8,0)</f>
        <v>0</v>
      </c>
      <c r="FWA54" s="5">
        <f>-IFERROR('4. NPV'!#REF!/'4. NPV'!FWB$8,0)</f>
        <v>0</v>
      </c>
      <c r="FWB54" s="5">
        <f>-IFERROR('4. NPV'!#REF!/'4. NPV'!FWC$8,0)</f>
        <v>0</v>
      </c>
      <c r="FWC54" s="5">
        <f>-IFERROR('4. NPV'!#REF!/'4. NPV'!FWD$8,0)</f>
        <v>0</v>
      </c>
      <c r="FWD54" s="5">
        <f>-IFERROR('4. NPV'!#REF!/'4. NPV'!FWE$8,0)</f>
        <v>0</v>
      </c>
      <c r="FWE54" s="5">
        <f>-IFERROR('4. NPV'!#REF!/'4. NPV'!FWF$8,0)</f>
        <v>0</v>
      </c>
      <c r="FWF54" s="5">
        <f>-IFERROR('4. NPV'!#REF!/'4. NPV'!FWG$8,0)</f>
        <v>0</v>
      </c>
      <c r="FWG54" s="5">
        <f>-IFERROR('4. NPV'!#REF!/'4. NPV'!FWH$8,0)</f>
        <v>0</v>
      </c>
      <c r="FWH54" s="5">
        <f>-IFERROR('4. NPV'!#REF!/'4. NPV'!FWI$8,0)</f>
        <v>0</v>
      </c>
      <c r="FWI54" s="5">
        <f>-IFERROR('4. NPV'!#REF!/'4. NPV'!FWJ$8,0)</f>
        <v>0</v>
      </c>
      <c r="FWJ54" s="5">
        <f>-IFERROR('4. NPV'!#REF!/'4. NPV'!FWK$8,0)</f>
        <v>0</v>
      </c>
      <c r="FWK54" s="5">
        <f>-IFERROR('4. NPV'!#REF!/'4. NPV'!FWL$8,0)</f>
        <v>0</v>
      </c>
      <c r="FWL54" s="5">
        <f>-IFERROR('4. NPV'!#REF!/'4. NPV'!FWM$8,0)</f>
        <v>0</v>
      </c>
      <c r="FWM54" s="5">
        <f>-IFERROR('4. NPV'!#REF!/'4. NPV'!FWN$8,0)</f>
        <v>0</v>
      </c>
      <c r="FWN54" s="5">
        <f>-IFERROR('4. NPV'!#REF!/'4. NPV'!FWO$8,0)</f>
        <v>0</v>
      </c>
      <c r="FWO54" s="5">
        <f>-IFERROR('4. NPV'!#REF!/'4. NPV'!FWP$8,0)</f>
        <v>0</v>
      </c>
      <c r="FWP54" s="5">
        <f>-IFERROR('4. NPV'!#REF!/'4. NPV'!FWQ$8,0)</f>
        <v>0</v>
      </c>
      <c r="FWQ54" s="5">
        <f>-IFERROR('4. NPV'!#REF!/'4. NPV'!FWR$8,0)</f>
        <v>0</v>
      </c>
      <c r="FWR54" s="5">
        <f>-IFERROR('4. NPV'!#REF!/'4. NPV'!FWS$8,0)</f>
        <v>0</v>
      </c>
      <c r="FWS54" s="5">
        <f>-IFERROR('4. NPV'!#REF!/'4. NPV'!FWT$8,0)</f>
        <v>0</v>
      </c>
      <c r="FWT54" s="5">
        <f>-IFERROR('4. NPV'!#REF!/'4. NPV'!FWU$8,0)</f>
        <v>0</v>
      </c>
      <c r="FWU54" s="5">
        <f>-IFERROR('4. NPV'!#REF!/'4. NPV'!FWV$8,0)</f>
        <v>0</v>
      </c>
      <c r="FWV54" s="5">
        <f>-IFERROR('4. NPV'!#REF!/'4. NPV'!FWW$8,0)</f>
        <v>0</v>
      </c>
      <c r="FWW54" s="5">
        <f>-IFERROR('4. NPV'!#REF!/'4. NPV'!FWX$8,0)</f>
        <v>0</v>
      </c>
      <c r="FWX54" s="5">
        <f>-IFERROR('4. NPV'!#REF!/'4. NPV'!FWY$8,0)</f>
        <v>0</v>
      </c>
      <c r="FWY54" s="5">
        <f>-IFERROR('4. NPV'!#REF!/'4. NPV'!FWZ$8,0)</f>
        <v>0</v>
      </c>
      <c r="FWZ54" s="5">
        <f>-IFERROR('4. NPV'!#REF!/'4. NPV'!FXA$8,0)</f>
        <v>0</v>
      </c>
      <c r="FXA54" s="5">
        <f>-IFERROR('4. NPV'!#REF!/'4. NPV'!FXB$8,0)</f>
        <v>0</v>
      </c>
      <c r="FXB54" s="5">
        <f>-IFERROR('4. NPV'!#REF!/'4. NPV'!FXC$8,0)</f>
        <v>0</v>
      </c>
      <c r="FXC54" s="5">
        <f>-IFERROR('4. NPV'!#REF!/'4. NPV'!FXD$8,0)</f>
        <v>0</v>
      </c>
      <c r="FXD54" s="5">
        <f>-IFERROR('4. NPV'!#REF!/'4. NPV'!FXE$8,0)</f>
        <v>0</v>
      </c>
      <c r="FXE54" s="5">
        <f>-IFERROR('4. NPV'!#REF!/'4. NPV'!FXF$8,0)</f>
        <v>0</v>
      </c>
      <c r="FXF54" s="5">
        <f>-IFERROR('4. NPV'!#REF!/'4. NPV'!FXG$8,0)</f>
        <v>0</v>
      </c>
      <c r="FXG54" s="5">
        <f>-IFERROR('4. NPV'!#REF!/'4. NPV'!FXH$8,0)</f>
        <v>0</v>
      </c>
      <c r="FXH54" s="5">
        <f>-IFERROR('4. NPV'!#REF!/'4. NPV'!FXI$8,0)</f>
        <v>0</v>
      </c>
      <c r="FXI54" s="5">
        <f>-IFERROR('4. NPV'!#REF!/'4. NPV'!FXJ$8,0)</f>
        <v>0</v>
      </c>
      <c r="FXJ54" s="5">
        <f>-IFERROR('4. NPV'!#REF!/'4. NPV'!FXK$8,0)</f>
        <v>0</v>
      </c>
      <c r="FXK54" s="5">
        <f>-IFERROR('4. NPV'!#REF!/'4. NPV'!FXL$8,0)</f>
        <v>0</v>
      </c>
      <c r="FXL54" s="5">
        <f>-IFERROR('4. NPV'!#REF!/'4. NPV'!FXM$8,0)</f>
        <v>0</v>
      </c>
      <c r="FXM54" s="5">
        <f>-IFERROR('4. NPV'!#REF!/'4. NPV'!FXN$8,0)</f>
        <v>0</v>
      </c>
      <c r="FXN54" s="5">
        <f>-IFERROR('4. NPV'!#REF!/'4. NPV'!FXO$8,0)</f>
        <v>0</v>
      </c>
      <c r="FXO54" s="5">
        <f>-IFERROR('4. NPV'!#REF!/'4. NPV'!FXP$8,0)</f>
        <v>0</v>
      </c>
      <c r="FXP54" s="5">
        <f>-IFERROR('4. NPV'!#REF!/'4. NPV'!FXQ$8,0)</f>
        <v>0</v>
      </c>
      <c r="FXQ54" s="5">
        <f>-IFERROR('4. NPV'!#REF!/'4. NPV'!FXR$8,0)</f>
        <v>0</v>
      </c>
      <c r="FXR54" s="5">
        <f>-IFERROR('4. NPV'!#REF!/'4. NPV'!FXS$8,0)</f>
        <v>0</v>
      </c>
      <c r="FXS54" s="5">
        <f>-IFERROR('4. NPV'!#REF!/'4. NPV'!FXT$8,0)</f>
        <v>0</v>
      </c>
      <c r="FXT54" s="5">
        <f>-IFERROR('4. NPV'!#REF!/'4. NPV'!FXU$8,0)</f>
        <v>0</v>
      </c>
      <c r="FXU54" s="5">
        <f>-IFERROR('4. NPV'!#REF!/'4. NPV'!FXV$8,0)</f>
        <v>0</v>
      </c>
      <c r="FXV54" s="5">
        <f>-IFERROR('4. NPV'!#REF!/'4. NPV'!FXW$8,0)</f>
        <v>0</v>
      </c>
      <c r="FXW54" s="5">
        <f>-IFERROR('4. NPV'!#REF!/'4. NPV'!FXX$8,0)</f>
        <v>0</v>
      </c>
      <c r="FXX54" s="5">
        <f>-IFERROR('4. NPV'!#REF!/'4. NPV'!FXY$8,0)</f>
        <v>0</v>
      </c>
      <c r="FXY54" s="5">
        <f>-IFERROR('4. NPV'!#REF!/'4. NPV'!FXZ$8,0)</f>
        <v>0</v>
      </c>
      <c r="FXZ54" s="5">
        <f>-IFERROR('4. NPV'!#REF!/'4. NPV'!FYA$8,0)</f>
        <v>0</v>
      </c>
      <c r="FYA54" s="5">
        <f>-IFERROR('4. NPV'!#REF!/'4. NPV'!FYB$8,0)</f>
        <v>0</v>
      </c>
      <c r="FYB54" s="5">
        <f>-IFERROR('4. NPV'!#REF!/'4. NPV'!FYC$8,0)</f>
        <v>0</v>
      </c>
      <c r="FYC54" s="5">
        <f>-IFERROR('4. NPV'!#REF!/'4. NPV'!FYD$8,0)</f>
        <v>0</v>
      </c>
      <c r="FYD54" s="5">
        <f>-IFERROR('4. NPV'!#REF!/'4. NPV'!FYE$8,0)</f>
        <v>0</v>
      </c>
      <c r="FYE54" s="5">
        <f>-IFERROR('4. NPV'!#REF!/'4. NPV'!FYF$8,0)</f>
        <v>0</v>
      </c>
      <c r="FYF54" s="5">
        <f>-IFERROR('4. NPV'!#REF!/'4. NPV'!FYG$8,0)</f>
        <v>0</v>
      </c>
      <c r="FYG54" s="5">
        <f>-IFERROR('4. NPV'!#REF!/'4. NPV'!FYH$8,0)</f>
        <v>0</v>
      </c>
      <c r="FYH54" s="5">
        <f>-IFERROR('4. NPV'!#REF!/'4. NPV'!FYI$8,0)</f>
        <v>0</v>
      </c>
      <c r="FYI54" s="5">
        <f>-IFERROR('4. NPV'!#REF!/'4. NPV'!FYJ$8,0)</f>
        <v>0</v>
      </c>
      <c r="FYJ54" s="5">
        <f>-IFERROR('4. NPV'!#REF!/'4. NPV'!FYK$8,0)</f>
        <v>0</v>
      </c>
      <c r="FYK54" s="5">
        <f>-IFERROR('4. NPV'!#REF!/'4. NPV'!FYL$8,0)</f>
        <v>0</v>
      </c>
      <c r="FYL54" s="5">
        <f>-IFERROR('4. NPV'!#REF!/'4. NPV'!FYM$8,0)</f>
        <v>0</v>
      </c>
      <c r="FYM54" s="5">
        <f>-IFERROR('4. NPV'!#REF!/'4. NPV'!FYN$8,0)</f>
        <v>0</v>
      </c>
      <c r="FYN54" s="5">
        <f>-IFERROR('4. NPV'!#REF!/'4. NPV'!FYO$8,0)</f>
        <v>0</v>
      </c>
      <c r="FYO54" s="5">
        <f>-IFERROR('4. NPV'!#REF!/'4. NPV'!FYP$8,0)</f>
        <v>0</v>
      </c>
      <c r="FYP54" s="5">
        <f>-IFERROR('4. NPV'!#REF!/'4. NPV'!FYQ$8,0)</f>
        <v>0</v>
      </c>
      <c r="FYQ54" s="5">
        <f>-IFERROR('4. NPV'!#REF!/'4. NPV'!FYR$8,0)</f>
        <v>0</v>
      </c>
      <c r="FYR54" s="5">
        <f>-IFERROR('4. NPV'!#REF!/'4. NPV'!FYS$8,0)</f>
        <v>0</v>
      </c>
      <c r="FYS54" s="5">
        <f>-IFERROR('4. NPV'!#REF!/'4. NPV'!FYT$8,0)</f>
        <v>0</v>
      </c>
      <c r="FYT54" s="5">
        <f>-IFERROR('4. NPV'!#REF!/'4. NPV'!FYU$8,0)</f>
        <v>0</v>
      </c>
      <c r="FYU54" s="5">
        <f>-IFERROR('4. NPV'!#REF!/'4. NPV'!FYV$8,0)</f>
        <v>0</v>
      </c>
      <c r="FYV54" s="5">
        <f>-IFERROR('4. NPV'!#REF!/'4. NPV'!FYW$8,0)</f>
        <v>0</v>
      </c>
      <c r="FYW54" s="5">
        <f>-IFERROR('4. NPV'!#REF!/'4. NPV'!FYX$8,0)</f>
        <v>0</v>
      </c>
      <c r="FYX54" s="5">
        <f>-IFERROR('4. NPV'!#REF!/'4. NPV'!FYY$8,0)</f>
        <v>0</v>
      </c>
      <c r="FYY54" s="5">
        <f>-IFERROR('4. NPV'!#REF!/'4. NPV'!FYZ$8,0)</f>
        <v>0</v>
      </c>
      <c r="FYZ54" s="5">
        <f>-IFERROR('4. NPV'!#REF!/'4. NPV'!FZA$8,0)</f>
        <v>0</v>
      </c>
      <c r="FZA54" s="5">
        <f>-IFERROR('4. NPV'!#REF!/'4. NPV'!FZB$8,0)</f>
        <v>0</v>
      </c>
      <c r="FZB54" s="5">
        <f>-IFERROR('4. NPV'!#REF!/'4. NPV'!FZC$8,0)</f>
        <v>0</v>
      </c>
      <c r="FZC54" s="5">
        <f>-IFERROR('4. NPV'!#REF!/'4. NPV'!FZD$8,0)</f>
        <v>0</v>
      </c>
      <c r="FZD54" s="5">
        <f>-IFERROR('4. NPV'!#REF!/'4. NPV'!FZE$8,0)</f>
        <v>0</v>
      </c>
      <c r="FZE54" s="5">
        <f>-IFERROR('4. NPV'!#REF!/'4. NPV'!FZF$8,0)</f>
        <v>0</v>
      </c>
      <c r="FZF54" s="5">
        <f>-IFERROR('4. NPV'!#REF!/'4. NPV'!FZG$8,0)</f>
        <v>0</v>
      </c>
      <c r="FZG54" s="5">
        <f>-IFERROR('4. NPV'!#REF!/'4. NPV'!FZH$8,0)</f>
        <v>0</v>
      </c>
      <c r="FZH54" s="5">
        <f>-IFERROR('4. NPV'!#REF!/'4. NPV'!FZI$8,0)</f>
        <v>0</v>
      </c>
      <c r="FZI54" s="5">
        <f>-IFERROR('4. NPV'!#REF!/'4. NPV'!FZJ$8,0)</f>
        <v>0</v>
      </c>
      <c r="FZJ54" s="5">
        <f>-IFERROR('4. NPV'!#REF!/'4. NPV'!FZK$8,0)</f>
        <v>0</v>
      </c>
      <c r="FZK54" s="5">
        <f>-IFERROR('4. NPV'!#REF!/'4. NPV'!FZL$8,0)</f>
        <v>0</v>
      </c>
      <c r="FZL54" s="5">
        <f>-IFERROR('4. NPV'!#REF!/'4. NPV'!FZM$8,0)</f>
        <v>0</v>
      </c>
      <c r="FZM54" s="5">
        <f>-IFERROR('4. NPV'!#REF!/'4. NPV'!FZN$8,0)</f>
        <v>0</v>
      </c>
      <c r="FZN54" s="5">
        <f>-IFERROR('4. NPV'!#REF!/'4. NPV'!FZO$8,0)</f>
        <v>0</v>
      </c>
      <c r="FZO54" s="5">
        <f>-IFERROR('4. NPV'!#REF!/'4. NPV'!FZP$8,0)</f>
        <v>0</v>
      </c>
      <c r="FZP54" s="5">
        <f>-IFERROR('4. NPV'!#REF!/'4. NPV'!FZQ$8,0)</f>
        <v>0</v>
      </c>
      <c r="FZQ54" s="5">
        <f>-IFERROR('4. NPV'!#REF!/'4. NPV'!FZR$8,0)</f>
        <v>0</v>
      </c>
      <c r="FZR54" s="5">
        <f>-IFERROR('4. NPV'!#REF!/'4. NPV'!FZS$8,0)</f>
        <v>0</v>
      </c>
      <c r="FZS54" s="5">
        <f>-IFERROR('4. NPV'!#REF!/'4. NPV'!FZT$8,0)</f>
        <v>0</v>
      </c>
      <c r="FZT54" s="5">
        <f>-IFERROR('4. NPV'!#REF!/'4. NPV'!FZU$8,0)</f>
        <v>0</v>
      </c>
      <c r="FZU54" s="5">
        <f>-IFERROR('4. NPV'!#REF!/'4. NPV'!FZV$8,0)</f>
        <v>0</v>
      </c>
      <c r="FZV54" s="5">
        <f>-IFERROR('4. NPV'!#REF!/'4. NPV'!FZW$8,0)</f>
        <v>0</v>
      </c>
      <c r="FZW54" s="5">
        <f>-IFERROR('4. NPV'!#REF!/'4. NPV'!FZX$8,0)</f>
        <v>0</v>
      </c>
      <c r="FZX54" s="5">
        <f>-IFERROR('4. NPV'!#REF!/'4. NPV'!FZY$8,0)</f>
        <v>0</v>
      </c>
      <c r="FZY54" s="5">
        <f>-IFERROR('4. NPV'!#REF!/'4. NPV'!FZZ$8,0)</f>
        <v>0</v>
      </c>
      <c r="FZZ54" s="5">
        <f>-IFERROR('4. NPV'!#REF!/'4. NPV'!GAA$8,0)</f>
        <v>0</v>
      </c>
      <c r="GAA54" s="5">
        <f>-IFERROR('4. NPV'!#REF!/'4. NPV'!GAB$8,0)</f>
        <v>0</v>
      </c>
      <c r="GAB54" s="5">
        <f>-IFERROR('4. NPV'!#REF!/'4. NPV'!GAC$8,0)</f>
        <v>0</v>
      </c>
      <c r="GAC54" s="5">
        <f>-IFERROR('4. NPV'!#REF!/'4. NPV'!GAD$8,0)</f>
        <v>0</v>
      </c>
      <c r="GAD54" s="5">
        <f>-IFERROR('4. NPV'!#REF!/'4. NPV'!GAE$8,0)</f>
        <v>0</v>
      </c>
      <c r="GAE54" s="5">
        <f>-IFERROR('4. NPV'!#REF!/'4. NPV'!GAF$8,0)</f>
        <v>0</v>
      </c>
      <c r="GAF54" s="5">
        <f>-IFERROR('4. NPV'!#REF!/'4. NPV'!GAG$8,0)</f>
        <v>0</v>
      </c>
      <c r="GAG54" s="5">
        <f>-IFERROR('4. NPV'!#REF!/'4. NPV'!GAH$8,0)</f>
        <v>0</v>
      </c>
      <c r="GAH54" s="5">
        <f>-IFERROR('4. NPV'!#REF!/'4. NPV'!GAI$8,0)</f>
        <v>0</v>
      </c>
      <c r="GAI54" s="5">
        <f>-IFERROR('4. NPV'!#REF!/'4. NPV'!GAJ$8,0)</f>
        <v>0</v>
      </c>
      <c r="GAJ54" s="5">
        <f>-IFERROR('4. NPV'!#REF!/'4. NPV'!GAK$8,0)</f>
        <v>0</v>
      </c>
      <c r="GAK54" s="5">
        <f>-IFERROR('4. NPV'!#REF!/'4. NPV'!GAL$8,0)</f>
        <v>0</v>
      </c>
      <c r="GAL54" s="5">
        <f>-IFERROR('4. NPV'!#REF!/'4. NPV'!GAM$8,0)</f>
        <v>0</v>
      </c>
      <c r="GAM54" s="5">
        <f>-IFERROR('4. NPV'!#REF!/'4. NPV'!GAN$8,0)</f>
        <v>0</v>
      </c>
      <c r="GAN54" s="5">
        <f>-IFERROR('4. NPV'!#REF!/'4. NPV'!GAO$8,0)</f>
        <v>0</v>
      </c>
      <c r="GAO54" s="5">
        <f>-IFERROR('4. NPV'!#REF!/'4. NPV'!GAP$8,0)</f>
        <v>0</v>
      </c>
      <c r="GAP54" s="5">
        <f>-IFERROR('4. NPV'!#REF!/'4. NPV'!GAQ$8,0)</f>
        <v>0</v>
      </c>
      <c r="GAQ54" s="5">
        <f>-IFERROR('4. NPV'!#REF!/'4. NPV'!GAR$8,0)</f>
        <v>0</v>
      </c>
      <c r="GAR54" s="5">
        <f>-IFERROR('4. NPV'!#REF!/'4. NPV'!GAS$8,0)</f>
        <v>0</v>
      </c>
      <c r="GAS54" s="5">
        <f>-IFERROR('4. NPV'!#REF!/'4. NPV'!GAT$8,0)</f>
        <v>0</v>
      </c>
      <c r="GAT54" s="5">
        <f>-IFERROR('4. NPV'!#REF!/'4. NPV'!GAU$8,0)</f>
        <v>0</v>
      </c>
      <c r="GAU54" s="5">
        <f>-IFERROR('4. NPV'!#REF!/'4. NPV'!GAV$8,0)</f>
        <v>0</v>
      </c>
      <c r="GAV54" s="5">
        <f>-IFERROR('4. NPV'!#REF!/'4. NPV'!GAW$8,0)</f>
        <v>0</v>
      </c>
      <c r="GAW54" s="5">
        <f>-IFERROR('4. NPV'!#REF!/'4. NPV'!GAX$8,0)</f>
        <v>0</v>
      </c>
      <c r="GAX54" s="5">
        <f>-IFERROR('4. NPV'!#REF!/'4. NPV'!GAY$8,0)</f>
        <v>0</v>
      </c>
      <c r="GAY54" s="5">
        <f>-IFERROR('4. NPV'!#REF!/'4. NPV'!GAZ$8,0)</f>
        <v>0</v>
      </c>
      <c r="GAZ54" s="5">
        <f>-IFERROR('4. NPV'!#REF!/'4. NPV'!GBA$8,0)</f>
        <v>0</v>
      </c>
      <c r="GBA54" s="5">
        <f>-IFERROR('4. NPV'!#REF!/'4. NPV'!GBB$8,0)</f>
        <v>0</v>
      </c>
      <c r="GBB54" s="5">
        <f>-IFERROR('4. NPV'!#REF!/'4. NPV'!GBC$8,0)</f>
        <v>0</v>
      </c>
      <c r="GBC54" s="5">
        <f>-IFERROR('4. NPV'!#REF!/'4. NPV'!GBD$8,0)</f>
        <v>0</v>
      </c>
      <c r="GBD54" s="5">
        <f>-IFERROR('4. NPV'!#REF!/'4. NPV'!GBE$8,0)</f>
        <v>0</v>
      </c>
      <c r="GBE54" s="5">
        <f>-IFERROR('4. NPV'!#REF!/'4. NPV'!GBF$8,0)</f>
        <v>0</v>
      </c>
      <c r="GBF54" s="5">
        <f>-IFERROR('4. NPV'!#REF!/'4. NPV'!GBG$8,0)</f>
        <v>0</v>
      </c>
      <c r="GBG54" s="5">
        <f>-IFERROR('4. NPV'!#REF!/'4. NPV'!GBH$8,0)</f>
        <v>0</v>
      </c>
      <c r="GBH54" s="5">
        <f>-IFERROR('4. NPV'!#REF!/'4. NPV'!GBI$8,0)</f>
        <v>0</v>
      </c>
      <c r="GBI54" s="5">
        <f>-IFERROR('4. NPV'!#REF!/'4. NPV'!GBJ$8,0)</f>
        <v>0</v>
      </c>
      <c r="GBJ54" s="5">
        <f>-IFERROR('4. NPV'!#REF!/'4. NPV'!GBK$8,0)</f>
        <v>0</v>
      </c>
      <c r="GBK54" s="5">
        <f>-IFERROR('4. NPV'!#REF!/'4. NPV'!GBL$8,0)</f>
        <v>0</v>
      </c>
      <c r="GBL54" s="5">
        <f>-IFERROR('4. NPV'!#REF!/'4. NPV'!GBM$8,0)</f>
        <v>0</v>
      </c>
      <c r="GBM54" s="5">
        <f>-IFERROR('4. NPV'!#REF!/'4. NPV'!GBN$8,0)</f>
        <v>0</v>
      </c>
      <c r="GBN54" s="5">
        <f>-IFERROR('4. NPV'!#REF!/'4. NPV'!GBO$8,0)</f>
        <v>0</v>
      </c>
      <c r="GBO54" s="5">
        <f>-IFERROR('4. NPV'!#REF!/'4. NPV'!GBP$8,0)</f>
        <v>0</v>
      </c>
      <c r="GBP54" s="5">
        <f>-IFERROR('4. NPV'!#REF!/'4. NPV'!GBQ$8,0)</f>
        <v>0</v>
      </c>
      <c r="GBQ54" s="5">
        <f>-IFERROR('4. NPV'!#REF!/'4. NPV'!GBR$8,0)</f>
        <v>0</v>
      </c>
      <c r="GBR54" s="5">
        <f>-IFERROR('4. NPV'!#REF!/'4. NPV'!GBS$8,0)</f>
        <v>0</v>
      </c>
      <c r="GBS54" s="5">
        <f>-IFERROR('4. NPV'!#REF!/'4. NPV'!GBT$8,0)</f>
        <v>0</v>
      </c>
      <c r="GBT54" s="5">
        <f>-IFERROR('4. NPV'!#REF!/'4. NPV'!GBU$8,0)</f>
        <v>0</v>
      </c>
      <c r="GBU54" s="5">
        <f>-IFERROR('4. NPV'!#REF!/'4. NPV'!GBV$8,0)</f>
        <v>0</v>
      </c>
      <c r="GBV54" s="5">
        <f>-IFERROR('4. NPV'!#REF!/'4. NPV'!GBW$8,0)</f>
        <v>0</v>
      </c>
      <c r="GBW54" s="5">
        <f>-IFERROR('4. NPV'!#REF!/'4. NPV'!GBX$8,0)</f>
        <v>0</v>
      </c>
      <c r="GBX54" s="5">
        <f>-IFERROR('4. NPV'!#REF!/'4. NPV'!GBY$8,0)</f>
        <v>0</v>
      </c>
      <c r="GBY54" s="5">
        <f>-IFERROR('4. NPV'!#REF!/'4. NPV'!GBZ$8,0)</f>
        <v>0</v>
      </c>
      <c r="GBZ54" s="5">
        <f>-IFERROR('4. NPV'!#REF!/'4. NPV'!GCA$8,0)</f>
        <v>0</v>
      </c>
      <c r="GCA54" s="5">
        <f>-IFERROR('4. NPV'!#REF!/'4. NPV'!GCB$8,0)</f>
        <v>0</v>
      </c>
      <c r="GCB54" s="5">
        <f>-IFERROR('4. NPV'!#REF!/'4. NPV'!GCC$8,0)</f>
        <v>0</v>
      </c>
      <c r="GCC54" s="5">
        <f>-IFERROR('4. NPV'!#REF!/'4. NPV'!GCD$8,0)</f>
        <v>0</v>
      </c>
      <c r="GCD54" s="5">
        <f>-IFERROR('4. NPV'!#REF!/'4. NPV'!GCE$8,0)</f>
        <v>0</v>
      </c>
      <c r="GCE54" s="5">
        <f>-IFERROR('4. NPV'!#REF!/'4. NPV'!GCF$8,0)</f>
        <v>0</v>
      </c>
      <c r="GCF54" s="5">
        <f>-IFERROR('4. NPV'!#REF!/'4. NPV'!GCG$8,0)</f>
        <v>0</v>
      </c>
      <c r="GCG54" s="5">
        <f>-IFERROR('4. NPV'!#REF!/'4. NPV'!GCH$8,0)</f>
        <v>0</v>
      </c>
      <c r="GCH54" s="5">
        <f>-IFERROR('4. NPV'!#REF!/'4. NPV'!GCI$8,0)</f>
        <v>0</v>
      </c>
      <c r="GCI54" s="5">
        <f>-IFERROR('4. NPV'!#REF!/'4. NPV'!GCJ$8,0)</f>
        <v>0</v>
      </c>
      <c r="GCJ54" s="5">
        <f>-IFERROR('4. NPV'!#REF!/'4. NPV'!GCK$8,0)</f>
        <v>0</v>
      </c>
      <c r="GCK54" s="5">
        <f>-IFERROR('4. NPV'!#REF!/'4. NPV'!GCL$8,0)</f>
        <v>0</v>
      </c>
      <c r="GCL54" s="5">
        <f>-IFERROR('4. NPV'!#REF!/'4. NPV'!GCM$8,0)</f>
        <v>0</v>
      </c>
      <c r="GCM54" s="5">
        <f>-IFERROR('4. NPV'!#REF!/'4. NPV'!GCN$8,0)</f>
        <v>0</v>
      </c>
      <c r="GCN54" s="5">
        <f>-IFERROR('4. NPV'!#REF!/'4. NPV'!GCO$8,0)</f>
        <v>0</v>
      </c>
      <c r="GCO54" s="5">
        <f>-IFERROR('4. NPV'!#REF!/'4. NPV'!GCP$8,0)</f>
        <v>0</v>
      </c>
      <c r="GCP54" s="5">
        <f>-IFERROR('4. NPV'!#REF!/'4. NPV'!GCQ$8,0)</f>
        <v>0</v>
      </c>
      <c r="GCQ54" s="5">
        <f>-IFERROR('4. NPV'!#REF!/'4. NPV'!GCR$8,0)</f>
        <v>0</v>
      </c>
      <c r="GCR54" s="5">
        <f>-IFERROR('4. NPV'!#REF!/'4. NPV'!GCS$8,0)</f>
        <v>0</v>
      </c>
      <c r="GCS54" s="5">
        <f>-IFERROR('4. NPV'!#REF!/'4. NPV'!GCT$8,0)</f>
        <v>0</v>
      </c>
      <c r="GCT54" s="5">
        <f>-IFERROR('4. NPV'!#REF!/'4. NPV'!GCU$8,0)</f>
        <v>0</v>
      </c>
      <c r="GCU54" s="5">
        <f>-IFERROR('4. NPV'!#REF!/'4. NPV'!GCV$8,0)</f>
        <v>0</v>
      </c>
      <c r="GCV54" s="5">
        <f>-IFERROR('4. NPV'!#REF!/'4. NPV'!GCW$8,0)</f>
        <v>0</v>
      </c>
      <c r="GCW54" s="5">
        <f>-IFERROR('4. NPV'!#REF!/'4. NPV'!GCX$8,0)</f>
        <v>0</v>
      </c>
      <c r="GCX54" s="5">
        <f>-IFERROR('4. NPV'!#REF!/'4. NPV'!GCY$8,0)</f>
        <v>0</v>
      </c>
      <c r="GCY54" s="5">
        <f>-IFERROR('4. NPV'!#REF!/'4. NPV'!GCZ$8,0)</f>
        <v>0</v>
      </c>
      <c r="GCZ54" s="5">
        <f>-IFERROR('4. NPV'!#REF!/'4. NPV'!GDA$8,0)</f>
        <v>0</v>
      </c>
      <c r="GDA54" s="5">
        <f>-IFERROR('4. NPV'!#REF!/'4. NPV'!GDB$8,0)</f>
        <v>0</v>
      </c>
      <c r="GDB54" s="5">
        <f>-IFERROR('4. NPV'!#REF!/'4. NPV'!GDC$8,0)</f>
        <v>0</v>
      </c>
      <c r="GDC54" s="5">
        <f>-IFERROR('4. NPV'!#REF!/'4. NPV'!GDD$8,0)</f>
        <v>0</v>
      </c>
      <c r="GDD54" s="5">
        <f>-IFERROR('4. NPV'!#REF!/'4. NPV'!GDE$8,0)</f>
        <v>0</v>
      </c>
      <c r="GDE54" s="5">
        <f>-IFERROR('4. NPV'!#REF!/'4. NPV'!GDF$8,0)</f>
        <v>0</v>
      </c>
      <c r="GDF54" s="5">
        <f>-IFERROR('4. NPV'!#REF!/'4. NPV'!GDG$8,0)</f>
        <v>0</v>
      </c>
      <c r="GDG54" s="5">
        <f>-IFERROR('4. NPV'!#REF!/'4. NPV'!GDH$8,0)</f>
        <v>0</v>
      </c>
      <c r="GDH54" s="5">
        <f>-IFERROR('4. NPV'!#REF!/'4. NPV'!GDI$8,0)</f>
        <v>0</v>
      </c>
      <c r="GDI54" s="5">
        <f>-IFERROR('4. NPV'!#REF!/'4. NPV'!GDJ$8,0)</f>
        <v>0</v>
      </c>
      <c r="GDJ54" s="5">
        <f>-IFERROR('4. NPV'!#REF!/'4. NPV'!GDK$8,0)</f>
        <v>0</v>
      </c>
      <c r="GDK54" s="5">
        <f>-IFERROR('4. NPV'!#REF!/'4. NPV'!GDL$8,0)</f>
        <v>0</v>
      </c>
      <c r="GDL54" s="5">
        <f>-IFERROR('4. NPV'!#REF!/'4. NPV'!GDM$8,0)</f>
        <v>0</v>
      </c>
      <c r="GDM54" s="5">
        <f>-IFERROR('4. NPV'!#REF!/'4. NPV'!GDN$8,0)</f>
        <v>0</v>
      </c>
      <c r="GDN54" s="5">
        <f>-IFERROR('4. NPV'!#REF!/'4. NPV'!GDO$8,0)</f>
        <v>0</v>
      </c>
      <c r="GDO54" s="5">
        <f>-IFERROR('4. NPV'!#REF!/'4. NPV'!GDP$8,0)</f>
        <v>0</v>
      </c>
      <c r="GDP54" s="5">
        <f>-IFERROR('4. NPV'!#REF!/'4. NPV'!GDQ$8,0)</f>
        <v>0</v>
      </c>
      <c r="GDQ54" s="5">
        <f>-IFERROR('4. NPV'!#REF!/'4. NPV'!GDR$8,0)</f>
        <v>0</v>
      </c>
      <c r="GDR54" s="5">
        <f>-IFERROR('4. NPV'!#REF!/'4. NPV'!GDS$8,0)</f>
        <v>0</v>
      </c>
      <c r="GDS54" s="5">
        <f>-IFERROR('4. NPV'!#REF!/'4. NPV'!GDT$8,0)</f>
        <v>0</v>
      </c>
      <c r="GDT54" s="5">
        <f>-IFERROR('4. NPV'!#REF!/'4. NPV'!GDU$8,0)</f>
        <v>0</v>
      </c>
      <c r="GDU54" s="5">
        <f>-IFERROR('4. NPV'!#REF!/'4. NPV'!GDV$8,0)</f>
        <v>0</v>
      </c>
      <c r="GDV54" s="5">
        <f>-IFERROR('4. NPV'!#REF!/'4. NPV'!GDW$8,0)</f>
        <v>0</v>
      </c>
      <c r="GDW54" s="5">
        <f>-IFERROR('4. NPV'!#REF!/'4. NPV'!GDX$8,0)</f>
        <v>0</v>
      </c>
      <c r="GDX54" s="5">
        <f>-IFERROR('4. NPV'!#REF!/'4. NPV'!GDY$8,0)</f>
        <v>0</v>
      </c>
      <c r="GDY54" s="5">
        <f>-IFERROR('4. NPV'!#REF!/'4. NPV'!GDZ$8,0)</f>
        <v>0</v>
      </c>
      <c r="GDZ54" s="5">
        <f>-IFERROR('4. NPV'!#REF!/'4. NPV'!GEA$8,0)</f>
        <v>0</v>
      </c>
      <c r="GEA54" s="5">
        <f>-IFERROR('4. NPV'!#REF!/'4. NPV'!GEB$8,0)</f>
        <v>0</v>
      </c>
      <c r="GEB54" s="5">
        <f>-IFERROR('4. NPV'!#REF!/'4. NPV'!GEC$8,0)</f>
        <v>0</v>
      </c>
      <c r="GEC54" s="5">
        <f>-IFERROR('4. NPV'!#REF!/'4. NPV'!GED$8,0)</f>
        <v>0</v>
      </c>
      <c r="GED54" s="5">
        <f>-IFERROR('4. NPV'!#REF!/'4. NPV'!GEE$8,0)</f>
        <v>0</v>
      </c>
      <c r="GEE54" s="5">
        <f>-IFERROR('4. NPV'!#REF!/'4. NPV'!GEF$8,0)</f>
        <v>0</v>
      </c>
      <c r="GEF54" s="5">
        <f>-IFERROR('4. NPV'!#REF!/'4. NPV'!GEG$8,0)</f>
        <v>0</v>
      </c>
      <c r="GEG54" s="5">
        <f>-IFERROR('4. NPV'!#REF!/'4. NPV'!GEH$8,0)</f>
        <v>0</v>
      </c>
      <c r="GEH54" s="5">
        <f>-IFERROR('4. NPV'!#REF!/'4. NPV'!GEI$8,0)</f>
        <v>0</v>
      </c>
      <c r="GEI54" s="5">
        <f>-IFERROR('4. NPV'!#REF!/'4. NPV'!GEJ$8,0)</f>
        <v>0</v>
      </c>
      <c r="GEJ54" s="5">
        <f>-IFERROR('4. NPV'!#REF!/'4. NPV'!GEK$8,0)</f>
        <v>0</v>
      </c>
      <c r="GEK54" s="5">
        <f>-IFERROR('4. NPV'!#REF!/'4. NPV'!GEL$8,0)</f>
        <v>0</v>
      </c>
      <c r="GEL54" s="5">
        <f>-IFERROR('4. NPV'!#REF!/'4. NPV'!GEM$8,0)</f>
        <v>0</v>
      </c>
      <c r="GEM54" s="5">
        <f>-IFERROR('4. NPV'!#REF!/'4. NPV'!GEN$8,0)</f>
        <v>0</v>
      </c>
      <c r="GEN54" s="5">
        <f>-IFERROR('4. NPV'!#REF!/'4. NPV'!GEO$8,0)</f>
        <v>0</v>
      </c>
      <c r="GEO54" s="5">
        <f>-IFERROR('4. NPV'!#REF!/'4. NPV'!GEP$8,0)</f>
        <v>0</v>
      </c>
      <c r="GEP54" s="5">
        <f>-IFERROR('4. NPV'!#REF!/'4. NPV'!GEQ$8,0)</f>
        <v>0</v>
      </c>
      <c r="GEQ54" s="5">
        <f>-IFERROR('4. NPV'!#REF!/'4. NPV'!GER$8,0)</f>
        <v>0</v>
      </c>
      <c r="GER54" s="5">
        <f>-IFERROR('4. NPV'!#REF!/'4. NPV'!GES$8,0)</f>
        <v>0</v>
      </c>
      <c r="GES54" s="5">
        <f>-IFERROR('4. NPV'!#REF!/'4. NPV'!GET$8,0)</f>
        <v>0</v>
      </c>
      <c r="GET54" s="5">
        <f>-IFERROR('4. NPV'!#REF!/'4. NPV'!GEU$8,0)</f>
        <v>0</v>
      </c>
      <c r="GEU54" s="5">
        <f>-IFERROR('4. NPV'!#REF!/'4. NPV'!GEV$8,0)</f>
        <v>0</v>
      </c>
      <c r="GEV54" s="5">
        <f>-IFERROR('4. NPV'!#REF!/'4. NPV'!GEW$8,0)</f>
        <v>0</v>
      </c>
      <c r="GEW54" s="5">
        <f>-IFERROR('4. NPV'!#REF!/'4. NPV'!GEX$8,0)</f>
        <v>0</v>
      </c>
      <c r="GEX54" s="5">
        <f>-IFERROR('4. NPV'!#REF!/'4. NPV'!GEY$8,0)</f>
        <v>0</v>
      </c>
      <c r="GEY54" s="5">
        <f>-IFERROR('4. NPV'!#REF!/'4. NPV'!GEZ$8,0)</f>
        <v>0</v>
      </c>
      <c r="GEZ54" s="5">
        <f>-IFERROR('4. NPV'!#REF!/'4. NPV'!GFA$8,0)</f>
        <v>0</v>
      </c>
      <c r="GFA54" s="5">
        <f>-IFERROR('4. NPV'!#REF!/'4. NPV'!GFB$8,0)</f>
        <v>0</v>
      </c>
      <c r="GFB54" s="5">
        <f>-IFERROR('4. NPV'!#REF!/'4. NPV'!GFC$8,0)</f>
        <v>0</v>
      </c>
      <c r="GFC54" s="5">
        <f>-IFERROR('4. NPV'!#REF!/'4. NPV'!GFD$8,0)</f>
        <v>0</v>
      </c>
      <c r="GFD54" s="5">
        <f>-IFERROR('4. NPV'!#REF!/'4. NPV'!GFE$8,0)</f>
        <v>0</v>
      </c>
      <c r="GFE54" s="5">
        <f>-IFERROR('4. NPV'!#REF!/'4. NPV'!GFF$8,0)</f>
        <v>0</v>
      </c>
      <c r="GFF54" s="5">
        <f>-IFERROR('4. NPV'!#REF!/'4. NPV'!GFG$8,0)</f>
        <v>0</v>
      </c>
      <c r="GFG54" s="5">
        <f>-IFERROR('4. NPV'!#REF!/'4. NPV'!GFH$8,0)</f>
        <v>0</v>
      </c>
      <c r="GFH54" s="5">
        <f>-IFERROR('4. NPV'!#REF!/'4. NPV'!GFI$8,0)</f>
        <v>0</v>
      </c>
      <c r="GFI54" s="5">
        <f>-IFERROR('4. NPV'!#REF!/'4. NPV'!GFJ$8,0)</f>
        <v>0</v>
      </c>
      <c r="GFJ54" s="5">
        <f>-IFERROR('4. NPV'!#REF!/'4. NPV'!GFK$8,0)</f>
        <v>0</v>
      </c>
      <c r="GFK54" s="5">
        <f>-IFERROR('4. NPV'!#REF!/'4. NPV'!GFL$8,0)</f>
        <v>0</v>
      </c>
      <c r="GFL54" s="5">
        <f>-IFERROR('4. NPV'!#REF!/'4. NPV'!GFM$8,0)</f>
        <v>0</v>
      </c>
      <c r="GFM54" s="5">
        <f>-IFERROR('4. NPV'!#REF!/'4. NPV'!GFN$8,0)</f>
        <v>0</v>
      </c>
      <c r="GFN54" s="5">
        <f>-IFERROR('4. NPV'!#REF!/'4. NPV'!GFO$8,0)</f>
        <v>0</v>
      </c>
      <c r="GFO54" s="5">
        <f>-IFERROR('4. NPV'!#REF!/'4. NPV'!GFP$8,0)</f>
        <v>0</v>
      </c>
      <c r="GFP54" s="5">
        <f>-IFERROR('4. NPV'!#REF!/'4. NPV'!GFQ$8,0)</f>
        <v>0</v>
      </c>
      <c r="GFQ54" s="5">
        <f>-IFERROR('4. NPV'!#REF!/'4. NPV'!GFR$8,0)</f>
        <v>0</v>
      </c>
      <c r="GFR54" s="5">
        <f>-IFERROR('4. NPV'!#REF!/'4. NPV'!GFS$8,0)</f>
        <v>0</v>
      </c>
      <c r="GFS54" s="5">
        <f>-IFERROR('4. NPV'!#REF!/'4. NPV'!GFT$8,0)</f>
        <v>0</v>
      </c>
      <c r="GFT54" s="5">
        <f>-IFERROR('4. NPV'!#REF!/'4. NPV'!GFU$8,0)</f>
        <v>0</v>
      </c>
      <c r="GFU54" s="5">
        <f>-IFERROR('4. NPV'!#REF!/'4. NPV'!GFV$8,0)</f>
        <v>0</v>
      </c>
      <c r="GFV54" s="5">
        <f>-IFERROR('4. NPV'!#REF!/'4. NPV'!GFW$8,0)</f>
        <v>0</v>
      </c>
      <c r="GFW54" s="5">
        <f>-IFERROR('4. NPV'!#REF!/'4. NPV'!GFX$8,0)</f>
        <v>0</v>
      </c>
      <c r="GFX54" s="5">
        <f>-IFERROR('4. NPV'!#REF!/'4. NPV'!GFY$8,0)</f>
        <v>0</v>
      </c>
      <c r="GFY54" s="5">
        <f>-IFERROR('4. NPV'!#REF!/'4. NPV'!GFZ$8,0)</f>
        <v>0</v>
      </c>
      <c r="GFZ54" s="5">
        <f>-IFERROR('4. NPV'!#REF!/'4. NPV'!GGA$8,0)</f>
        <v>0</v>
      </c>
      <c r="GGA54" s="5">
        <f>-IFERROR('4. NPV'!#REF!/'4. NPV'!GGB$8,0)</f>
        <v>0</v>
      </c>
      <c r="GGB54" s="5">
        <f>-IFERROR('4. NPV'!#REF!/'4. NPV'!GGC$8,0)</f>
        <v>0</v>
      </c>
      <c r="GGC54" s="5">
        <f>-IFERROR('4. NPV'!#REF!/'4. NPV'!GGD$8,0)</f>
        <v>0</v>
      </c>
      <c r="GGD54" s="5">
        <f>-IFERROR('4. NPV'!#REF!/'4. NPV'!GGE$8,0)</f>
        <v>0</v>
      </c>
      <c r="GGE54" s="5">
        <f>-IFERROR('4. NPV'!#REF!/'4. NPV'!GGF$8,0)</f>
        <v>0</v>
      </c>
      <c r="GGF54" s="5">
        <f>-IFERROR('4. NPV'!#REF!/'4. NPV'!GGG$8,0)</f>
        <v>0</v>
      </c>
      <c r="GGG54" s="5">
        <f>-IFERROR('4. NPV'!#REF!/'4. NPV'!GGH$8,0)</f>
        <v>0</v>
      </c>
      <c r="GGH54" s="5">
        <f>-IFERROR('4. NPV'!#REF!/'4. NPV'!GGI$8,0)</f>
        <v>0</v>
      </c>
      <c r="GGI54" s="5">
        <f>-IFERROR('4. NPV'!#REF!/'4. NPV'!GGJ$8,0)</f>
        <v>0</v>
      </c>
      <c r="GGJ54" s="5">
        <f>-IFERROR('4. NPV'!#REF!/'4. NPV'!GGK$8,0)</f>
        <v>0</v>
      </c>
      <c r="GGK54" s="5">
        <f>-IFERROR('4. NPV'!#REF!/'4. NPV'!GGL$8,0)</f>
        <v>0</v>
      </c>
      <c r="GGL54" s="5">
        <f>-IFERROR('4. NPV'!#REF!/'4. NPV'!GGM$8,0)</f>
        <v>0</v>
      </c>
      <c r="GGM54" s="5">
        <f>-IFERROR('4. NPV'!#REF!/'4. NPV'!GGN$8,0)</f>
        <v>0</v>
      </c>
      <c r="GGN54" s="5">
        <f>-IFERROR('4. NPV'!#REF!/'4. NPV'!GGO$8,0)</f>
        <v>0</v>
      </c>
      <c r="GGO54" s="5">
        <f>-IFERROR('4. NPV'!#REF!/'4. NPV'!GGP$8,0)</f>
        <v>0</v>
      </c>
      <c r="GGP54" s="5">
        <f>-IFERROR('4. NPV'!#REF!/'4. NPV'!GGQ$8,0)</f>
        <v>0</v>
      </c>
      <c r="GGQ54" s="5">
        <f>-IFERROR('4. NPV'!#REF!/'4. NPV'!GGR$8,0)</f>
        <v>0</v>
      </c>
      <c r="GGR54" s="5">
        <f>-IFERROR('4. NPV'!#REF!/'4. NPV'!GGS$8,0)</f>
        <v>0</v>
      </c>
      <c r="GGS54" s="5">
        <f>-IFERROR('4. NPV'!#REF!/'4. NPV'!GGT$8,0)</f>
        <v>0</v>
      </c>
      <c r="GGT54" s="5">
        <f>-IFERROR('4. NPV'!#REF!/'4. NPV'!GGU$8,0)</f>
        <v>0</v>
      </c>
      <c r="GGU54" s="5">
        <f>-IFERROR('4. NPV'!#REF!/'4. NPV'!GGV$8,0)</f>
        <v>0</v>
      </c>
      <c r="GGV54" s="5">
        <f>-IFERROR('4. NPV'!#REF!/'4. NPV'!GGW$8,0)</f>
        <v>0</v>
      </c>
      <c r="GGW54" s="5">
        <f>-IFERROR('4. NPV'!#REF!/'4. NPV'!GGX$8,0)</f>
        <v>0</v>
      </c>
      <c r="GGX54" s="5">
        <f>-IFERROR('4. NPV'!#REF!/'4. NPV'!GGY$8,0)</f>
        <v>0</v>
      </c>
      <c r="GGY54" s="5">
        <f>-IFERROR('4. NPV'!#REF!/'4. NPV'!GGZ$8,0)</f>
        <v>0</v>
      </c>
      <c r="GGZ54" s="5">
        <f>-IFERROR('4. NPV'!#REF!/'4. NPV'!GHA$8,0)</f>
        <v>0</v>
      </c>
      <c r="GHA54" s="5">
        <f>-IFERROR('4. NPV'!#REF!/'4. NPV'!GHB$8,0)</f>
        <v>0</v>
      </c>
      <c r="GHB54" s="5">
        <f>-IFERROR('4. NPV'!#REF!/'4. NPV'!GHC$8,0)</f>
        <v>0</v>
      </c>
      <c r="GHC54" s="5">
        <f>-IFERROR('4. NPV'!#REF!/'4. NPV'!GHD$8,0)</f>
        <v>0</v>
      </c>
      <c r="GHD54" s="5">
        <f>-IFERROR('4. NPV'!#REF!/'4. NPV'!GHE$8,0)</f>
        <v>0</v>
      </c>
      <c r="GHE54" s="5">
        <f>-IFERROR('4. NPV'!#REF!/'4. NPV'!GHF$8,0)</f>
        <v>0</v>
      </c>
      <c r="GHF54" s="5">
        <f>-IFERROR('4. NPV'!#REF!/'4. NPV'!GHG$8,0)</f>
        <v>0</v>
      </c>
      <c r="GHG54" s="5">
        <f>-IFERROR('4. NPV'!#REF!/'4. NPV'!GHH$8,0)</f>
        <v>0</v>
      </c>
      <c r="GHH54" s="5">
        <f>-IFERROR('4. NPV'!#REF!/'4. NPV'!GHI$8,0)</f>
        <v>0</v>
      </c>
      <c r="GHI54" s="5">
        <f>-IFERROR('4. NPV'!#REF!/'4. NPV'!GHJ$8,0)</f>
        <v>0</v>
      </c>
      <c r="GHJ54" s="5">
        <f>-IFERROR('4. NPV'!#REF!/'4. NPV'!GHK$8,0)</f>
        <v>0</v>
      </c>
      <c r="GHK54" s="5">
        <f>-IFERROR('4. NPV'!#REF!/'4. NPV'!GHL$8,0)</f>
        <v>0</v>
      </c>
      <c r="GHL54" s="5">
        <f>-IFERROR('4. NPV'!#REF!/'4. NPV'!GHM$8,0)</f>
        <v>0</v>
      </c>
      <c r="GHM54" s="5">
        <f>-IFERROR('4. NPV'!#REF!/'4. NPV'!GHN$8,0)</f>
        <v>0</v>
      </c>
      <c r="GHN54" s="5">
        <f>-IFERROR('4. NPV'!#REF!/'4. NPV'!GHO$8,0)</f>
        <v>0</v>
      </c>
      <c r="GHO54" s="5">
        <f>-IFERROR('4. NPV'!#REF!/'4. NPV'!GHP$8,0)</f>
        <v>0</v>
      </c>
      <c r="GHP54" s="5">
        <f>-IFERROR('4. NPV'!#REF!/'4. NPV'!GHQ$8,0)</f>
        <v>0</v>
      </c>
      <c r="GHQ54" s="5">
        <f>-IFERROR('4. NPV'!#REF!/'4. NPV'!GHR$8,0)</f>
        <v>0</v>
      </c>
      <c r="GHR54" s="5">
        <f>-IFERROR('4. NPV'!#REF!/'4. NPV'!GHS$8,0)</f>
        <v>0</v>
      </c>
      <c r="GHS54" s="5">
        <f>-IFERROR('4. NPV'!#REF!/'4. NPV'!GHT$8,0)</f>
        <v>0</v>
      </c>
      <c r="GHT54" s="5">
        <f>-IFERROR('4. NPV'!#REF!/'4. NPV'!GHU$8,0)</f>
        <v>0</v>
      </c>
      <c r="GHU54" s="5">
        <f>-IFERROR('4. NPV'!#REF!/'4. NPV'!GHV$8,0)</f>
        <v>0</v>
      </c>
      <c r="GHV54" s="5">
        <f>-IFERROR('4. NPV'!#REF!/'4. NPV'!GHW$8,0)</f>
        <v>0</v>
      </c>
      <c r="GHW54" s="5">
        <f>-IFERROR('4. NPV'!#REF!/'4. NPV'!GHX$8,0)</f>
        <v>0</v>
      </c>
      <c r="GHX54" s="5">
        <f>-IFERROR('4. NPV'!#REF!/'4. NPV'!GHY$8,0)</f>
        <v>0</v>
      </c>
      <c r="GHY54" s="5">
        <f>-IFERROR('4. NPV'!#REF!/'4. NPV'!GHZ$8,0)</f>
        <v>0</v>
      </c>
      <c r="GHZ54" s="5">
        <f>-IFERROR('4. NPV'!#REF!/'4. NPV'!GIA$8,0)</f>
        <v>0</v>
      </c>
      <c r="GIA54" s="5">
        <f>-IFERROR('4. NPV'!#REF!/'4. NPV'!GIB$8,0)</f>
        <v>0</v>
      </c>
      <c r="GIB54" s="5">
        <f>-IFERROR('4. NPV'!#REF!/'4. NPV'!GIC$8,0)</f>
        <v>0</v>
      </c>
      <c r="GIC54" s="5">
        <f>-IFERROR('4. NPV'!#REF!/'4. NPV'!GID$8,0)</f>
        <v>0</v>
      </c>
      <c r="GID54" s="5">
        <f>-IFERROR('4. NPV'!#REF!/'4. NPV'!GIE$8,0)</f>
        <v>0</v>
      </c>
      <c r="GIE54" s="5">
        <f>-IFERROR('4. NPV'!#REF!/'4. NPV'!GIF$8,0)</f>
        <v>0</v>
      </c>
      <c r="GIF54" s="5">
        <f>-IFERROR('4. NPV'!#REF!/'4. NPV'!GIG$8,0)</f>
        <v>0</v>
      </c>
      <c r="GIG54" s="5">
        <f>-IFERROR('4. NPV'!#REF!/'4. NPV'!GIH$8,0)</f>
        <v>0</v>
      </c>
      <c r="GIH54" s="5">
        <f>-IFERROR('4. NPV'!#REF!/'4. NPV'!GII$8,0)</f>
        <v>0</v>
      </c>
      <c r="GII54" s="5">
        <f>-IFERROR('4. NPV'!#REF!/'4. NPV'!GIJ$8,0)</f>
        <v>0</v>
      </c>
      <c r="GIJ54" s="5">
        <f>-IFERROR('4. NPV'!#REF!/'4. NPV'!GIK$8,0)</f>
        <v>0</v>
      </c>
      <c r="GIK54" s="5">
        <f>-IFERROR('4. NPV'!#REF!/'4. NPV'!GIL$8,0)</f>
        <v>0</v>
      </c>
      <c r="GIL54" s="5">
        <f>-IFERROR('4. NPV'!#REF!/'4. NPV'!GIM$8,0)</f>
        <v>0</v>
      </c>
      <c r="GIM54" s="5">
        <f>-IFERROR('4. NPV'!#REF!/'4. NPV'!GIN$8,0)</f>
        <v>0</v>
      </c>
      <c r="GIN54" s="5">
        <f>-IFERROR('4. NPV'!#REF!/'4. NPV'!GIO$8,0)</f>
        <v>0</v>
      </c>
      <c r="GIO54" s="5">
        <f>-IFERROR('4. NPV'!#REF!/'4. NPV'!GIP$8,0)</f>
        <v>0</v>
      </c>
      <c r="GIP54" s="5">
        <f>-IFERROR('4. NPV'!#REF!/'4. NPV'!GIQ$8,0)</f>
        <v>0</v>
      </c>
      <c r="GIQ54" s="5">
        <f>-IFERROR('4. NPV'!#REF!/'4. NPV'!GIR$8,0)</f>
        <v>0</v>
      </c>
      <c r="GIR54" s="5">
        <f>-IFERROR('4. NPV'!#REF!/'4. NPV'!GIS$8,0)</f>
        <v>0</v>
      </c>
      <c r="GIS54" s="5">
        <f>-IFERROR('4. NPV'!#REF!/'4. NPV'!GIT$8,0)</f>
        <v>0</v>
      </c>
      <c r="GIT54" s="5">
        <f>-IFERROR('4. NPV'!#REF!/'4. NPV'!GIU$8,0)</f>
        <v>0</v>
      </c>
      <c r="GIU54" s="5">
        <f>-IFERROR('4. NPV'!#REF!/'4. NPV'!GIV$8,0)</f>
        <v>0</v>
      </c>
      <c r="GIV54" s="5">
        <f>-IFERROR('4. NPV'!#REF!/'4. NPV'!GIW$8,0)</f>
        <v>0</v>
      </c>
      <c r="GIW54" s="5">
        <f>-IFERROR('4. NPV'!#REF!/'4. NPV'!GIX$8,0)</f>
        <v>0</v>
      </c>
      <c r="GIX54" s="5">
        <f>-IFERROR('4. NPV'!#REF!/'4. NPV'!GIY$8,0)</f>
        <v>0</v>
      </c>
      <c r="GIY54" s="5">
        <f>-IFERROR('4. NPV'!#REF!/'4. NPV'!GIZ$8,0)</f>
        <v>0</v>
      </c>
      <c r="GIZ54" s="5">
        <f>-IFERROR('4. NPV'!#REF!/'4. NPV'!GJA$8,0)</f>
        <v>0</v>
      </c>
      <c r="GJA54" s="5">
        <f>-IFERROR('4. NPV'!#REF!/'4. NPV'!GJB$8,0)</f>
        <v>0</v>
      </c>
      <c r="GJB54" s="5">
        <f>-IFERROR('4. NPV'!#REF!/'4. NPV'!GJC$8,0)</f>
        <v>0</v>
      </c>
      <c r="GJC54" s="5">
        <f>-IFERROR('4. NPV'!#REF!/'4. NPV'!GJD$8,0)</f>
        <v>0</v>
      </c>
      <c r="GJD54" s="5">
        <f>-IFERROR('4. NPV'!#REF!/'4. NPV'!GJE$8,0)</f>
        <v>0</v>
      </c>
      <c r="GJE54" s="5">
        <f>-IFERROR('4. NPV'!#REF!/'4. NPV'!GJF$8,0)</f>
        <v>0</v>
      </c>
      <c r="GJF54" s="5">
        <f>-IFERROR('4. NPV'!#REF!/'4. NPV'!GJG$8,0)</f>
        <v>0</v>
      </c>
      <c r="GJG54" s="5">
        <f>-IFERROR('4. NPV'!#REF!/'4. NPV'!GJH$8,0)</f>
        <v>0</v>
      </c>
      <c r="GJH54" s="5">
        <f>-IFERROR('4. NPV'!#REF!/'4. NPV'!GJI$8,0)</f>
        <v>0</v>
      </c>
      <c r="GJI54" s="5">
        <f>-IFERROR('4. NPV'!#REF!/'4. NPV'!GJJ$8,0)</f>
        <v>0</v>
      </c>
      <c r="GJJ54" s="5">
        <f>-IFERROR('4. NPV'!#REF!/'4. NPV'!GJK$8,0)</f>
        <v>0</v>
      </c>
      <c r="GJK54" s="5">
        <f>-IFERROR('4. NPV'!#REF!/'4. NPV'!GJL$8,0)</f>
        <v>0</v>
      </c>
      <c r="GJL54" s="5">
        <f>-IFERROR('4. NPV'!#REF!/'4. NPV'!GJM$8,0)</f>
        <v>0</v>
      </c>
      <c r="GJM54" s="5">
        <f>-IFERROR('4. NPV'!#REF!/'4. NPV'!GJN$8,0)</f>
        <v>0</v>
      </c>
      <c r="GJN54" s="5">
        <f>-IFERROR('4. NPV'!#REF!/'4. NPV'!GJO$8,0)</f>
        <v>0</v>
      </c>
      <c r="GJO54" s="5">
        <f>-IFERROR('4. NPV'!#REF!/'4. NPV'!GJP$8,0)</f>
        <v>0</v>
      </c>
      <c r="GJP54" s="5">
        <f>-IFERROR('4. NPV'!#REF!/'4. NPV'!GJQ$8,0)</f>
        <v>0</v>
      </c>
      <c r="GJQ54" s="5">
        <f>-IFERROR('4. NPV'!#REF!/'4. NPV'!GJR$8,0)</f>
        <v>0</v>
      </c>
      <c r="GJR54" s="5">
        <f>-IFERROR('4. NPV'!#REF!/'4. NPV'!GJS$8,0)</f>
        <v>0</v>
      </c>
      <c r="GJS54" s="5">
        <f>-IFERROR('4. NPV'!#REF!/'4. NPV'!GJT$8,0)</f>
        <v>0</v>
      </c>
      <c r="GJT54" s="5">
        <f>-IFERROR('4. NPV'!#REF!/'4. NPV'!GJU$8,0)</f>
        <v>0</v>
      </c>
      <c r="GJU54" s="5">
        <f>-IFERROR('4. NPV'!#REF!/'4. NPV'!GJV$8,0)</f>
        <v>0</v>
      </c>
      <c r="GJV54" s="5">
        <f>-IFERROR('4. NPV'!#REF!/'4. NPV'!GJW$8,0)</f>
        <v>0</v>
      </c>
      <c r="GJW54" s="5">
        <f>-IFERROR('4. NPV'!#REF!/'4. NPV'!GJX$8,0)</f>
        <v>0</v>
      </c>
      <c r="GJX54" s="5">
        <f>-IFERROR('4. NPV'!#REF!/'4. NPV'!GJY$8,0)</f>
        <v>0</v>
      </c>
      <c r="GJY54" s="5">
        <f>-IFERROR('4. NPV'!#REF!/'4. NPV'!GJZ$8,0)</f>
        <v>0</v>
      </c>
      <c r="GJZ54" s="5">
        <f>-IFERROR('4. NPV'!#REF!/'4. NPV'!GKA$8,0)</f>
        <v>0</v>
      </c>
      <c r="GKA54" s="5">
        <f>-IFERROR('4. NPV'!#REF!/'4. NPV'!GKB$8,0)</f>
        <v>0</v>
      </c>
      <c r="GKB54" s="5">
        <f>-IFERROR('4. NPV'!#REF!/'4. NPV'!GKC$8,0)</f>
        <v>0</v>
      </c>
      <c r="GKC54" s="5">
        <f>-IFERROR('4. NPV'!#REF!/'4. NPV'!GKD$8,0)</f>
        <v>0</v>
      </c>
      <c r="GKD54" s="5">
        <f>-IFERROR('4. NPV'!#REF!/'4. NPV'!GKE$8,0)</f>
        <v>0</v>
      </c>
      <c r="GKE54" s="5">
        <f>-IFERROR('4. NPV'!#REF!/'4. NPV'!GKF$8,0)</f>
        <v>0</v>
      </c>
      <c r="GKF54" s="5">
        <f>-IFERROR('4. NPV'!#REF!/'4. NPV'!GKG$8,0)</f>
        <v>0</v>
      </c>
      <c r="GKG54" s="5">
        <f>-IFERROR('4. NPV'!#REF!/'4. NPV'!GKH$8,0)</f>
        <v>0</v>
      </c>
      <c r="GKH54" s="5">
        <f>-IFERROR('4. NPV'!#REF!/'4. NPV'!GKI$8,0)</f>
        <v>0</v>
      </c>
      <c r="GKI54" s="5">
        <f>-IFERROR('4. NPV'!#REF!/'4. NPV'!GKJ$8,0)</f>
        <v>0</v>
      </c>
      <c r="GKJ54" s="5">
        <f>-IFERROR('4. NPV'!#REF!/'4. NPV'!GKK$8,0)</f>
        <v>0</v>
      </c>
      <c r="GKK54" s="5">
        <f>-IFERROR('4. NPV'!#REF!/'4. NPV'!GKL$8,0)</f>
        <v>0</v>
      </c>
      <c r="GKL54" s="5">
        <f>-IFERROR('4. NPV'!#REF!/'4. NPV'!GKM$8,0)</f>
        <v>0</v>
      </c>
      <c r="GKM54" s="5">
        <f>-IFERROR('4. NPV'!#REF!/'4. NPV'!GKN$8,0)</f>
        <v>0</v>
      </c>
      <c r="GKN54" s="5">
        <f>-IFERROR('4. NPV'!#REF!/'4. NPV'!GKO$8,0)</f>
        <v>0</v>
      </c>
      <c r="GKO54" s="5">
        <f>-IFERROR('4. NPV'!#REF!/'4. NPV'!GKP$8,0)</f>
        <v>0</v>
      </c>
      <c r="GKP54" s="5">
        <f>-IFERROR('4. NPV'!#REF!/'4. NPV'!GKQ$8,0)</f>
        <v>0</v>
      </c>
      <c r="GKQ54" s="5">
        <f>-IFERROR('4. NPV'!#REF!/'4. NPV'!GKR$8,0)</f>
        <v>0</v>
      </c>
      <c r="GKR54" s="5">
        <f>-IFERROR('4. NPV'!#REF!/'4. NPV'!GKS$8,0)</f>
        <v>0</v>
      </c>
      <c r="GKS54" s="5">
        <f>-IFERROR('4. NPV'!#REF!/'4. NPV'!GKT$8,0)</f>
        <v>0</v>
      </c>
      <c r="GKT54" s="5">
        <f>-IFERROR('4. NPV'!#REF!/'4. NPV'!GKU$8,0)</f>
        <v>0</v>
      </c>
      <c r="GKU54" s="5">
        <f>-IFERROR('4. NPV'!#REF!/'4. NPV'!GKV$8,0)</f>
        <v>0</v>
      </c>
      <c r="GKV54" s="5">
        <f>-IFERROR('4. NPV'!#REF!/'4. NPV'!GKW$8,0)</f>
        <v>0</v>
      </c>
      <c r="GKW54" s="5">
        <f>-IFERROR('4. NPV'!#REF!/'4. NPV'!GKX$8,0)</f>
        <v>0</v>
      </c>
      <c r="GKX54" s="5">
        <f>-IFERROR('4. NPV'!#REF!/'4. NPV'!GKY$8,0)</f>
        <v>0</v>
      </c>
      <c r="GKY54" s="5">
        <f>-IFERROR('4. NPV'!#REF!/'4. NPV'!GKZ$8,0)</f>
        <v>0</v>
      </c>
      <c r="GKZ54" s="5">
        <f>-IFERROR('4. NPV'!#REF!/'4. NPV'!GLA$8,0)</f>
        <v>0</v>
      </c>
      <c r="GLA54" s="5">
        <f>-IFERROR('4. NPV'!#REF!/'4. NPV'!GLB$8,0)</f>
        <v>0</v>
      </c>
      <c r="GLB54" s="5">
        <f>-IFERROR('4. NPV'!#REF!/'4. NPV'!GLC$8,0)</f>
        <v>0</v>
      </c>
      <c r="GLC54" s="5">
        <f>-IFERROR('4. NPV'!#REF!/'4. NPV'!GLD$8,0)</f>
        <v>0</v>
      </c>
      <c r="GLD54" s="5">
        <f>-IFERROR('4. NPV'!#REF!/'4. NPV'!GLE$8,0)</f>
        <v>0</v>
      </c>
      <c r="GLE54" s="5">
        <f>-IFERROR('4. NPV'!#REF!/'4. NPV'!GLF$8,0)</f>
        <v>0</v>
      </c>
      <c r="GLF54" s="5">
        <f>-IFERROR('4. NPV'!#REF!/'4. NPV'!GLG$8,0)</f>
        <v>0</v>
      </c>
      <c r="GLG54" s="5">
        <f>-IFERROR('4. NPV'!#REF!/'4. NPV'!GLH$8,0)</f>
        <v>0</v>
      </c>
      <c r="GLH54" s="5">
        <f>-IFERROR('4. NPV'!#REF!/'4. NPV'!GLI$8,0)</f>
        <v>0</v>
      </c>
      <c r="GLI54" s="5">
        <f>-IFERROR('4. NPV'!#REF!/'4. NPV'!GLJ$8,0)</f>
        <v>0</v>
      </c>
      <c r="GLJ54" s="5">
        <f>-IFERROR('4. NPV'!#REF!/'4. NPV'!GLK$8,0)</f>
        <v>0</v>
      </c>
      <c r="GLK54" s="5">
        <f>-IFERROR('4. NPV'!#REF!/'4. NPV'!GLL$8,0)</f>
        <v>0</v>
      </c>
      <c r="GLL54" s="5">
        <f>-IFERROR('4. NPV'!#REF!/'4. NPV'!GLM$8,0)</f>
        <v>0</v>
      </c>
      <c r="GLM54" s="5">
        <f>-IFERROR('4. NPV'!#REF!/'4. NPV'!GLN$8,0)</f>
        <v>0</v>
      </c>
      <c r="GLN54" s="5">
        <f>-IFERROR('4. NPV'!#REF!/'4. NPV'!GLO$8,0)</f>
        <v>0</v>
      </c>
      <c r="GLO54" s="5">
        <f>-IFERROR('4. NPV'!#REF!/'4. NPV'!GLP$8,0)</f>
        <v>0</v>
      </c>
      <c r="GLP54" s="5">
        <f>-IFERROR('4. NPV'!#REF!/'4. NPV'!GLQ$8,0)</f>
        <v>0</v>
      </c>
      <c r="GLQ54" s="5">
        <f>-IFERROR('4. NPV'!#REF!/'4. NPV'!GLR$8,0)</f>
        <v>0</v>
      </c>
      <c r="GLR54" s="5">
        <f>-IFERROR('4. NPV'!#REF!/'4. NPV'!GLS$8,0)</f>
        <v>0</v>
      </c>
      <c r="GLS54" s="5">
        <f>-IFERROR('4. NPV'!#REF!/'4. NPV'!GLT$8,0)</f>
        <v>0</v>
      </c>
      <c r="GLT54" s="5">
        <f>-IFERROR('4. NPV'!#REF!/'4. NPV'!GLU$8,0)</f>
        <v>0</v>
      </c>
      <c r="GLU54" s="5">
        <f>-IFERROR('4. NPV'!#REF!/'4. NPV'!GLV$8,0)</f>
        <v>0</v>
      </c>
      <c r="GLV54" s="5">
        <f>-IFERROR('4. NPV'!#REF!/'4. NPV'!GLW$8,0)</f>
        <v>0</v>
      </c>
      <c r="GLW54" s="5">
        <f>-IFERROR('4. NPV'!#REF!/'4. NPV'!GLX$8,0)</f>
        <v>0</v>
      </c>
      <c r="GLX54" s="5">
        <f>-IFERROR('4. NPV'!#REF!/'4. NPV'!GLY$8,0)</f>
        <v>0</v>
      </c>
      <c r="GLY54" s="5">
        <f>-IFERROR('4. NPV'!#REF!/'4. NPV'!GLZ$8,0)</f>
        <v>0</v>
      </c>
      <c r="GLZ54" s="5">
        <f>-IFERROR('4. NPV'!#REF!/'4. NPV'!GMA$8,0)</f>
        <v>0</v>
      </c>
      <c r="GMA54" s="5">
        <f>-IFERROR('4. NPV'!#REF!/'4. NPV'!GMB$8,0)</f>
        <v>0</v>
      </c>
      <c r="GMB54" s="5">
        <f>-IFERROR('4. NPV'!#REF!/'4. NPV'!GMC$8,0)</f>
        <v>0</v>
      </c>
      <c r="GMC54" s="5">
        <f>-IFERROR('4. NPV'!#REF!/'4. NPV'!GMD$8,0)</f>
        <v>0</v>
      </c>
      <c r="GMD54" s="5">
        <f>-IFERROR('4. NPV'!#REF!/'4. NPV'!GME$8,0)</f>
        <v>0</v>
      </c>
      <c r="GME54" s="5">
        <f>-IFERROR('4. NPV'!#REF!/'4. NPV'!GMF$8,0)</f>
        <v>0</v>
      </c>
      <c r="GMF54" s="5">
        <f>-IFERROR('4. NPV'!#REF!/'4. NPV'!GMG$8,0)</f>
        <v>0</v>
      </c>
      <c r="GMG54" s="5">
        <f>-IFERROR('4. NPV'!#REF!/'4. NPV'!GMH$8,0)</f>
        <v>0</v>
      </c>
      <c r="GMH54" s="5">
        <f>-IFERROR('4. NPV'!#REF!/'4. NPV'!GMI$8,0)</f>
        <v>0</v>
      </c>
      <c r="GMI54" s="5">
        <f>-IFERROR('4. NPV'!#REF!/'4. NPV'!GMJ$8,0)</f>
        <v>0</v>
      </c>
      <c r="GMJ54" s="5">
        <f>-IFERROR('4. NPV'!#REF!/'4. NPV'!GMK$8,0)</f>
        <v>0</v>
      </c>
      <c r="GMK54" s="5">
        <f>-IFERROR('4. NPV'!#REF!/'4. NPV'!GML$8,0)</f>
        <v>0</v>
      </c>
      <c r="GML54" s="5">
        <f>-IFERROR('4. NPV'!#REF!/'4. NPV'!GMM$8,0)</f>
        <v>0</v>
      </c>
      <c r="GMM54" s="5">
        <f>-IFERROR('4. NPV'!#REF!/'4. NPV'!GMN$8,0)</f>
        <v>0</v>
      </c>
      <c r="GMN54" s="5">
        <f>-IFERROR('4. NPV'!#REF!/'4. NPV'!GMO$8,0)</f>
        <v>0</v>
      </c>
      <c r="GMO54" s="5">
        <f>-IFERROR('4. NPV'!#REF!/'4. NPV'!GMP$8,0)</f>
        <v>0</v>
      </c>
      <c r="GMP54" s="5">
        <f>-IFERROR('4. NPV'!#REF!/'4. NPV'!GMQ$8,0)</f>
        <v>0</v>
      </c>
      <c r="GMQ54" s="5">
        <f>-IFERROR('4. NPV'!#REF!/'4. NPV'!GMR$8,0)</f>
        <v>0</v>
      </c>
      <c r="GMR54" s="5">
        <f>-IFERROR('4. NPV'!#REF!/'4. NPV'!GMS$8,0)</f>
        <v>0</v>
      </c>
      <c r="GMS54" s="5">
        <f>-IFERROR('4. NPV'!#REF!/'4. NPV'!GMT$8,0)</f>
        <v>0</v>
      </c>
      <c r="GMT54" s="5">
        <f>-IFERROR('4. NPV'!#REF!/'4. NPV'!GMU$8,0)</f>
        <v>0</v>
      </c>
      <c r="GMU54" s="5">
        <f>-IFERROR('4. NPV'!#REF!/'4. NPV'!GMV$8,0)</f>
        <v>0</v>
      </c>
      <c r="GMV54" s="5">
        <f>-IFERROR('4. NPV'!#REF!/'4. NPV'!GMW$8,0)</f>
        <v>0</v>
      </c>
      <c r="GMW54" s="5">
        <f>-IFERROR('4. NPV'!#REF!/'4. NPV'!GMX$8,0)</f>
        <v>0</v>
      </c>
      <c r="GMX54" s="5">
        <f>-IFERROR('4. NPV'!#REF!/'4. NPV'!GMY$8,0)</f>
        <v>0</v>
      </c>
      <c r="GMY54" s="5">
        <f>-IFERROR('4. NPV'!#REF!/'4. NPV'!GMZ$8,0)</f>
        <v>0</v>
      </c>
      <c r="GMZ54" s="5">
        <f>-IFERROR('4. NPV'!#REF!/'4. NPV'!GNA$8,0)</f>
        <v>0</v>
      </c>
      <c r="GNA54" s="5">
        <f>-IFERROR('4. NPV'!#REF!/'4. NPV'!GNB$8,0)</f>
        <v>0</v>
      </c>
      <c r="GNB54" s="5">
        <f>-IFERROR('4. NPV'!#REF!/'4. NPV'!GNC$8,0)</f>
        <v>0</v>
      </c>
      <c r="GNC54" s="5">
        <f>-IFERROR('4. NPV'!#REF!/'4. NPV'!GND$8,0)</f>
        <v>0</v>
      </c>
      <c r="GND54" s="5">
        <f>-IFERROR('4. NPV'!#REF!/'4. NPV'!GNE$8,0)</f>
        <v>0</v>
      </c>
      <c r="GNE54" s="5">
        <f>-IFERROR('4. NPV'!#REF!/'4. NPV'!GNF$8,0)</f>
        <v>0</v>
      </c>
      <c r="GNF54" s="5">
        <f>-IFERROR('4. NPV'!#REF!/'4. NPV'!GNG$8,0)</f>
        <v>0</v>
      </c>
      <c r="GNG54" s="5">
        <f>-IFERROR('4. NPV'!#REF!/'4. NPV'!GNH$8,0)</f>
        <v>0</v>
      </c>
      <c r="GNH54" s="5">
        <f>-IFERROR('4. NPV'!#REF!/'4. NPV'!GNI$8,0)</f>
        <v>0</v>
      </c>
      <c r="GNI54" s="5">
        <f>-IFERROR('4. NPV'!#REF!/'4. NPV'!GNJ$8,0)</f>
        <v>0</v>
      </c>
      <c r="GNJ54" s="5">
        <f>-IFERROR('4. NPV'!#REF!/'4. NPV'!GNK$8,0)</f>
        <v>0</v>
      </c>
      <c r="GNK54" s="5">
        <f>-IFERROR('4. NPV'!#REF!/'4. NPV'!GNL$8,0)</f>
        <v>0</v>
      </c>
      <c r="GNL54" s="5">
        <f>-IFERROR('4. NPV'!#REF!/'4. NPV'!GNM$8,0)</f>
        <v>0</v>
      </c>
      <c r="GNM54" s="5">
        <f>-IFERROR('4. NPV'!#REF!/'4. NPV'!GNN$8,0)</f>
        <v>0</v>
      </c>
      <c r="GNN54" s="5">
        <f>-IFERROR('4. NPV'!#REF!/'4. NPV'!GNO$8,0)</f>
        <v>0</v>
      </c>
      <c r="GNO54" s="5">
        <f>-IFERROR('4. NPV'!#REF!/'4. NPV'!GNP$8,0)</f>
        <v>0</v>
      </c>
      <c r="GNP54" s="5">
        <f>-IFERROR('4. NPV'!#REF!/'4. NPV'!GNQ$8,0)</f>
        <v>0</v>
      </c>
      <c r="GNQ54" s="5">
        <f>-IFERROR('4. NPV'!#REF!/'4. NPV'!GNR$8,0)</f>
        <v>0</v>
      </c>
      <c r="GNR54" s="5">
        <f>-IFERROR('4. NPV'!#REF!/'4. NPV'!GNS$8,0)</f>
        <v>0</v>
      </c>
      <c r="GNS54" s="5">
        <f>-IFERROR('4. NPV'!#REF!/'4. NPV'!GNT$8,0)</f>
        <v>0</v>
      </c>
      <c r="GNT54" s="5">
        <f>-IFERROR('4. NPV'!#REF!/'4. NPV'!GNU$8,0)</f>
        <v>0</v>
      </c>
      <c r="GNU54" s="5">
        <f>-IFERROR('4. NPV'!#REF!/'4. NPV'!GNV$8,0)</f>
        <v>0</v>
      </c>
      <c r="GNV54" s="5">
        <f>-IFERROR('4. NPV'!#REF!/'4. NPV'!GNW$8,0)</f>
        <v>0</v>
      </c>
      <c r="GNW54" s="5">
        <f>-IFERROR('4. NPV'!#REF!/'4. NPV'!GNX$8,0)</f>
        <v>0</v>
      </c>
      <c r="GNX54" s="5">
        <f>-IFERROR('4. NPV'!#REF!/'4. NPV'!GNY$8,0)</f>
        <v>0</v>
      </c>
      <c r="GNY54" s="5">
        <f>-IFERROR('4. NPV'!#REF!/'4. NPV'!GNZ$8,0)</f>
        <v>0</v>
      </c>
      <c r="GNZ54" s="5">
        <f>-IFERROR('4. NPV'!#REF!/'4. NPV'!GOA$8,0)</f>
        <v>0</v>
      </c>
      <c r="GOA54" s="5">
        <f>-IFERROR('4. NPV'!#REF!/'4. NPV'!GOB$8,0)</f>
        <v>0</v>
      </c>
      <c r="GOB54" s="5">
        <f>-IFERROR('4. NPV'!#REF!/'4. NPV'!GOC$8,0)</f>
        <v>0</v>
      </c>
      <c r="GOC54" s="5">
        <f>-IFERROR('4. NPV'!#REF!/'4. NPV'!GOD$8,0)</f>
        <v>0</v>
      </c>
      <c r="GOD54" s="5">
        <f>-IFERROR('4. NPV'!#REF!/'4. NPV'!GOE$8,0)</f>
        <v>0</v>
      </c>
      <c r="GOE54" s="5">
        <f>-IFERROR('4. NPV'!#REF!/'4. NPV'!GOF$8,0)</f>
        <v>0</v>
      </c>
      <c r="GOF54" s="5">
        <f>-IFERROR('4. NPV'!#REF!/'4. NPV'!GOG$8,0)</f>
        <v>0</v>
      </c>
      <c r="GOG54" s="5">
        <f>-IFERROR('4. NPV'!#REF!/'4. NPV'!GOH$8,0)</f>
        <v>0</v>
      </c>
      <c r="GOH54" s="5">
        <f>-IFERROR('4. NPV'!#REF!/'4. NPV'!GOI$8,0)</f>
        <v>0</v>
      </c>
      <c r="GOI54" s="5">
        <f>-IFERROR('4. NPV'!#REF!/'4. NPV'!GOJ$8,0)</f>
        <v>0</v>
      </c>
      <c r="GOJ54" s="5">
        <f>-IFERROR('4. NPV'!#REF!/'4. NPV'!GOK$8,0)</f>
        <v>0</v>
      </c>
      <c r="GOK54" s="5">
        <f>-IFERROR('4. NPV'!#REF!/'4. NPV'!GOL$8,0)</f>
        <v>0</v>
      </c>
      <c r="GOL54" s="5">
        <f>-IFERROR('4. NPV'!#REF!/'4. NPV'!GOM$8,0)</f>
        <v>0</v>
      </c>
      <c r="GOM54" s="5">
        <f>-IFERROR('4. NPV'!#REF!/'4. NPV'!GON$8,0)</f>
        <v>0</v>
      </c>
      <c r="GON54" s="5">
        <f>-IFERROR('4. NPV'!#REF!/'4. NPV'!GOO$8,0)</f>
        <v>0</v>
      </c>
      <c r="GOO54" s="5">
        <f>-IFERROR('4. NPV'!#REF!/'4. NPV'!GOP$8,0)</f>
        <v>0</v>
      </c>
      <c r="GOP54" s="5">
        <f>-IFERROR('4. NPV'!#REF!/'4. NPV'!GOQ$8,0)</f>
        <v>0</v>
      </c>
      <c r="GOQ54" s="5">
        <f>-IFERROR('4. NPV'!#REF!/'4. NPV'!GOR$8,0)</f>
        <v>0</v>
      </c>
      <c r="GOR54" s="5">
        <f>-IFERROR('4. NPV'!#REF!/'4. NPV'!GOS$8,0)</f>
        <v>0</v>
      </c>
      <c r="GOS54" s="5">
        <f>-IFERROR('4. NPV'!#REF!/'4. NPV'!GOT$8,0)</f>
        <v>0</v>
      </c>
      <c r="GOT54" s="5">
        <f>-IFERROR('4. NPV'!#REF!/'4. NPV'!GOU$8,0)</f>
        <v>0</v>
      </c>
      <c r="GOU54" s="5">
        <f>-IFERROR('4. NPV'!#REF!/'4. NPV'!GOV$8,0)</f>
        <v>0</v>
      </c>
      <c r="GOV54" s="5">
        <f>-IFERROR('4. NPV'!#REF!/'4. NPV'!GOW$8,0)</f>
        <v>0</v>
      </c>
      <c r="GOW54" s="5">
        <f>-IFERROR('4. NPV'!#REF!/'4. NPV'!GOX$8,0)</f>
        <v>0</v>
      </c>
      <c r="GOX54" s="5">
        <f>-IFERROR('4. NPV'!#REF!/'4. NPV'!GOY$8,0)</f>
        <v>0</v>
      </c>
      <c r="GOY54" s="5">
        <f>-IFERROR('4. NPV'!#REF!/'4. NPV'!GOZ$8,0)</f>
        <v>0</v>
      </c>
      <c r="GOZ54" s="5">
        <f>-IFERROR('4. NPV'!#REF!/'4. NPV'!GPA$8,0)</f>
        <v>0</v>
      </c>
      <c r="GPA54" s="5">
        <f>-IFERROR('4. NPV'!#REF!/'4. NPV'!GPB$8,0)</f>
        <v>0</v>
      </c>
      <c r="GPB54" s="5">
        <f>-IFERROR('4. NPV'!#REF!/'4. NPV'!GPC$8,0)</f>
        <v>0</v>
      </c>
      <c r="GPC54" s="5">
        <f>-IFERROR('4. NPV'!#REF!/'4. NPV'!GPD$8,0)</f>
        <v>0</v>
      </c>
      <c r="GPD54" s="5">
        <f>-IFERROR('4. NPV'!#REF!/'4. NPV'!GPE$8,0)</f>
        <v>0</v>
      </c>
      <c r="GPE54" s="5">
        <f>-IFERROR('4. NPV'!#REF!/'4. NPV'!GPF$8,0)</f>
        <v>0</v>
      </c>
      <c r="GPF54" s="5">
        <f>-IFERROR('4. NPV'!#REF!/'4. NPV'!GPG$8,0)</f>
        <v>0</v>
      </c>
      <c r="GPG54" s="5">
        <f>-IFERROR('4. NPV'!#REF!/'4. NPV'!GPH$8,0)</f>
        <v>0</v>
      </c>
      <c r="GPH54" s="5">
        <f>-IFERROR('4. NPV'!#REF!/'4. NPV'!GPI$8,0)</f>
        <v>0</v>
      </c>
      <c r="GPI54" s="5">
        <f>-IFERROR('4. NPV'!#REF!/'4. NPV'!GPJ$8,0)</f>
        <v>0</v>
      </c>
      <c r="GPJ54" s="5">
        <f>-IFERROR('4. NPV'!#REF!/'4. NPV'!GPK$8,0)</f>
        <v>0</v>
      </c>
      <c r="GPK54" s="5">
        <f>-IFERROR('4. NPV'!#REF!/'4. NPV'!GPL$8,0)</f>
        <v>0</v>
      </c>
      <c r="GPL54" s="5">
        <f>-IFERROR('4. NPV'!#REF!/'4. NPV'!GPM$8,0)</f>
        <v>0</v>
      </c>
      <c r="GPM54" s="5">
        <f>-IFERROR('4. NPV'!#REF!/'4. NPV'!GPN$8,0)</f>
        <v>0</v>
      </c>
      <c r="GPN54" s="5">
        <f>-IFERROR('4. NPV'!#REF!/'4. NPV'!GPO$8,0)</f>
        <v>0</v>
      </c>
      <c r="GPO54" s="5">
        <f>-IFERROR('4. NPV'!#REF!/'4. NPV'!GPP$8,0)</f>
        <v>0</v>
      </c>
      <c r="GPP54" s="5">
        <f>-IFERROR('4. NPV'!#REF!/'4. NPV'!GPQ$8,0)</f>
        <v>0</v>
      </c>
      <c r="GPQ54" s="5">
        <f>-IFERROR('4. NPV'!#REF!/'4. NPV'!GPR$8,0)</f>
        <v>0</v>
      </c>
      <c r="GPR54" s="5">
        <f>-IFERROR('4. NPV'!#REF!/'4. NPV'!GPS$8,0)</f>
        <v>0</v>
      </c>
      <c r="GPS54" s="5">
        <f>-IFERROR('4. NPV'!#REF!/'4. NPV'!GPT$8,0)</f>
        <v>0</v>
      </c>
      <c r="GPT54" s="5">
        <f>-IFERROR('4. NPV'!#REF!/'4. NPV'!GPU$8,0)</f>
        <v>0</v>
      </c>
      <c r="GPU54" s="5">
        <f>-IFERROR('4. NPV'!#REF!/'4. NPV'!GPV$8,0)</f>
        <v>0</v>
      </c>
      <c r="GPV54" s="5">
        <f>-IFERROR('4. NPV'!#REF!/'4. NPV'!GPW$8,0)</f>
        <v>0</v>
      </c>
      <c r="GPW54" s="5">
        <f>-IFERROR('4. NPV'!#REF!/'4. NPV'!GPX$8,0)</f>
        <v>0</v>
      </c>
      <c r="GPX54" s="5">
        <f>-IFERROR('4. NPV'!#REF!/'4. NPV'!GPY$8,0)</f>
        <v>0</v>
      </c>
      <c r="GPY54" s="5">
        <f>-IFERROR('4. NPV'!#REF!/'4. NPV'!GPZ$8,0)</f>
        <v>0</v>
      </c>
      <c r="GPZ54" s="5">
        <f>-IFERROR('4. NPV'!#REF!/'4. NPV'!GQA$8,0)</f>
        <v>0</v>
      </c>
      <c r="GQA54" s="5">
        <f>-IFERROR('4. NPV'!#REF!/'4. NPV'!GQB$8,0)</f>
        <v>0</v>
      </c>
      <c r="GQB54" s="5">
        <f>-IFERROR('4. NPV'!#REF!/'4. NPV'!GQC$8,0)</f>
        <v>0</v>
      </c>
      <c r="GQC54" s="5">
        <f>-IFERROR('4. NPV'!#REF!/'4. NPV'!GQD$8,0)</f>
        <v>0</v>
      </c>
      <c r="GQD54" s="5">
        <f>-IFERROR('4. NPV'!#REF!/'4. NPV'!GQE$8,0)</f>
        <v>0</v>
      </c>
      <c r="GQE54" s="5">
        <f>-IFERROR('4. NPV'!#REF!/'4. NPV'!GQF$8,0)</f>
        <v>0</v>
      </c>
      <c r="GQF54" s="5">
        <f>-IFERROR('4. NPV'!#REF!/'4. NPV'!GQG$8,0)</f>
        <v>0</v>
      </c>
      <c r="GQG54" s="5">
        <f>-IFERROR('4. NPV'!#REF!/'4. NPV'!GQH$8,0)</f>
        <v>0</v>
      </c>
      <c r="GQH54" s="5">
        <f>-IFERROR('4. NPV'!#REF!/'4. NPV'!GQI$8,0)</f>
        <v>0</v>
      </c>
      <c r="GQI54" s="5">
        <f>-IFERROR('4. NPV'!#REF!/'4. NPV'!GQJ$8,0)</f>
        <v>0</v>
      </c>
      <c r="GQJ54" s="5">
        <f>-IFERROR('4. NPV'!#REF!/'4. NPV'!GQK$8,0)</f>
        <v>0</v>
      </c>
      <c r="GQK54" s="5">
        <f>-IFERROR('4. NPV'!#REF!/'4. NPV'!GQL$8,0)</f>
        <v>0</v>
      </c>
      <c r="GQL54" s="5">
        <f>-IFERROR('4. NPV'!#REF!/'4. NPV'!GQM$8,0)</f>
        <v>0</v>
      </c>
      <c r="GQM54" s="5">
        <f>-IFERROR('4. NPV'!#REF!/'4. NPV'!GQN$8,0)</f>
        <v>0</v>
      </c>
      <c r="GQN54" s="5">
        <f>-IFERROR('4. NPV'!#REF!/'4. NPV'!GQO$8,0)</f>
        <v>0</v>
      </c>
      <c r="GQO54" s="5">
        <f>-IFERROR('4. NPV'!#REF!/'4. NPV'!GQP$8,0)</f>
        <v>0</v>
      </c>
      <c r="GQP54" s="5">
        <f>-IFERROR('4. NPV'!#REF!/'4. NPV'!GQQ$8,0)</f>
        <v>0</v>
      </c>
      <c r="GQQ54" s="5">
        <f>-IFERROR('4. NPV'!#REF!/'4. NPV'!GQR$8,0)</f>
        <v>0</v>
      </c>
      <c r="GQR54" s="5">
        <f>-IFERROR('4. NPV'!#REF!/'4. NPV'!GQS$8,0)</f>
        <v>0</v>
      </c>
      <c r="GQS54" s="5">
        <f>-IFERROR('4. NPV'!#REF!/'4. NPV'!GQT$8,0)</f>
        <v>0</v>
      </c>
      <c r="GQT54" s="5">
        <f>-IFERROR('4. NPV'!#REF!/'4. NPV'!GQU$8,0)</f>
        <v>0</v>
      </c>
      <c r="GQU54" s="5">
        <f>-IFERROR('4. NPV'!#REF!/'4. NPV'!GQV$8,0)</f>
        <v>0</v>
      </c>
      <c r="GQV54" s="5">
        <f>-IFERROR('4. NPV'!#REF!/'4. NPV'!GQW$8,0)</f>
        <v>0</v>
      </c>
      <c r="GQW54" s="5">
        <f>-IFERROR('4. NPV'!#REF!/'4. NPV'!GQX$8,0)</f>
        <v>0</v>
      </c>
      <c r="GQX54" s="5">
        <f>-IFERROR('4. NPV'!#REF!/'4. NPV'!GQY$8,0)</f>
        <v>0</v>
      </c>
      <c r="GQY54" s="5">
        <f>-IFERROR('4. NPV'!#REF!/'4. NPV'!GQZ$8,0)</f>
        <v>0</v>
      </c>
      <c r="GQZ54" s="5">
        <f>-IFERROR('4. NPV'!#REF!/'4. NPV'!GRA$8,0)</f>
        <v>0</v>
      </c>
      <c r="GRA54" s="5">
        <f>-IFERROR('4. NPV'!#REF!/'4. NPV'!GRB$8,0)</f>
        <v>0</v>
      </c>
      <c r="GRB54" s="5">
        <f>-IFERROR('4. NPV'!#REF!/'4. NPV'!GRC$8,0)</f>
        <v>0</v>
      </c>
      <c r="GRC54" s="5">
        <f>-IFERROR('4. NPV'!#REF!/'4. NPV'!GRD$8,0)</f>
        <v>0</v>
      </c>
      <c r="GRD54" s="5">
        <f>-IFERROR('4. NPV'!#REF!/'4. NPV'!GRE$8,0)</f>
        <v>0</v>
      </c>
      <c r="GRE54" s="5">
        <f>-IFERROR('4. NPV'!#REF!/'4. NPV'!GRF$8,0)</f>
        <v>0</v>
      </c>
      <c r="GRF54" s="5">
        <f>-IFERROR('4. NPV'!#REF!/'4. NPV'!GRG$8,0)</f>
        <v>0</v>
      </c>
      <c r="GRG54" s="5">
        <f>-IFERROR('4. NPV'!#REF!/'4. NPV'!GRH$8,0)</f>
        <v>0</v>
      </c>
      <c r="GRH54" s="5">
        <f>-IFERROR('4. NPV'!#REF!/'4. NPV'!GRI$8,0)</f>
        <v>0</v>
      </c>
      <c r="GRI54" s="5">
        <f>-IFERROR('4. NPV'!#REF!/'4. NPV'!GRJ$8,0)</f>
        <v>0</v>
      </c>
      <c r="GRJ54" s="5">
        <f>-IFERROR('4. NPV'!#REF!/'4. NPV'!GRK$8,0)</f>
        <v>0</v>
      </c>
      <c r="GRK54" s="5">
        <f>-IFERROR('4. NPV'!#REF!/'4. NPV'!GRL$8,0)</f>
        <v>0</v>
      </c>
      <c r="GRL54" s="5">
        <f>-IFERROR('4. NPV'!#REF!/'4. NPV'!GRM$8,0)</f>
        <v>0</v>
      </c>
      <c r="GRM54" s="5">
        <f>-IFERROR('4. NPV'!#REF!/'4. NPV'!GRN$8,0)</f>
        <v>0</v>
      </c>
      <c r="GRN54" s="5">
        <f>-IFERROR('4. NPV'!#REF!/'4. NPV'!GRO$8,0)</f>
        <v>0</v>
      </c>
      <c r="GRO54" s="5">
        <f>-IFERROR('4. NPV'!#REF!/'4. NPV'!GRP$8,0)</f>
        <v>0</v>
      </c>
      <c r="GRP54" s="5">
        <f>-IFERROR('4. NPV'!#REF!/'4. NPV'!GRQ$8,0)</f>
        <v>0</v>
      </c>
      <c r="GRQ54" s="5">
        <f>-IFERROR('4. NPV'!#REF!/'4. NPV'!GRR$8,0)</f>
        <v>0</v>
      </c>
      <c r="GRR54" s="5">
        <f>-IFERROR('4. NPV'!#REF!/'4. NPV'!GRS$8,0)</f>
        <v>0</v>
      </c>
      <c r="GRS54" s="5">
        <f>-IFERROR('4. NPV'!#REF!/'4. NPV'!GRT$8,0)</f>
        <v>0</v>
      </c>
      <c r="GRT54" s="5">
        <f>-IFERROR('4. NPV'!#REF!/'4. NPV'!GRU$8,0)</f>
        <v>0</v>
      </c>
      <c r="GRU54" s="5">
        <f>-IFERROR('4. NPV'!#REF!/'4. NPV'!GRV$8,0)</f>
        <v>0</v>
      </c>
      <c r="GRV54" s="5">
        <f>-IFERROR('4. NPV'!#REF!/'4. NPV'!GRW$8,0)</f>
        <v>0</v>
      </c>
      <c r="GRW54" s="5">
        <f>-IFERROR('4. NPV'!#REF!/'4. NPV'!GRX$8,0)</f>
        <v>0</v>
      </c>
      <c r="GRX54" s="5">
        <f>-IFERROR('4. NPV'!#REF!/'4. NPV'!GRY$8,0)</f>
        <v>0</v>
      </c>
      <c r="GRY54" s="5">
        <f>-IFERROR('4. NPV'!#REF!/'4. NPV'!GRZ$8,0)</f>
        <v>0</v>
      </c>
      <c r="GRZ54" s="5">
        <f>-IFERROR('4. NPV'!#REF!/'4. NPV'!GSA$8,0)</f>
        <v>0</v>
      </c>
      <c r="GSA54" s="5">
        <f>-IFERROR('4. NPV'!#REF!/'4. NPV'!GSB$8,0)</f>
        <v>0</v>
      </c>
      <c r="GSB54" s="5">
        <f>-IFERROR('4. NPV'!#REF!/'4. NPV'!GSC$8,0)</f>
        <v>0</v>
      </c>
      <c r="GSC54" s="5">
        <f>-IFERROR('4. NPV'!#REF!/'4. NPV'!GSD$8,0)</f>
        <v>0</v>
      </c>
      <c r="GSD54" s="5">
        <f>-IFERROR('4. NPV'!#REF!/'4. NPV'!GSE$8,0)</f>
        <v>0</v>
      </c>
      <c r="GSE54" s="5">
        <f>-IFERROR('4. NPV'!#REF!/'4. NPV'!GSF$8,0)</f>
        <v>0</v>
      </c>
      <c r="GSF54" s="5">
        <f>-IFERROR('4. NPV'!#REF!/'4. NPV'!GSG$8,0)</f>
        <v>0</v>
      </c>
      <c r="GSG54" s="5">
        <f>-IFERROR('4. NPV'!#REF!/'4. NPV'!GSH$8,0)</f>
        <v>0</v>
      </c>
      <c r="GSH54" s="5">
        <f>-IFERROR('4. NPV'!#REF!/'4. NPV'!GSI$8,0)</f>
        <v>0</v>
      </c>
      <c r="GSI54" s="5">
        <f>-IFERROR('4. NPV'!#REF!/'4. NPV'!GSJ$8,0)</f>
        <v>0</v>
      </c>
      <c r="GSJ54" s="5">
        <f>-IFERROR('4. NPV'!#REF!/'4. NPV'!GSK$8,0)</f>
        <v>0</v>
      </c>
      <c r="GSK54" s="5">
        <f>-IFERROR('4. NPV'!#REF!/'4. NPV'!GSL$8,0)</f>
        <v>0</v>
      </c>
      <c r="GSL54" s="5">
        <f>-IFERROR('4. NPV'!#REF!/'4. NPV'!GSM$8,0)</f>
        <v>0</v>
      </c>
      <c r="GSM54" s="5">
        <f>-IFERROR('4. NPV'!#REF!/'4. NPV'!GSN$8,0)</f>
        <v>0</v>
      </c>
      <c r="GSN54" s="5">
        <f>-IFERROR('4. NPV'!#REF!/'4. NPV'!GSO$8,0)</f>
        <v>0</v>
      </c>
      <c r="GSO54" s="5">
        <f>-IFERROR('4. NPV'!#REF!/'4. NPV'!GSP$8,0)</f>
        <v>0</v>
      </c>
      <c r="GSP54" s="5">
        <f>-IFERROR('4. NPV'!#REF!/'4. NPV'!GSQ$8,0)</f>
        <v>0</v>
      </c>
      <c r="GSQ54" s="5">
        <f>-IFERROR('4. NPV'!#REF!/'4. NPV'!GSR$8,0)</f>
        <v>0</v>
      </c>
      <c r="GSR54" s="5">
        <f>-IFERROR('4. NPV'!#REF!/'4. NPV'!GSS$8,0)</f>
        <v>0</v>
      </c>
      <c r="GSS54" s="5">
        <f>-IFERROR('4. NPV'!#REF!/'4. NPV'!GST$8,0)</f>
        <v>0</v>
      </c>
      <c r="GST54" s="5">
        <f>-IFERROR('4. NPV'!#REF!/'4. NPV'!GSU$8,0)</f>
        <v>0</v>
      </c>
      <c r="GSU54" s="5">
        <f>-IFERROR('4. NPV'!#REF!/'4. NPV'!GSV$8,0)</f>
        <v>0</v>
      </c>
      <c r="GSV54" s="5">
        <f>-IFERROR('4. NPV'!#REF!/'4. NPV'!GSW$8,0)</f>
        <v>0</v>
      </c>
      <c r="GSW54" s="5">
        <f>-IFERROR('4. NPV'!#REF!/'4. NPV'!GSX$8,0)</f>
        <v>0</v>
      </c>
      <c r="GSX54" s="5">
        <f>-IFERROR('4. NPV'!#REF!/'4. NPV'!GSY$8,0)</f>
        <v>0</v>
      </c>
      <c r="GSY54" s="5">
        <f>-IFERROR('4. NPV'!#REF!/'4. NPV'!GSZ$8,0)</f>
        <v>0</v>
      </c>
      <c r="GSZ54" s="5">
        <f>-IFERROR('4. NPV'!#REF!/'4. NPV'!GTA$8,0)</f>
        <v>0</v>
      </c>
      <c r="GTA54" s="5">
        <f>-IFERROR('4. NPV'!#REF!/'4. NPV'!GTB$8,0)</f>
        <v>0</v>
      </c>
      <c r="GTB54" s="5">
        <f>-IFERROR('4. NPV'!#REF!/'4. NPV'!GTC$8,0)</f>
        <v>0</v>
      </c>
      <c r="GTC54" s="5">
        <f>-IFERROR('4. NPV'!#REF!/'4. NPV'!GTD$8,0)</f>
        <v>0</v>
      </c>
      <c r="GTD54" s="5">
        <f>-IFERROR('4. NPV'!#REF!/'4. NPV'!GTE$8,0)</f>
        <v>0</v>
      </c>
      <c r="GTE54" s="5">
        <f>-IFERROR('4. NPV'!#REF!/'4. NPV'!GTF$8,0)</f>
        <v>0</v>
      </c>
      <c r="GTF54" s="5">
        <f>-IFERROR('4. NPV'!#REF!/'4. NPV'!GTG$8,0)</f>
        <v>0</v>
      </c>
      <c r="GTG54" s="5">
        <f>-IFERROR('4. NPV'!#REF!/'4. NPV'!GTH$8,0)</f>
        <v>0</v>
      </c>
      <c r="GTH54" s="5">
        <f>-IFERROR('4. NPV'!#REF!/'4. NPV'!GTI$8,0)</f>
        <v>0</v>
      </c>
      <c r="GTI54" s="5">
        <f>-IFERROR('4. NPV'!#REF!/'4. NPV'!GTJ$8,0)</f>
        <v>0</v>
      </c>
      <c r="GTJ54" s="5">
        <f>-IFERROR('4. NPV'!#REF!/'4. NPV'!GTK$8,0)</f>
        <v>0</v>
      </c>
      <c r="GTK54" s="5">
        <f>-IFERROR('4. NPV'!#REF!/'4. NPV'!GTL$8,0)</f>
        <v>0</v>
      </c>
      <c r="GTL54" s="5">
        <f>-IFERROR('4. NPV'!#REF!/'4. NPV'!GTM$8,0)</f>
        <v>0</v>
      </c>
      <c r="GTM54" s="5">
        <f>-IFERROR('4. NPV'!#REF!/'4. NPV'!GTN$8,0)</f>
        <v>0</v>
      </c>
      <c r="GTN54" s="5">
        <f>-IFERROR('4. NPV'!#REF!/'4. NPV'!GTO$8,0)</f>
        <v>0</v>
      </c>
      <c r="GTO54" s="5">
        <f>-IFERROR('4. NPV'!#REF!/'4. NPV'!GTP$8,0)</f>
        <v>0</v>
      </c>
      <c r="GTP54" s="5">
        <f>-IFERROR('4. NPV'!#REF!/'4. NPV'!GTQ$8,0)</f>
        <v>0</v>
      </c>
      <c r="GTQ54" s="5">
        <f>-IFERROR('4. NPV'!#REF!/'4. NPV'!GTR$8,0)</f>
        <v>0</v>
      </c>
      <c r="GTR54" s="5">
        <f>-IFERROR('4. NPV'!#REF!/'4. NPV'!GTS$8,0)</f>
        <v>0</v>
      </c>
      <c r="GTS54" s="5">
        <f>-IFERROR('4. NPV'!#REF!/'4. NPV'!GTT$8,0)</f>
        <v>0</v>
      </c>
      <c r="GTT54" s="5">
        <f>-IFERROR('4. NPV'!#REF!/'4. NPV'!GTU$8,0)</f>
        <v>0</v>
      </c>
      <c r="GTU54" s="5">
        <f>-IFERROR('4. NPV'!#REF!/'4. NPV'!GTV$8,0)</f>
        <v>0</v>
      </c>
      <c r="GTV54" s="5">
        <f>-IFERROR('4. NPV'!#REF!/'4. NPV'!GTW$8,0)</f>
        <v>0</v>
      </c>
      <c r="GTW54" s="5">
        <f>-IFERROR('4. NPV'!#REF!/'4. NPV'!GTX$8,0)</f>
        <v>0</v>
      </c>
      <c r="GTX54" s="5">
        <f>-IFERROR('4. NPV'!#REF!/'4. NPV'!GTY$8,0)</f>
        <v>0</v>
      </c>
      <c r="GTY54" s="5">
        <f>-IFERROR('4. NPV'!#REF!/'4. NPV'!GTZ$8,0)</f>
        <v>0</v>
      </c>
      <c r="GTZ54" s="5">
        <f>-IFERROR('4. NPV'!#REF!/'4. NPV'!GUA$8,0)</f>
        <v>0</v>
      </c>
      <c r="GUA54" s="5">
        <f>-IFERROR('4. NPV'!#REF!/'4. NPV'!GUB$8,0)</f>
        <v>0</v>
      </c>
      <c r="GUB54" s="5">
        <f>-IFERROR('4. NPV'!#REF!/'4. NPV'!GUC$8,0)</f>
        <v>0</v>
      </c>
      <c r="GUC54" s="5">
        <f>-IFERROR('4. NPV'!#REF!/'4. NPV'!GUD$8,0)</f>
        <v>0</v>
      </c>
      <c r="GUD54" s="5">
        <f>-IFERROR('4. NPV'!#REF!/'4. NPV'!GUE$8,0)</f>
        <v>0</v>
      </c>
      <c r="GUE54" s="5">
        <f>-IFERROR('4. NPV'!#REF!/'4. NPV'!GUF$8,0)</f>
        <v>0</v>
      </c>
      <c r="GUF54" s="5">
        <f>-IFERROR('4. NPV'!#REF!/'4. NPV'!GUG$8,0)</f>
        <v>0</v>
      </c>
      <c r="GUG54" s="5">
        <f>-IFERROR('4. NPV'!#REF!/'4. NPV'!GUH$8,0)</f>
        <v>0</v>
      </c>
      <c r="GUH54" s="5">
        <f>-IFERROR('4. NPV'!#REF!/'4. NPV'!GUI$8,0)</f>
        <v>0</v>
      </c>
      <c r="GUI54" s="5">
        <f>-IFERROR('4. NPV'!#REF!/'4. NPV'!GUJ$8,0)</f>
        <v>0</v>
      </c>
      <c r="GUJ54" s="5">
        <f>-IFERROR('4. NPV'!#REF!/'4. NPV'!GUK$8,0)</f>
        <v>0</v>
      </c>
      <c r="GUK54" s="5">
        <f>-IFERROR('4. NPV'!#REF!/'4. NPV'!GUL$8,0)</f>
        <v>0</v>
      </c>
      <c r="GUL54" s="5">
        <f>-IFERROR('4. NPV'!#REF!/'4. NPV'!GUM$8,0)</f>
        <v>0</v>
      </c>
      <c r="GUM54" s="5">
        <f>-IFERROR('4. NPV'!#REF!/'4. NPV'!GUN$8,0)</f>
        <v>0</v>
      </c>
      <c r="GUN54" s="5">
        <f>-IFERROR('4. NPV'!#REF!/'4. NPV'!GUO$8,0)</f>
        <v>0</v>
      </c>
      <c r="GUO54" s="5">
        <f>-IFERROR('4. NPV'!#REF!/'4. NPV'!GUP$8,0)</f>
        <v>0</v>
      </c>
      <c r="GUP54" s="5">
        <f>-IFERROR('4. NPV'!#REF!/'4. NPV'!GUQ$8,0)</f>
        <v>0</v>
      </c>
      <c r="GUQ54" s="5">
        <f>-IFERROR('4. NPV'!#REF!/'4. NPV'!GUR$8,0)</f>
        <v>0</v>
      </c>
      <c r="GUR54" s="5">
        <f>-IFERROR('4. NPV'!#REF!/'4. NPV'!GUS$8,0)</f>
        <v>0</v>
      </c>
      <c r="GUS54" s="5">
        <f>-IFERROR('4. NPV'!#REF!/'4. NPV'!GUT$8,0)</f>
        <v>0</v>
      </c>
      <c r="GUT54" s="5">
        <f>-IFERROR('4. NPV'!#REF!/'4. NPV'!GUU$8,0)</f>
        <v>0</v>
      </c>
      <c r="GUU54" s="5">
        <f>-IFERROR('4. NPV'!#REF!/'4. NPV'!GUV$8,0)</f>
        <v>0</v>
      </c>
      <c r="GUV54" s="5">
        <f>-IFERROR('4. NPV'!#REF!/'4. NPV'!GUW$8,0)</f>
        <v>0</v>
      </c>
      <c r="GUW54" s="5">
        <f>-IFERROR('4. NPV'!#REF!/'4. NPV'!GUX$8,0)</f>
        <v>0</v>
      </c>
      <c r="GUX54" s="5">
        <f>-IFERROR('4. NPV'!#REF!/'4. NPV'!GUY$8,0)</f>
        <v>0</v>
      </c>
      <c r="GUY54" s="5">
        <f>-IFERROR('4. NPV'!#REF!/'4. NPV'!GUZ$8,0)</f>
        <v>0</v>
      </c>
      <c r="GUZ54" s="5">
        <f>-IFERROR('4. NPV'!#REF!/'4. NPV'!GVA$8,0)</f>
        <v>0</v>
      </c>
      <c r="GVA54" s="5">
        <f>-IFERROR('4. NPV'!#REF!/'4. NPV'!GVB$8,0)</f>
        <v>0</v>
      </c>
      <c r="GVB54" s="5">
        <f>-IFERROR('4. NPV'!#REF!/'4. NPV'!GVC$8,0)</f>
        <v>0</v>
      </c>
      <c r="GVC54" s="5">
        <f>-IFERROR('4. NPV'!#REF!/'4. NPV'!GVD$8,0)</f>
        <v>0</v>
      </c>
      <c r="GVD54" s="5">
        <f>-IFERROR('4. NPV'!#REF!/'4. NPV'!GVE$8,0)</f>
        <v>0</v>
      </c>
      <c r="GVE54" s="5">
        <f>-IFERROR('4. NPV'!#REF!/'4. NPV'!GVF$8,0)</f>
        <v>0</v>
      </c>
      <c r="GVF54" s="5">
        <f>-IFERROR('4. NPV'!#REF!/'4. NPV'!GVG$8,0)</f>
        <v>0</v>
      </c>
      <c r="GVG54" s="5">
        <f>-IFERROR('4. NPV'!#REF!/'4. NPV'!GVH$8,0)</f>
        <v>0</v>
      </c>
      <c r="GVH54" s="5">
        <f>-IFERROR('4. NPV'!#REF!/'4. NPV'!GVI$8,0)</f>
        <v>0</v>
      </c>
      <c r="GVI54" s="5">
        <f>-IFERROR('4. NPV'!#REF!/'4. NPV'!GVJ$8,0)</f>
        <v>0</v>
      </c>
      <c r="GVJ54" s="5">
        <f>-IFERROR('4. NPV'!#REF!/'4. NPV'!GVK$8,0)</f>
        <v>0</v>
      </c>
      <c r="GVK54" s="5">
        <f>-IFERROR('4. NPV'!#REF!/'4. NPV'!GVL$8,0)</f>
        <v>0</v>
      </c>
      <c r="GVL54" s="5">
        <f>-IFERROR('4. NPV'!#REF!/'4. NPV'!GVM$8,0)</f>
        <v>0</v>
      </c>
      <c r="GVM54" s="5">
        <f>-IFERROR('4. NPV'!#REF!/'4. NPV'!GVN$8,0)</f>
        <v>0</v>
      </c>
      <c r="GVN54" s="5">
        <f>-IFERROR('4. NPV'!#REF!/'4. NPV'!GVO$8,0)</f>
        <v>0</v>
      </c>
      <c r="GVO54" s="5">
        <f>-IFERROR('4. NPV'!#REF!/'4. NPV'!GVP$8,0)</f>
        <v>0</v>
      </c>
      <c r="GVP54" s="5">
        <f>-IFERROR('4. NPV'!#REF!/'4. NPV'!GVQ$8,0)</f>
        <v>0</v>
      </c>
      <c r="GVQ54" s="5">
        <f>-IFERROR('4. NPV'!#REF!/'4. NPV'!GVR$8,0)</f>
        <v>0</v>
      </c>
      <c r="GVR54" s="5">
        <f>-IFERROR('4. NPV'!#REF!/'4. NPV'!GVS$8,0)</f>
        <v>0</v>
      </c>
      <c r="GVS54" s="5">
        <f>-IFERROR('4. NPV'!#REF!/'4. NPV'!GVT$8,0)</f>
        <v>0</v>
      </c>
      <c r="GVT54" s="5">
        <f>-IFERROR('4. NPV'!#REF!/'4. NPV'!GVU$8,0)</f>
        <v>0</v>
      </c>
      <c r="GVU54" s="5">
        <f>-IFERROR('4. NPV'!#REF!/'4. NPV'!GVV$8,0)</f>
        <v>0</v>
      </c>
      <c r="GVV54" s="5">
        <f>-IFERROR('4. NPV'!#REF!/'4. NPV'!GVW$8,0)</f>
        <v>0</v>
      </c>
      <c r="GVW54" s="5">
        <f>-IFERROR('4. NPV'!#REF!/'4. NPV'!GVX$8,0)</f>
        <v>0</v>
      </c>
      <c r="GVX54" s="5">
        <f>-IFERROR('4. NPV'!#REF!/'4. NPV'!GVY$8,0)</f>
        <v>0</v>
      </c>
      <c r="GVY54" s="5">
        <f>-IFERROR('4. NPV'!#REF!/'4. NPV'!GVZ$8,0)</f>
        <v>0</v>
      </c>
      <c r="GVZ54" s="5">
        <f>-IFERROR('4. NPV'!#REF!/'4. NPV'!GWA$8,0)</f>
        <v>0</v>
      </c>
      <c r="GWA54" s="5">
        <f>-IFERROR('4. NPV'!#REF!/'4. NPV'!GWB$8,0)</f>
        <v>0</v>
      </c>
      <c r="GWB54" s="5">
        <f>-IFERROR('4. NPV'!#REF!/'4. NPV'!GWC$8,0)</f>
        <v>0</v>
      </c>
      <c r="GWC54" s="5">
        <f>-IFERROR('4. NPV'!#REF!/'4. NPV'!GWD$8,0)</f>
        <v>0</v>
      </c>
      <c r="GWD54" s="5">
        <f>-IFERROR('4. NPV'!#REF!/'4. NPV'!GWE$8,0)</f>
        <v>0</v>
      </c>
      <c r="GWE54" s="5">
        <f>-IFERROR('4. NPV'!#REF!/'4. NPV'!GWF$8,0)</f>
        <v>0</v>
      </c>
      <c r="GWF54" s="5">
        <f>-IFERROR('4. NPV'!#REF!/'4. NPV'!GWG$8,0)</f>
        <v>0</v>
      </c>
      <c r="GWG54" s="5">
        <f>-IFERROR('4. NPV'!#REF!/'4. NPV'!GWH$8,0)</f>
        <v>0</v>
      </c>
      <c r="GWH54" s="5">
        <f>-IFERROR('4. NPV'!#REF!/'4. NPV'!GWI$8,0)</f>
        <v>0</v>
      </c>
      <c r="GWI54" s="5">
        <f>-IFERROR('4. NPV'!#REF!/'4. NPV'!GWJ$8,0)</f>
        <v>0</v>
      </c>
      <c r="GWJ54" s="5">
        <f>-IFERROR('4. NPV'!#REF!/'4. NPV'!GWK$8,0)</f>
        <v>0</v>
      </c>
      <c r="GWK54" s="5">
        <f>-IFERROR('4. NPV'!#REF!/'4. NPV'!GWL$8,0)</f>
        <v>0</v>
      </c>
      <c r="GWL54" s="5">
        <f>-IFERROR('4. NPV'!#REF!/'4. NPV'!GWM$8,0)</f>
        <v>0</v>
      </c>
      <c r="GWM54" s="5">
        <f>-IFERROR('4. NPV'!#REF!/'4. NPV'!GWN$8,0)</f>
        <v>0</v>
      </c>
      <c r="GWN54" s="5">
        <f>-IFERROR('4. NPV'!#REF!/'4. NPV'!GWO$8,0)</f>
        <v>0</v>
      </c>
      <c r="GWO54" s="5">
        <f>-IFERROR('4. NPV'!#REF!/'4. NPV'!GWP$8,0)</f>
        <v>0</v>
      </c>
      <c r="GWP54" s="5">
        <f>-IFERROR('4. NPV'!#REF!/'4. NPV'!GWQ$8,0)</f>
        <v>0</v>
      </c>
      <c r="GWQ54" s="5">
        <f>-IFERROR('4. NPV'!#REF!/'4. NPV'!GWR$8,0)</f>
        <v>0</v>
      </c>
      <c r="GWR54" s="5">
        <f>-IFERROR('4. NPV'!#REF!/'4. NPV'!GWS$8,0)</f>
        <v>0</v>
      </c>
      <c r="GWS54" s="5">
        <f>-IFERROR('4. NPV'!#REF!/'4. NPV'!GWT$8,0)</f>
        <v>0</v>
      </c>
      <c r="GWT54" s="5">
        <f>-IFERROR('4. NPV'!#REF!/'4. NPV'!GWU$8,0)</f>
        <v>0</v>
      </c>
      <c r="GWU54" s="5">
        <f>-IFERROR('4. NPV'!#REF!/'4. NPV'!GWV$8,0)</f>
        <v>0</v>
      </c>
      <c r="GWV54" s="5">
        <f>-IFERROR('4. NPV'!#REF!/'4. NPV'!GWW$8,0)</f>
        <v>0</v>
      </c>
      <c r="GWW54" s="5">
        <f>-IFERROR('4. NPV'!#REF!/'4. NPV'!GWX$8,0)</f>
        <v>0</v>
      </c>
      <c r="GWX54" s="5">
        <f>-IFERROR('4. NPV'!#REF!/'4. NPV'!GWY$8,0)</f>
        <v>0</v>
      </c>
      <c r="GWY54" s="5">
        <f>-IFERROR('4. NPV'!#REF!/'4. NPV'!GWZ$8,0)</f>
        <v>0</v>
      </c>
      <c r="GWZ54" s="5">
        <f>-IFERROR('4. NPV'!#REF!/'4. NPV'!GXA$8,0)</f>
        <v>0</v>
      </c>
      <c r="GXA54" s="5">
        <f>-IFERROR('4. NPV'!#REF!/'4. NPV'!GXB$8,0)</f>
        <v>0</v>
      </c>
      <c r="GXB54" s="5">
        <f>-IFERROR('4. NPV'!#REF!/'4. NPV'!GXC$8,0)</f>
        <v>0</v>
      </c>
      <c r="GXC54" s="5">
        <f>-IFERROR('4. NPV'!#REF!/'4. NPV'!GXD$8,0)</f>
        <v>0</v>
      </c>
      <c r="GXD54" s="5">
        <f>-IFERROR('4. NPV'!#REF!/'4. NPV'!GXE$8,0)</f>
        <v>0</v>
      </c>
      <c r="GXE54" s="5">
        <f>-IFERROR('4. NPV'!#REF!/'4. NPV'!GXF$8,0)</f>
        <v>0</v>
      </c>
      <c r="GXF54" s="5">
        <f>-IFERROR('4. NPV'!#REF!/'4. NPV'!GXG$8,0)</f>
        <v>0</v>
      </c>
      <c r="GXG54" s="5">
        <f>-IFERROR('4. NPV'!#REF!/'4. NPV'!GXH$8,0)</f>
        <v>0</v>
      </c>
      <c r="GXH54" s="5">
        <f>-IFERROR('4. NPV'!#REF!/'4. NPV'!GXI$8,0)</f>
        <v>0</v>
      </c>
      <c r="GXI54" s="5">
        <f>-IFERROR('4. NPV'!#REF!/'4. NPV'!GXJ$8,0)</f>
        <v>0</v>
      </c>
      <c r="GXJ54" s="5">
        <f>-IFERROR('4. NPV'!#REF!/'4. NPV'!GXK$8,0)</f>
        <v>0</v>
      </c>
      <c r="GXK54" s="5">
        <f>-IFERROR('4. NPV'!#REF!/'4. NPV'!GXL$8,0)</f>
        <v>0</v>
      </c>
      <c r="GXL54" s="5">
        <f>-IFERROR('4. NPV'!#REF!/'4. NPV'!GXM$8,0)</f>
        <v>0</v>
      </c>
      <c r="GXM54" s="5">
        <f>-IFERROR('4. NPV'!#REF!/'4. NPV'!GXN$8,0)</f>
        <v>0</v>
      </c>
      <c r="GXN54" s="5">
        <f>-IFERROR('4. NPV'!#REF!/'4. NPV'!GXO$8,0)</f>
        <v>0</v>
      </c>
      <c r="GXO54" s="5">
        <f>-IFERROR('4. NPV'!#REF!/'4. NPV'!GXP$8,0)</f>
        <v>0</v>
      </c>
      <c r="GXP54" s="5">
        <f>-IFERROR('4. NPV'!#REF!/'4. NPV'!GXQ$8,0)</f>
        <v>0</v>
      </c>
      <c r="GXQ54" s="5">
        <f>-IFERROR('4. NPV'!#REF!/'4. NPV'!GXR$8,0)</f>
        <v>0</v>
      </c>
      <c r="GXR54" s="5">
        <f>-IFERROR('4. NPV'!#REF!/'4. NPV'!GXS$8,0)</f>
        <v>0</v>
      </c>
      <c r="GXS54" s="5">
        <f>-IFERROR('4. NPV'!#REF!/'4. NPV'!GXT$8,0)</f>
        <v>0</v>
      </c>
      <c r="GXT54" s="5">
        <f>-IFERROR('4. NPV'!#REF!/'4. NPV'!GXU$8,0)</f>
        <v>0</v>
      </c>
      <c r="GXU54" s="5">
        <f>-IFERROR('4. NPV'!#REF!/'4. NPV'!GXV$8,0)</f>
        <v>0</v>
      </c>
      <c r="GXV54" s="5">
        <f>-IFERROR('4. NPV'!#REF!/'4. NPV'!GXW$8,0)</f>
        <v>0</v>
      </c>
      <c r="GXW54" s="5">
        <f>-IFERROR('4. NPV'!#REF!/'4. NPV'!GXX$8,0)</f>
        <v>0</v>
      </c>
      <c r="GXX54" s="5">
        <f>-IFERROR('4. NPV'!#REF!/'4. NPV'!GXY$8,0)</f>
        <v>0</v>
      </c>
      <c r="GXY54" s="5">
        <f>-IFERROR('4. NPV'!#REF!/'4. NPV'!GXZ$8,0)</f>
        <v>0</v>
      </c>
      <c r="GXZ54" s="5">
        <f>-IFERROR('4. NPV'!#REF!/'4. NPV'!GYA$8,0)</f>
        <v>0</v>
      </c>
      <c r="GYA54" s="5">
        <f>-IFERROR('4. NPV'!#REF!/'4. NPV'!GYB$8,0)</f>
        <v>0</v>
      </c>
      <c r="GYB54" s="5">
        <f>-IFERROR('4. NPV'!#REF!/'4. NPV'!GYC$8,0)</f>
        <v>0</v>
      </c>
      <c r="GYC54" s="5">
        <f>-IFERROR('4. NPV'!#REF!/'4. NPV'!GYD$8,0)</f>
        <v>0</v>
      </c>
      <c r="GYD54" s="5">
        <f>-IFERROR('4. NPV'!#REF!/'4. NPV'!GYE$8,0)</f>
        <v>0</v>
      </c>
      <c r="GYE54" s="5">
        <f>-IFERROR('4. NPV'!#REF!/'4. NPV'!GYF$8,0)</f>
        <v>0</v>
      </c>
      <c r="GYF54" s="5">
        <f>-IFERROR('4. NPV'!#REF!/'4. NPV'!GYG$8,0)</f>
        <v>0</v>
      </c>
      <c r="GYG54" s="5">
        <f>-IFERROR('4. NPV'!#REF!/'4. NPV'!GYH$8,0)</f>
        <v>0</v>
      </c>
      <c r="GYH54" s="5">
        <f>-IFERROR('4. NPV'!#REF!/'4. NPV'!GYI$8,0)</f>
        <v>0</v>
      </c>
      <c r="GYI54" s="5">
        <f>-IFERROR('4. NPV'!#REF!/'4. NPV'!GYJ$8,0)</f>
        <v>0</v>
      </c>
      <c r="GYJ54" s="5">
        <f>-IFERROR('4. NPV'!#REF!/'4. NPV'!GYK$8,0)</f>
        <v>0</v>
      </c>
      <c r="GYK54" s="5">
        <f>-IFERROR('4. NPV'!#REF!/'4. NPV'!GYL$8,0)</f>
        <v>0</v>
      </c>
      <c r="GYL54" s="5">
        <f>-IFERROR('4. NPV'!#REF!/'4. NPV'!GYM$8,0)</f>
        <v>0</v>
      </c>
      <c r="GYM54" s="5">
        <f>-IFERROR('4. NPV'!#REF!/'4. NPV'!GYN$8,0)</f>
        <v>0</v>
      </c>
      <c r="GYN54" s="5">
        <f>-IFERROR('4. NPV'!#REF!/'4. NPV'!GYO$8,0)</f>
        <v>0</v>
      </c>
      <c r="GYO54" s="5">
        <f>-IFERROR('4. NPV'!#REF!/'4. NPV'!GYP$8,0)</f>
        <v>0</v>
      </c>
      <c r="GYP54" s="5">
        <f>-IFERROR('4. NPV'!#REF!/'4. NPV'!GYQ$8,0)</f>
        <v>0</v>
      </c>
      <c r="GYQ54" s="5">
        <f>-IFERROR('4. NPV'!#REF!/'4. NPV'!GYR$8,0)</f>
        <v>0</v>
      </c>
      <c r="GYR54" s="5">
        <f>-IFERROR('4. NPV'!#REF!/'4. NPV'!GYS$8,0)</f>
        <v>0</v>
      </c>
      <c r="GYS54" s="5">
        <f>-IFERROR('4. NPV'!#REF!/'4. NPV'!GYT$8,0)</f>
        <v>0</v>
      </c>
      <c r="GYT54" s="5">
        <f>-IFERROR('4. NPV'!#REF!/'4. NPV'!GYU$8,0)</f>
        <v>0</v>
      </c>
      <c r="GYU54" s="5">
        <f>-IFERROR('4. NPV'!#REF!/'4. NPV'!GYV$8,0)</f>
        <v>0</v>
      </c>
      <c r="GYV54" s="5">
        <f>-IFERROR('4. NPV'!#REF!/'4. NPV'!GYW$8,0)</f>
        <v>0</v>
      </c>
      <c r="GYW54" s="5">
        <f>-IFERROR('4. NPV'!#REF!/'4. NPV'!GYX$8,0)</f>
        <v>0</v>
      </c>
      <c r="GYX54" s="5">
        <f>-IFERROR('4. NPV'!#REF!/'4. NPV'!GYY$8,0)</f>
        <v>0</v>
      </c>
      <c r="GYY54" s="5">
        <f>-IFERROR('4. NPV'!#REF!/'4. NPV'!GYZ$8,0)</f>
        <v>0</v>
      </c>
      <c r="GYZ54" s="5">
        <f>-IFERROR('4. NPV'!#REF!/'4. NPV'!GZA$8,0)</f>
        <v>0</v>
      </c>
      <c r="GZA54" s="5">
        <f>-IFERROR('4. NPV'!#REF!/'4. NPV'!GZB$8,0)</f>
        <v>0</v>
      </c>
      <c r="GZB54" s="5">
        <f>-IFERROR('4. NPV'!#REF!/'4. NPV'!GZC$8,0)</f>
        <v>0</v>
      </c>
      <c r="GZC54" s="5">
        <f>-IFERROR('4. NPV'!#REF!/'4. NPV'!GZD$8,0)</f>
        <v>0</v>
      </c>
      <c r="GZD54" s="5">
        <f>-IFERROR('4. NPV'!#REF!/'4. NPV'!GZE$8,0)</f>
        <v>0</v>
      </c>
      <c r="GZE54" s="5">
        <f>-IFERROR('4. NPV'!#REF!/'4. NPV'!GZF$8,0)</f>
        <v>0</v>
      </c>
      <c r="GZF54" s="5">
        <f>-IFERROR('4. NPV'!#REF!/'4. NPV'!GZG$8,0)</f>
        <v>0</v>
      </c>
      <c r="GZG54" s="5">
        <f>-IFERROR('4. NPV'!#REF!/'4. NPV'!GZH$8,0)</f>
        <v>0</v>
      </c>
      <c r="GZH54" s="5">
        <f>-IFERROR('4. NPV'!#REF!/'4. NPV'!GZI$8,0)</f>
        <v>0</v>
      </c>
      <c r="GZI54" s="5">
        <f>-IFERROR('4. NPV'!#REF!/'4. NPV'!GZJ$8,0)</f>
        <v>0</v>
      </c>
      <c r="GZJ54" s="5">
        <f>-IFERROR('4. NPV'!#REF!/'4. NPV'!GZK$8,0)</f>
        <v>0</v>
      </c>
      <c r="GZK54" s="5">
        <f>-IFERROR('4. NPV'!#REF!/'4. NPV'!GZL$8,0)</f>
        <v>0</v>
      </c>
      <c r="GZL54" s="5">
        <f>-IFERROR('4. NPV'!#REF!/'4. NPV'!GZM$8,0)</f>
        <v>0</v>
      </c>
      <c r="GZM54" s="5">
        <f>-IFERROR('4. NPV'!#REF!/'4. NPV'!GZN$8,0)</f>
        <v>0</v>
      </c>
      <c r="GZN54" s="5">
        <f>-IFERROR('4. NPV'!#REF!/'4. NPV'!GZO$8,0)</f>
        <v>0</v>
      </c>
      <c r="GZO54" s="5">
        <f>-IFERROR('4. NPV'!#REF!/'4. NPV'!GZP$8,0)</f>
        <v>0</v>
      </c>
      <c r="GZP54" s="5">
        <f>-IFERROR('4. NPV'!#REF!/'4. NPV'!GZQ$8,0)</f>
        <v>0</v>
      </c>
      <c r="GZQ54" s="5">
        <f>-IFERROR('4. NPV'!#REF!/'4. NPV'!GZR$8,0)</f>
        <v>0</v>
      </c>
      <c r="GZR54" s="5">
        <f>-IFERROR('4. NPV'!#REF!/'4. NPV'!GZS$8,0)</f>
        <v>0</v>
      </c>
      <c r="GZS54" s="5">
        <f>-IFERROR('4. NPV'!#REF!/'4. NPV'!GZT$8,0)</f>
        <v>0</v>
      </c>
      <c r="GZT54" s="5">
        <f>-IFERROR('4. NPV'!#REF!/'4. NPV'!GZU$8,0)</f>
        <v>0</v>
      </c>
      <c r="GZU54" s="5">
        <f>-IFERROR('4. NPV'!#REF!/'4. NPV'!GZV$8,0)</f>
        <v>0</v>
      </c>
      <c r="GZV54" s="5">
        <f>-IFERROR('4. NPV'!#REF!/'4. NPV'!GZW$8,0)</f>
        <v>0</v>
      </c>
      <c r="GZW54" s="5">
        <f>-IFERROR('4. NPV'!#REF!/'4. NPV'!GZX$8,0)</f>
        <v>0</v>
      </c>
      <c r="GZX54" s="5">
        <f>-IFERROR('4. NPV'!#REF!/'4. NPV'!GZY$8,0)</f>
        <v>0</v>
      </c>
      <c r="GZY54" s="5">
        <f>-IFERROR('4. NPV'!#REF!/'4. NPV'!GZZ$8,0)</f>
        <v>0</v>
      </c>
      <c r="GZZ54" s="5">
        <f>-IFERROR('4. NPV'!#REF!/'4. NPV'!HAA$8,0)</f>
        <v>0</v>
      </c>
      <c r="HAA54" s="5">
        <f>-IFERROR('4. NPV'!#REF!/'4. NPV'!HAB$8,0)</f>
        <v>0</v>
      </c>
      <c r="HAB54" s="5">
        <f>-IFERROR('4. NPV'!#REF!/'4. NPV'!HAC$8,0)</f>
        <v>0</v>
      </c>
      <c r="HAC54" s="5">
        <f>-IFERROR('4. NPV'!#REF!/'4. NPV'!HAD$8,0)</f>
        <v>0</v>
      </c>
      <c r="HAD54" s="5">
        <f>-IFERROR('4. NPV'!#REF!/'4. NPV'!HAE$8,0)</f>
        <v>0</v>
      </c>
      <c r="HAE54" s="5">
        <f>-IFERROR('4. NPV'!#REF!/'4. NPV'!HAF$8,0)</f>
        <v>0</v>
      </c>
      <c r="HAF54" s="5">
        <f>-IFERROR('4. NPV'!#REF!/'4. NPV'!HAG$8,0)</f>
        <v>0</v>
      </c>
      <c r="HAG54" s="5">
        <f>-IFERROR('4. NPV'!#REF!/'4. NPV'!HAH$8,0)</f>
        <v>0</v>
      </c>
      <c r="HAH54" s="5">
        <f>-IFERROR('4. NPV'!#REF!/'4. NPV'!HAI$8,0)</f>
        <v>0</v>
      </c>
      <c r="HAI54" s="5">
        <f>-IFERROR('4. NPV'!#REF!/'4. NPV'!HAJ$8,0)</f>
        <v>0</v>
      </c>
      <c r="HAJ54" s="5">
        <f>-IFERROR('4. NPV'!#REF!/'4. NPV'!HAK$8,0)</f>
        <v>0</v>
      </c>
      <c r="HAK54" s="5">
        <f>-IFERROR('4. NPV'!#REF!/'4. NPV'!HAL$8,0)</f>
        <v>0</v>
      </c>
      <c r="HAL54" s="5">
        <f>-IFERROR('4. NPV'!#REF!/'4. NPV'!HAM$8,0)</f>
        <v>0</v>
      </c>
      <c r="HAM54" s="5">
        <f>-IFERROR('4. NPV'!#REF!/'4. NPV'!HAN$8,0)</f>
        <v>0</v>
      </c>
      <c r="HAN54" s="5">
        <f>-IFERROR('4. NPV'!#REF!/'4. NPV'!HAO$8,0)</f>
        <v>0</v>
      </c>
      <c r="HAO54" s="5">
        <f>-IFERROR('4. NPV'!#REF!/'4. NPV'!HAP$8,0)</f>
        <v>0</v>
      </c>
      <c r="HAP54" s="5">
        <f>-IFERROR('4. NPV'!#REF!/'4. NPV'!HAQ$8,0)</f>
        <v>0</v>
      </c>
      <c r="HAQ54" s="5">
        <f>-IFERROR('4. NPV'!#REF!/'4. NPV'!HAR$8,0)</f>
        <v>0</v>
      </c>
      <c r="HAR54" s="5">
        <f>-IFERROR('4. NPV'!#REF!/'4. NPV'!HAS$8,0)</f>
        <v>0</v>
      </c>
      <c r="HAS54" s="5">
        <f>-IFERROR('4. NPV'!#REF!/'4. NPV'!HAT$8,0)</f>
        <v>0</v>
      </c>
      <c r="HAT54" s="5">
        <f>-IFERROR('4. NPV'!#REF!/'4. NPV'!HAU$8,0)</f>
        <v>0</v>
      </c>
      <c r="HAU54" s="5">
        <f>-IFERROR('4. NPV'!#REF!/'4. NPV'!HAV$8,0)</f>
        <v>0</v>
      </c>
      <c r="HAV54" s="5">
        <f>-IFERROR('4. NPV'!#REF!/'4. NPV'!HAW$8,0)</f>
        <v>0</v>
      </c>
      <c r="HAW54" s="5">
        <f>-IFERROR('4. NPV'!#REF!/'4. NPV'!HAX$8,0)</f>
        <v>0</v>
      </c>
      <c r="HAX54" s="5">
        <f>-IFERROR('4. NPV'!#REF!/'4. NPV'!HAY$8,0)</f>
        <v>0</v>
      </c>
      <c r="HAY54" s="5">
        <f>-IFERROR('4. NPV'!#REF!/'4. NPV'!HAZ$8,0)</f>
        <v>0</v>
      </c>
      <c r="HAZ54" s="5">
        <f>-IFERROR('4. NPV'!#REF!/'4. NPV'!HBA$8,0)</f>
        <v>0</v>
      </c>
      <c r="HBA54" s="5">
        <f>-IFERROR('4. NPV'!#REF!/'4. NPV'!HBB$8,0)</f>
        <v>0</v>
      </c>
      <c r="HBB54" s="5">
        <f>-IFERROR('4. NPV'!#REF!/'4. NPV'!HBC$8,0)</f>
        <v>0</v>
      </c>
      <c r="HBC54" s="5">
        <f>-IFERROR('4. NPV'!#REF!/'4. NPV'!HBD$8,0)</f>
        <v>0</v>
      </c>
      <c r="HBD54" s="5">
        <f>-IFERROR('4. NPV'!#REF!/'4. NPV'!HBE$8,0)</f>
        <v>0</v>
      </c>
      <c r="HBE54" s="5">
        <f>-IFERROR('4. NPV'!#REF!/'4. NPV'!HBF$8,0)</f>
        <v>0</v>
      </c>
      <c r="HBF54" s="5">
        <f>-IFERROR('4. NPV'!#REF!/'4. NPV'!HBG$8,0)</f>
        <v>0</v>
      </c>
      <c r="HBG54" s="5">
        <f>-IFERROR('4. NPV'!#REF!/'4. NPV'!HBH$8,0)</f>
        <v>0</v>
      </c>
      <c r="HBH54" s="5">
        <f>-IFERROR('4. NPV'!#REF!/'4. NPV'!HBI$8,0)</f>
        <v>0</v>
      </c>
      <c r="HBI54" s="5">
        <f>-IFERROR('4. NPV'!#REF!/'4. NPV'!HBJ$8,0)</f>
        <v>0</v>
      </c>
      <c r="HBJ54" s="5">
        <f>-IFERROR('4. NPV'!#REF!/'4. NPV'!HBK$8,0)</f>
        <v>0</v>
      </c>
      <c r="HBK54" s="5">
        <f>-IFERROR('4. NPV'!#REF!/'4. NPV'!HBL$8,0)</f>
        <v>0</v>
      </c>
      <c r="HBL54" s="5">
        <f>-IFERROR('4. NPV'!#REF!/'4. NPV'!HBM$8,0)</f>
        <v>0</v>
      </c>
      <c r="HBM54" s="5">
        <f>-IFERROR('4. NPV'!#REF!/'4. NPV'!HBN$8,0)</f>
        <v>0</v>
      </c>
      <c r="HBN54" s="5">
        <f>-IFERROR('4. NPV'!#REF!/'4. NPV'!HBO$8,0)</f>
        <v>0</v>
      </c>
      <c r="HBO54" s="5">
        <f>-IFERROR('4. NPV'!#REF!/'4. NPV'!HBP$8,0)</f>
        <v>0</v>
      </c>
      <c r="HBP54" s="5">
        <f>-IFERROR('4. NPV'!#REF!/'4. NPV'!HBQ$8,0)</f>
        <v>0</v>
      </c>
      <c r="HBQ54" s="5">
        <f>-IFERROR('4. NPV'!#REF!/'4. NPV'!HBR$8,0)</f>
        <v>0</v>
      </c>
      <c r="HBR54" s="5">
        <f>-IFERROR('4. NPV'!#REF!/'4. NPV'!HBS$8,0)</f>
        <v>0</v>
      </c>
      <c r="HBS54" s="5">
        <f>-IFERROR('4. NPV'!#REF!/'4. NPV'!HBT$8,0)</f>
        <v>0</v>
      </c>
      <c r="HBT54" s="5">
        <f>-IFERROR('4. NPV'!#REF!/'4. NPV'!HBU$8,0)</f>
        <v>0</v>
      </c>
      <c r="HBU54" s="5">
        <f>-IFERROR('4. NPV'!#REF!/'4. NPV'!HBV$8,0)</f>
        <v>0</v>
      </c>
      <c r="HBV54" s="5">
        <f>-IFERROR('4. NPV'!#REF!/'4. NPV'!HBW$8,0)</f>
        <v>0</v>
      </c>
      <c r="HBW54" s="5">
        <f>-IFERROR('4. NPV'!#REF!/'4. NPV'!HBX$8,0)</f>
        <v>0</v>
      </c>
      <c r="HBX54" s="5">
        <f>-IFERROR('4. NPV'!#REF!/'4. NPV'!HBY$8,0)</f>
        <v>0</v>
      </c>
      <c r="HBY54" s="5">
        <f>-IFERROR('4. NPV'!#REF!/'4. NPV'!HBZ$8,0)</f>
        <v>0</v>
      </c>
      <c r="HBZ54" s="5">
        <f>-IFERROR('4. NPV'!#REF!/'4. NPV'!HCA$8,0)</f>
        <v>0</v>
      </c>
      <c r="HCA54" s="5">
        <f>-IFERROR('4. NPV'!#REF!/'4. NPV'!HCB$8,0)</f>
        <v>0</v>
      </c>
      <c r="HCB54" s="5">
        <f>-IFERROR('4. NPV'!#REF!/'4. NPV'!HCC$8,0)</f>
        <v>0</v>
      </c>
      <c r="HCC54" s="5">
        <f>-IFERROR('4. NPV'!#REF!/'4. NPV'!HCD$8,0)</f>
        <v>0</v>
      </c>
      <c r="HCD54" s="5">
        <f>-IFERROR('4. NPV'!#REF!/'4. NPV'!HCE$8,0)</f>
        <v>0</v>
      </c>
      <c r="HCE54" s="5">
        <f>-IFERROR('4. NPV'!#REF!/'4. NPV'!HCF$8,0)</f>
        <v>0</v>
      </c>
      <c r="HCF54" s="5">
        <f>-IFERROR('4. NPV'!#REF!/'4. NPV'!HCG$8,0)</f>
        <v>0</v>
      </c>
      <c r="HCG54" s="5">
        <f>-IFERROR('4. NPV'!#REF!/'4. NPV'!HCH$8,0)</f>
        <v>0</v>
      </c>
      <c r="HCH54" s="5">
        <f>-IFERROR('4. NPV'!#REF!/'4. NPV'!HCI$8,0)</f>
        <v>0</v>
      </c>
      <c r="HCI54" s="5">
        <f>-IFERROR('4. NPV'!#REF!/'4. NPV'!HCJ$8,0)</f>
        <v>0</v>
      </c>
      <c r="HCJ54" s="5">
        <f>-IFERROR('4. NPV'!#REF!/'4. NPV'!HCK$8,0)</f>
        <v>0</v>
      </c>
      <c r="HCK54" s="5">
        <f>-IFERROR('4. NPV'!#REF!/'4. NPV'!HCL$8,0)</f>
        <v>0</v>
      </c>
      <c r="HCL54" s="5">
        <f>-IFERROR('4. NPV'!#REF!/'4. NPV'!HCM$8,0)</f>
        <v>0</v>
      </c>
      <c r="HCM54" s="5">
        <f>-IFERROR('4. NPV'!#REF!/'4. NPV'!HCN$8,0)</f>
        <v>0</v>
      </c>
      <c r="HCN54" s="5">
        <f>-IFERROR('4. NPV'!#REF!/'4. NPV'!HCO$8,0)</f>
        <v>0</v>
      </c>
      <c r="HCO54" s="5">
        <f>-IFERROR('4. NPV'!#REF!/'4. NPV'!HCP$8,0)</f>
        <v>0</v>
      </c>
      <c r="HCP54" s="5">
        <f>-IFERROR('4. NPV'!#REF!/'4. NPV'!HCQ$8,0)</f>
        <v>0</v>
      </c>
      <c r="HCQ54" s="5">
        <f>-IFERROR('4. NPV'!#REF!/'4. NPV'!HCR$8,0)</f>
        <v>0</v>
      </c>
      <c r="HCR54" s="5">
        <f>-IFERROR('4. NPV'!#REF!/'4. NPV'!HCS$8,0)</f>
        <v>0</v>
      </c>
      <c r="HCS54" s="5">
        <f>-IFERROR('4. NPV'!#REF!/'4. NPV'!HCT$8,0)</f>
        <v>0</v>
      </c>
      <c r="HCT54" s="5">
        <f>-IFERROR('4. NPV'!#REF!/'4. NPV'!HCU$8,0)</f>
        <v>0</v>
      </c>
      <c r="HCU54" s="5">
        <f>-IFERROR('4. NPV'!#REF!/'4. NPV'!HCV$8,0)</f>
        <v>0</v>
      </c>
      <c r="HCV54" s="5">
        <f>-IFERROR('4. NPV'!#REF!/'4. NPV'!HCW$8,0)</f>
        <v>0</v>
      </c>
      <c r="HCW54" s="5">
        <f>-IFERROR('4. NPV'!#REF!/'4. NPV'!HCX$8,0)</f>
        <v>0</v>
      </c>
      <c r="HCX54" s="5">
        <f>-IFERROR('4. NPV'!#REF!/'4. NPV'!HCY$8,0)</f>
        <v>0</v>
      </c>
      <c r="HCY54" s="5">
        <f>-IFERROR('4. NPV'!#REF!/'4. NPV'!HCZ$8,0)</f>
        <v>0</v>
      </c>
      <c r="HCZ54" s="5">
        <f>-IFERROR('4. NPV'!#REF!/'4. NPV'!HDA$8,0)</f>
        <v>0</v>
      </c>
      <c r="HDA54" s="5">
        <f>-IFERROR('4. NPV'!#REF!/'4. NPV'!HDB$8,0)</f>
        <v>0</v>
      </c>
      <c r="HDB54" s="5">
        <f>-IFERROR('4. NPV'!#REF!/'4. NPV'!HDC$8,0)</f>
        <v>0</v>
      </c>
      <c r="HDC54" s="5">
        <f>-IFERROR('4. NPV'!#REF!/'4. NPV'!HDD$8,0)</f>
        <v>0</v>
      </c>
      <c r="HDD54" s="5">
        <f>-IFERROR('4. NPV'!#REF!/'4. NPV'!HDE$8,0)</f>
        <v>0</v>
      </c>
      <c r="HDE54" s="5">
        <f>-IFERROR('4. NPV'!#REF!/'4. NPV'!HDF$8,0)</f>
        <v>0</v>
      </c>
      <c r="HDF54" s="5">
        <f>-IFERROR('4. NPV'!#REF!/'4. NPV'!HDG$8,0)</f>
        <v>0</v>
      </c>
      <c r="HDG54" s="5">
        <f>-IFERROR('4. NPV'!#REF!/'4. NPV'!HDH$8,0)</f>
        <v>0</v>
      </c>
      <c r="HDH54" s="5">
        <f>-IFERROR('4. NPV'!#REF!/'4. NPV'!HDI$8,0)</f>
        <v>0</v>
      </c>
      <c r="HDI54" s="5">
        <f>-IFERROR('4. NPV'!#REF!/'4. NPV'!HDJ$8,0)</f>
        <v>0</v>
      </c>
      <c r="HDJ54" s="5">
        <f>-IFERROR('4. NPV'!#REF!/'4. NPV'!HDK$8,0)</f>
        <v>0</v>
      </c>
      <c r="HDK54" s="5">
        <f>-IFERROR('4. NPV'!#REF!/'4. NPV'!HDL$8,0)</f>
        <v>0</v>
      </c>
      <c r="HDL54" s="5">
        <f>-IFERROR('4. NPV'!#REF!/'4. NPV'!HDM$8,0)</f>
        <v>0</v>
      </c>
      <c r="HDM54" s="5">
        <f>-IFERROR('4. NPV'!#REF!/'4. NPV'!HDN$8,0)</f>
        <v>0</v>
      </c>
      <c r="HDN54" s="5">
        <f>-IFERROR('4. NPV'!#REF!/'4. NPV'!HDO$8,0)</f>
        <v>0</v>
      </c>
      <c r="HDO54" s="5">
        <f>-IFERROR('4. NPV'!#REF!/'4. NPV'!HDP$8,0)</f>
        <v>0</v>
      </c>
      <c r="HDP54" s="5">
        <f>-IFERROR('4. NPV'!#REF!/'4. NPV'!HDQ$8,0)</f>
        <v>0</v>
      </c>
      <c r="HDQ54" s="5">
        <f>-IFERROR('4. NPV'!#REF!/'4. NPV'!HDR$8,0)</f>
        <v>0</v>
      </c>
      <c r="HDR54" s="5">
        <f>-IFERROR('4. NPV'!#REF!/'4. NPV'!HDS$8,0)</f>
        <v>0</v>
      </c>
      <c r="HDS54" s="5">
        <f>-IFERROR('4. NPV'!#REF!/'4. NPV'!HDT$8,0)</f>
        <v>0</v>
      </c>
      <c r="HDT54" s="5">
        <f>-IFERROR('4. NPV'!#REF!/'4. NPV'!HDU$8,0)</f>
        <v>0</v>
      </c>
      <c r="HDU54" s="5">
        <f>-IFERROR('4. NPV'!#REF!/'4. NPV'!HDV$8,0)</f>
        <v>0</v>
      </c>
      <c r="HDV54" s="5">
        <f>-IFERROR('4. NPV'!#REF!/'4. NPV'!HDW$8,0)</f>
        <v>0</v>
      </c>
      <c r="HDW54" s="5">
        <f>-IFERROR('4. NPV'!#REF!/'4. NPV'!HDX$8,0)</f>
        <v>0</v>
      </c>
      <c r="HDX54" s="5">
        <f>-IFERROR('4. NPV'!#REF!/'4. NPV'!HDY$8,0)</f>
        <v>0</v>
      </c>
      <c r="HDY54" s="5">
        <f>-IFERROR('4. NPV'!#REF!/'4. NPV'!HDZ$8,0)</f>
        <v>0</v>
      </c>
      <c r="HDZ54" s="5">
        <f>-IFERROR('4. NPV'!#REF!/'4. NPV'!HEA$8,0)</f>
        <v>0</v>
      </c>
      <c r="HEA54" s="5">
        <f>-IFERROR('4. NPV'!#REF!/'4. NPV'!HEB$8,0)</f>
        <v>0</v>
      </c>
      <c r="HEB54" s="5">
        <f>-IFERROR('4. NPV'!#REF!/'4. NPV'!HEC$8,0)</f>
        <v>0</v>
      </c>
      <c r="HEC54" s="5">
        <f>-IFERROR('4. NPV'!#REF!/'4. NPV'!HED$8,0)</f>
        <v>0</v>
      </c>
      <c r="HED54" s="5">
        <f>-IFERROR('4. NPV'!#REF!/'4. NPV'!HEE$8,0)</f>
        <v>0</v>
      </c>
      <c r="HEE54" s="5">
        <f>-IFERROR('4. NPV'!#REF!/'4. NPV'!HEF$8,0)</f>
        <v>0</v>
      </c>
      <c r="HEF54" s="5">
        <f>-IFERROR('4. NPV'!#REF!/'4. NPV'!HEG$8,0)</f>
        <v>0</v>
      </c>
      <c r="HEG54" s="5">
        <f>-IFERROR('4. NPV'!#REF!/'4. NPV'!HEH$8,0)</f>
        <v>0</v>
      </c>
      <c r="HEH54" s="5">
        <f>-IFERROR('4. NPV'!#REF!/'4. NPV'!HEI$8,0)</f>
        <v>0</v>
      </c>
      <c r="HEI54" s="5">
        <f>-IFERROR('4. NPV'!#REF!/'4. NPV'!HEJ$8,0)</f>
        <v>0</v>
      </c>
      <c r="HEJ54" s="5">
        <f>-IFERROR('4. NPV'!#REF!/'4. NPV'!HEK$8,0)</f>
        <v>0</v>
      </c>
      <c r="HEK54" s="5">
        <f>-IFERROR('4. NPV'!#REF!/'4. NPV'!HEL$8,0)</f>
        <v>0</v>
      </c>
      <c r="HEL54" s="5">
        <f>-IFERROR('4. NPV'!#REF!/'4. NPV'!HEM$8,0)</f>
        <v>0</v>
      </c>
      <c r="HEM54" s="5">
        <f>-IFERROR('4. NPV'!#REF!/'4. NPV'!HEN$8,0)</f>
        <v>0</v>
      </c>
      <c r="HEN54" s="5">
        <f>-IFERROR('4. NPV'!#REF!/'4. NPV'!HEO$8,0)</f>
        <v>0</v>
      </c>
      <c r="HEO54" s="5">
        <f>-IFERROR('4. NPV'!#REF!/'4. NPV'!HEP$8,0)</f>
        <v>0</v>
      </c>
      <c r="HEP54" s="5">
        <f>-IFERROR('4. NPV'!#REF!/'4. NPV'!HEQ$8,0)</f>
        <v>0</v>
      </c>
      <c r="HEQ54" s="5">
        <f>-IFERROR('4. NPV'!#REF!/'4. NPV'!HER$8,0)</f>
        <v>0</v>
      </c>
      <c r="HER54" s="5">
        <f>-IFERROR('4. NPV'!#REF!/'4. NPV'!HES$8,0)</f>
        <v>0</v>
      </c>
      <c r="HES54" s="5">
        <f>-IFERROR('4. NPV'!#REF!/'4. NPV'!HET$8,0)</f>
        <v>0</v>
      </c>
      <c r="HET54" s="5">
        <f>-IFERROR('4. NPV'!#REF!/'4. NPV'!HEU$8,0)</f>
        <v>0</v>
      </c>
      <c r="HEU54" s="5">
        <f>-IFERROR('4. NPV'!#REF!/'4. NPV'!HEV$8,0)</f>
        <v>0</v>
      </c>
      <c r="HEV54" s="5">
        <f>-IFERROR('4. NPV'!#REF!/'4. NPV'!HEW$8,0)</f>
        <v>0</v>
      </c>
      <c r="HEW54" s="5">
        <f>-IFERROR('4. NPV'!#REF!/'4. NPV'!HEX$8,0)</f>
        <v>0</v>
      </c>
      <c r="HEX54" s="5">
        <f>-IFERROR('4. NPV'!#REF!/'4. NPV'!HEY$8,0)</f>
        <v>0</v>
      </c>
      <c r="HEY54" s="5">
        <f>-IFERROR('4. NPV'!#REF!/'4. NPV'!HEZ$8,0)</f>
        <v>0</v>
      </c>
      <c r="HEZ54" s="5">
        <f>-IFERROR('4. NPV'!#REF!/'4. NPV'!HFA$8,0)</f>
        <v>0</v>
      </c>
      <c r="HFA54" s="5">
        <f>-IFERROR('4. NPV'!#REF!/'4. NPV'!HFB$8,0)</f>
        <v>0</v>
      </c>
      <c r="HFB54" s="5">
        <f>-IFERROR('4. NPV'!#REF!/'4. NPV'!HFC$8,0)</f>
        <v>0</v>
      </c>
      <c r="HFC54" s="5">
        <f>-IFERROR('4. NPV'!#REF!/'4. NPV'!HFD$8,0)</f>
        <v>0</v>
      </c>
      <c r="HFD54" s="5">
        <f>-IFERROR('4. NPV'!#REF!/'4. NPV'!HFE$8,0)</f>
        <v>0</v>
      </c>
      <c r="HFE54" s="5">
        <f>-IFERROR('4. NPV'!#REF!/'4. NPV'!HFF$8,0)</f>
        <v>0</v>
      </c>
      <c r="HFF54" s="5">
        <f>-IFERROR('4. NPV'!#REF!/'4. NPV'!HFG$8,0)</f>
        <v>0</v>
      </c>
      <c r="HFG54" s="5">
        <f>-IFERROR('4. NPV'!#REF!/'4. NPV'!HFH$8,0)</f>
        <v>0</v>
      </c>
      <c r="HFH54" s="5">
        <f>-IFERROR('4. NPV'!#REF!/'4. NPV'!HFI$8,0)</f>
        <v>0</v>
      </c>
      <c r="HFI54" s="5">
        <f>-IFERROR('4. NPV'!#REF!/'4. NPV'!HFJ$8,0)</f>
        <v>0</v>
      </c>
      <c r="HFJ54" s="5">
        <f>-IFERROR('4. NPV'!#REF!/'4. NPV'!HFK$8,0)</f>
        <v>0</v>
      </c>
      <c r="HFK54" s="5">
        <f>-IFERROR('4. NPV'!#REF!/'4. NPV'!HFL$8,0)</f>
        <v>0</v>
      </c>
      <c r="HFL54" s="5">
        <f>-IFERROR('4. NPV'!#REF!/'4. NPV'!HFM$8,0)</f>
        <v>0</v>
      </c>
      <c r="HFM54" s="5">
        <f>-IFERROR('4. NPV'!#REF!/'4. NPV'!HFN$8,0)</f>
        <v>0</v>
      </c>
      <c r="HFN54" s="5">
        <f>-IFERROR('4. NPV'!#REF!/'4. NPV'!HFO$8,0)</f>
        <v>0</v>
      </c>
      <c r="HFO54" s="5">
        <f>-IFERROR('4. NPV'!#REF!/'4. NPV'!HFP$8,0)</f>
        <v>0</v>
      </c>
      <c r="HFP54" s="5">
        <f>-IFERROR('4. NPV'!#REF!/'4. NPV'!HFQ$8,0)</f>
        <v>0</v>
      </c>
      <c r="HFQ54" s="5">
        <f>-IFERROR('4. NPV'!#REF!/'4. NPV'!HFR$8,0)</f>
        <v>0</v>
      </c>
      <c r="HFR54" s="5">
        <f>-IFERROR('4. NPV'!#REF!/'4. NPV'!HFS$8,0)</f>
        <v>0</v>
      </c>
      <c r="HFS54" s="5">
        <f>-IFERROR('4. NPV'!#REF!/'4. NPV'!HFT$8,0)</f>
        <v>0</v>
      </c>
      <c r="HFT54" s="5">
        <f>-IFERROR('4. NPV'!#REF!/'4. NPV'!HFU$8,0)</f>
        <v>0</v>
      </c>
      <c r="HFU54" s="5">
        <f>-IFERROR('4. NPV'!#REF!/'4. NPV'!HFV$8,0)</f>
        <v>0</v>
      </c>
      <c r="HFV54" s="5">
        <f>-IFERROR('4. NPV'!#REF!/'4. NPV'!HFW$8,0)</f>
        <v>0</v>
      </c>
      <c r="HFW54" s="5">
        <f>-IFERROR('4. NPV'!#REF!/'4. NPV'!HFX$8,0)</f>
        <v>0</v>
      </c>
      <c r="HFX54" s="5">
        <f>-IFERROR('4. NPV'!#REF!/'4. NPV'!HFY$8,0)</f>
        <v>0</v>
      </c>
      <c r="HFY54" s="5">
        <f>-IFERROR('4. NPV'!#REF!/'4. NPV'!HFZ$8,0)</f>
        <v>0</v>
      </c>
      <c r="HFZ54" s="5">
        <f>-IFERROR('4. NPV'!#REF!/'4. NPV'!HGA$8,0)</f>
        <v>0</v>
      </c>
      <c r="HGA54" s="5">
        <f>-IFERROR('4. NPV'!#REF!/'4. NPV'!HGB$8,0)</f>
        <v>0</v>
      </c>
      <c r="HGB54" s="5">
        <f>-IFERROR('4. NPV'!#REF!/'4. NPV'!HGC$8,0)</f>
        <v>0</v>
      </c>
      <c r="HGC54" s="5">
        <f>-IFERROR('4. NPV'!#REF!/'4. NPV'!HGD$8,0)</f>
        <v>0</v>
      </c>
      <c r="HGD54" s="5">
        <f>-IFERROR('4. NPV'!#REF!/'4. NPV'!HGE$8,0)</f>
        <v>0</v>
      </c>
      <c r="HGE54" s="5">
        <f>-IFERROR('4. NPV'!#REF!/'4. NPV'!HGF$8,0)</f>
        <v>0</v>
      </c>
      <c r="HGF54" s="5">
        <f>-IFERROR('4. NPV'!#REF!/'4. NPV'!HGG$8,0)</f>
        <v>0</v>
      </c>
      <c r="HGG54" s="5">
        <f>-IFERROR('4. NPV'!#REF!/'4. NPV'!HGH$8,0)</f>
        <v>0</v>
      </c>
      <c r="HGH54" s="5">
        <f>-IFERROR('4. NPV'!#REF!/'4. NPV'!HGI$8,0)</f>
        <v>0</v>
      </c>
      <c r="HGI54" s="5">
        <f>-IFERROR('4. NPV'!#REF!/'4. NPV'!HGJ$8,0)</f>
        <v>0</v>
      </c>
      <c r="HGJ54" s="5">
        <f>-IFERROR('4. NPV'!#REF!/'4. NPV'!HGK$8,0)</f>
        <v>0</v>
      </c>
      <c r="HGK54" s="5">
        <f>-IFERROR('4. NPV'!#REF!/'4. NPV'!HGL$8,0)</f>
        <v>0</v>
      </c>
      <c r="HGL54" s="5">
        <f>-IFERROR('4. NPV'!#REF!/'4. NPV'!HGM$8,0)</f>
        <v>0</v>
      </c>
      <c r="HGM54" s="5">
        <f>-IFERROR('4. NPV'!#REF!/'4. NPV'!HGN$8,0)</f>
        <v>0</v>
      </c>
      <c r="HGN54" s="5">
        <f>-IFERROR('4. NPV'!#REF!/'4. NPV'!HGO$8,0)</f>
        <v>0</v>
      </c>
      <c r="HGO54" s="5">
        <f>-IFERROR('4. NPV'!#REF!/'4. NPV'!HGP$8,0)</f>
        <v>0</v>
      </c>
      <c r="HGP54" s="5">
        <f>-IFERROR('4. NPV'!#REF!/'4. NPV'!HGQ$8,0)</f>
        <v>0</v>
      </c>
      <c r="HGQ54" s="5">
        <f>-IFERROR('4. NPV'!#REF!/'4. NPV'!HGR$8,0)</f>
        <v>0</v>
      </c>
      <c r="HGR54" s="5">
        <f>-IFERROR('4. NPV'!#REF!/'4. NPV'!HGS$8,0)</f>
        <v>0</v>
      </c>
      <c r="HGS54" s="5">
        <f>-IFERROR('4. NPV'!#REF!/'4. NPV'!HGT$8,0)</f>
        <v>0</v>
      </c>
      <c r="HGT54" s="5">
        <f>-IFERROR('4. NPV'!#REF!/'4. NPV'!HGU$8,0)</f>
        <v>0</v>
      </c>
      <c r="HGU54" s="5">
        <f>-IFERROR('4. NPV'!#REF!/'4. NPV'!HGV$8,0)</f>
        <v>0</v>
      </c>
      <c r="HGV54" s="5">
        <f>-IFERROR('4. NPV'!#REF!/'4. NPV'!HGW$8,0)</f>
        <v>0</v>
      </c>
      <c r="HGW54" s="5">
        <f>-IFERROR('4. NPV'!#REF!/'4. NPV'!HGX$8,0)</f>
        <v>0</v>
      </c>
      <c r="HGX54" s="5">
        <f>-IFERROR('4. NPV'!#REF!/'4. NPV'!HGY$8,0)</f>
        <v>0</v>
      </c>
      <c r="HGY54" s="5">
        <f>-IFERROR('4. NPV'!#REF!/'4. NPV'!HGZ$8,0)</f>
        <v>0</v>
      </c>
      <c r="HGZ54" s="5">
        <f>-IFERROR('4. NPV'!#REF!/'4. NPV'!HHA$8,0)</f>
        <v>0</v>
      </c>
      <c r="HHA54" s="5">
        <f>-IFERROR('4. NPV'!#REF!/'4. NPV'!HHB$8,0)</f>
        <v>0</v>
      </c>
      <c r="HHB54" s="5">
        <f>-IFERROR('4. NPV'!#REF!/'4. NPV'!HHC$8,0)</f>
        <v>0</v>
      </c>
      <c r="HHC54" s="5">
        <f>-IFERROR('4. NPV'!#REF!/'4. NPV'!HHD$8,0)</f>
        <v>0</v>
      </c>
      <c r="HHD54" s="5">
        <f>-IFERROR('4. NPV'!#REF!/'4. NPV'!HHE$8,0)</f>
        <v>0</v>
      </c>
      <c r="HHE54" s="5">
        <f>-IFERROR('4. NPV'!#REF!/'4. NPV'!HHF$8,0)</f>
        <v>0</v>
      </c>
      <c r="HHF54" s="5">
        <f>-IFERROR('4. NPV'!#REF!/'4. NPV'!HHG$8,0)</f>
        <v>0</v>
      </c>
      <c r="HHG54" s="5">
        <f>-IFERROR('4. NPV'!#REF!/'4. NPV'!HHH$8,0)</f>
        <v>0</v>
      </c>
      <c r="HHH54" s="5">
        <f>-IFERROR('4. NPV'!#REF!/'4. NPV'!HHI$8,0)</f>
        <v>0</v>
      </c>
      <c r="HHI54" s="5">
        <f>-IFERROR('4. NPV'!#REF!/'4. NPV'!HHJ$8,0)</f>
        <v>0</v>
      </c>
      <c r="HHJ54" s="5">
        <f>-IFERROR('4. NPV'!#REF!/'4. NPV'!HHK$8,0)</f>
        <v>0</v>
      </c>
      <c r="HHK54" s="5">
        <f>-IFERROR('4. NPV'!#REF!/'4. NPV'!HHL$8,0)</f>
        <v>0</v>
      </c>
      <c r="HHL54" s="5">
        <f>-IFERROR('4. NPV'!#REF!/'4. NPV'!HHM$8,0)</f>
        <v>0</v>
      </c>
      <c r="HHM54" s="5">
        <f>-IFERROR('4. NPV'!#REF!/'4. NPV'!HHN$8,0)</f>
        <v>0</v>
      </c>
      <c r="HHN54" s="5">
        <f>-IFERROR('4. NPV'!#REF!/'4. NPV'!HHO$8,0)</f>
        <v>0</v>
      </c>
      <c r="HHO54" s="5">
        <f>-IFERROR('4. NPV'!#REF!/'4. NPV'!HHP$8,0)</f>
        <v>0</v>
      </c>
      <c r="HHP54" s="5">
        <f>-IFERROR('4. NPV'!#REF!/'4. NPV'!HHQ$8,0)</f>
        <v>0</v>
      </c>
      <c r="HHQ54" s="5">
        <f>-IFERROR('4. NPV'!#REF!/'4. NPV'!HHR$8,0)</f>
        <v>0</v>
      </c>
      <c r="HHR54" s="5">
        <f>-IFERROR('4. NPV'!#REF!/'4. NPV'!HHS$8,0)</f>
        <v>0</v>
      </c>
      <c r="HHS54" s="5">
        <f>-IFERROR('4. NPV'!#REF!/'4. NPV'!HHT$8,0)</f>
        <v>0</v>
      </c>
      <c r="HHT54" s="5">
        <f>-IFERROR('4. NPV'!#REF!/'4. NPV'!HHU$8,0)</f>
        <v>0</v>
      </c>
      <c r="HHU54" s="5">
        <f>-IFERROR('4. NPV'!#REF!/'4. NPV'!HHV$8,0)</f>
        <v>0</v>
      </c>
      <c r="HHV54" s="5">
        <f>-IFERROR('4. NPV'!#REF!/'4. NPV'!HHW$8,0)</f>
        <v>0</v>
      </c>
      <c r="HHW54" s="5">
        <f>-IFERROR('4. NPV'!#REF!/'4. NPV'!HHX$8,0)</f>
        <v>0</v>
      </c>
      <c r="HHX54" s="5">
        <f>-IFERROR('4. NPV'!#REF!/'4. NPV'!HHY$8,0)</f>
        <v>0</v>
      </c>
      <c r="HHY54" s="5">
        <f>-IFERROR('4. NPV'!#REF!/'4. NPV'!HHZ$8,0)</f>
        <v>0</v>
      </c>
      <c r="HHZ54" s="5">
        <f>-IFERROR('4. NPV'!#REF!/'4. NPV'!HIA$8,0)</f>
        <v>0</v>
      </c>
      <c r="HIA54" s="5">
        <f>-IFERROR('4. NPV'!#REF!/'4. NPV'!HIB$8,0)</f>
        <v>0</v>
      </c>
      <c r="HIB54" s="5">
        <f>-IFERROR('4. NPV'!#REF!/'4. NPV'!HIC$8,0)</f>
        <v>0</v>
      </c>
      <c r="HIC54" s="5">
        <f>-IFERROR('4. NPV'!#REF!/'4. NPV'!HID$8,0)</f>
        <v>0</v>
      </c>
      <c r="HID54" s="5">
        <f>-IFERROR('4. NPV'!#REF!/'4. NPV'!HIE$8,0)</f>
        <v>0</v>
      </c>
      <c r="HIE54" s="5">
        <f>-IFERROR('4. NPV'!#REF!/'4. NPV'!HIF$8,0)</f>
        <v>0</v>
      </c>
      <c r="HIF54" s="5">
        <f>-IFERROR('4. NPV'!#REF!/'4. NPV'!HIG$8,0)</f>
        <v>0</v>
      </c>
      <c r="HIG54" s="5">
        <f>-IFERROR('4. NPV'!#REF!/'4. NPV'!HIH$8,0)</f>
        <v>0</v>
      </c>
      <c r="HIH54" s="5">
        <f>-IFERROR('4. NPV'!#REF!/'4. NPV'!HII$8,0)</f>
        <v>0</v>
      </c>
      <c r="HII54" s="5">
        <f>-IFERROR('4. NPV'!#REF!/'4. NPV'!HIJ$8,0)</f>
        <v>0</v>
      </c>
      <c r="HIJ54" s="5">
        <f>-IFERROR('4. NPV'!#REF!/'4. NPV'!HIK$8,0)</f>
        <v>0</v>
      </c>
      <c r="HIK54" s="5">
        <f>-IFERROR('4. NPV'!#REF!/'4. NPV'!HIL$8,0)</f>
        <v>0</v>
      </c>
      <c r="HIL54" s="5">
        <f>-IFERROR('4. NPV'!#REF!/'4. NPV'!HIM$8,0)</f>
        <v>0</v>
      </c>
      <c r="HIM54" s="5">
        <f>-IFERROR('4. NPV'!#REF!/'4. NPV'!HIN$8,0)</f>
        <v>0</v>
      </c>
      <c r="HIN54" s="5">
        <f>-IFERROR('4. NPV'!#REF!/'4. NPV'!HIO$8,0)</f>
        <v>0</v>
      </c>
      <c r="HIO54" s="5">
        <f>-IFERROR('4. NPV'!#REF!/'4. NPV'!HIP$8,0)</f>
        <v>0</v>
      </c>
      <c r="HIP54" s="5">
        <f>-IFERROR('4. NPV'!#REF!/'4. NPV'!HIQ$8,0)</f>
        <v>0</v>
      </c>
      <c r="HIQ54" s="5">
        <f>-IFERROR('4. NPV'!#REF!/'4. NPV'!HIR$8,0)</f>
        <v>0</v>
      </c>
      <c r="HIR54" s="5">
        <f>-IFERROR('4. NPV'!#REF!/'4. NPV'!HIS$8,0)</f>
        <v>0</v>
      </c>
      <c r="HIS54" s="5">
        <f>-IFERROR('4. NPV'!#REF!/'4. NPV'!HIT$8,0)</f>
        <v>0</v>
      </c>
      <c r="HIT54" s="5">
        <f>-IFERROR('4. NPV'!#REF!/'4. NPV'!HIU$8,0)</f>
        <v>0</v>
      </c>
      <c r="HIU54" s="5">
        <f>-IFERROR('4. NPV'!#REF!/'4. NPV'!HIV$8,0)</f>
        <v>0</v>
      </c>
      <c r="HIV54" s="5">
        <f>-IFERROR('4. NPV'!#REF!/'4. NPV'!HIW$8,0)</f>
        <v>0</v>
      </c>
      <c r="HIW54" s="5">
        <f>-IFERROR('4. NPV'!#REF!/'4. NPV'!HIX$8,0)</f>
        <v>0</v>
      </c>
      <c r="HIX54" s="5">
        <f>-IFERROR('4. NPV'!#REF!/'4. NPV'!HIY$8,0)</f>
        <v>0</v>
      </c>
      <c r="HIY54" s="5">
        <f>-IFERROR('4. NPV'!#REF!/'4. NPV'!HIZ$8,0)</f>
        <v>0</v>
      </c>
      <c r="HIZ54" s="5">
        <f>-IFERROR('4. NPV'!#REF!/'4. NPV'!HJA$8,0)</f>
        <v>0</v>
      </c>
      <c r="HJA54" s="5">
        <f>-IFERROR('4. NPV'!#REF!/'4. NPV'!HJB$8,0)</f>
        <v>0</v>
      </c>
      <c r="HJB54" s="5">
        <f>-IFERROR('4. NPV'!#REF!/'4. NPV'!HJC$8,0)</f>
        <v>0</v>
      </c>
      <c r="HJC54" s="5">
        <f>-IFERROR('4. NPV'!#REF!/'4. NPV'!HJD$8,0)</f>
        <v>0</v>
      </c>
      <c r="HJD54" s="5">
        <f>-IFERROR('4. NPV'!#REF!/'4. NPV'!HJE$8,0)</f>
        <v>0</v>
      </c>
      <c r="HJE54" s="5">
        <f>-IFERROR('4. NPV'!#REF!/'4. NPV'!HJF$8,0)</f>
        <v>0</v>
      </c>
      <c r="HJF54" s="5">
        <f>-IFERROR('4. NPV'!#REF!/'4. NPV'!HJG$8,0)</f>
        <v>0</v>
      </c>
      <c r="HJG54" s="5">
        <f>-IFERROR('4. NPV'!#REF!/'4. NPV'!HJH$8,0)</f>
        <v>0</v>
      </c>
      <c r="HJH54" s="5">
        <f>-IFERROR('4. NPV'!#REF!/'4. NPV'!HJI$8,0)</f>
        <v>0</v>
      </c>
      <c r="HJI54" s="5">
        <f>-IFERROR('4. NPV'!#REF!/'4. NPV'!HJJ$8,0)</f>
        <v>0</v>
      </c>
      <c r="HJJ54" s="5">
        <f>-IFERROR('4. NPV'!#REF!/'4. NPV'!HJK$8,0)</f>
        <v>0</v>
      </c>
      <c r="HJK54" s="5">
        <f>-IFERROR('4. NPV'!#REF!/'4. NPV'!HJL$8,0)</f>
        <v>0</v>
      </c>
      <c r="HJL54" s="5">
        <f>-IFERROR('4. NPV'!#REF!/'4. NPV'!HJM$8,0)</f>
        <v>0</v>
      </c>
      <c r="HJM54" s="5">
        <f>-IFERROR('4. NPV'!#REF!/'4. NPV'!HJN$8,0)</f>
        <v>0</v>
      </c>
      <c r="HJN54" s="5">
        <f>-IFERROR('4. NPV'!#REF!/'4. NPV'!HJO$8,0)</f>
        <v>0</v>
      </c>
      <c r="HJO54" s="5">
        <f>-IFERROR('4. NPV'!#REF!/'4. NPV'!HJP$8,0)</f>
        <v>0</v>
      </c>
      <c r="HJP54" s="5">
        <f>-IFERROR('4. NPV'!#REF!/'4. NPV'!HJQ$8,0)</f>
        <v>0</v>
      </c>
      <c r="HJQ54" s="5">
        <f>-IFERROR('4. NPV'!#REF!/'4. NPV'!HJR$8,0)</f>
        <v>0</v>
      </c>
      <c r="HJR54" s="5">
        <f>-IFERROR('4. NPV'!#REF!/'4. NPV'!HJS$8,0)</f>
        <v>0</v>
      </c>
      <c r="HJS54" s="5">
        <f>-IFERROR('4. NPV'!#REF!/'4. NPV'!HJT$8,0)</f>
        <v>0</v>
      </c>
      <c r="HJT54" s="5">
        <f>-IFERROR('4. NPV'!#REF!/'4. NPV'!HJU$8,0)</f>
        <v>0</v>
      </c>
      <c r="HJU54" s="5">
        <f>-IFERROR('4. NPV'!#REF!/'4. NPV'!HJV$8,0)</f>
        <v>0</v>
      </c>
      <c r="HJV54" s="5">
        <f>-IFERROR('4. NPV'!#REF!/'4. NPV'!HJW$8,0)</f>
        <v>0</v>
      </c>
      <c r="HJW54" s="5">
        <f>-IFERROR('4. NPV'!#REF!/'4. NPV'!HJX$8,0)</f>
        <v>0</v>
      </c>
      <c r="HJX54" s="5">
        <f>-IFERROR('4. NPV'!#REF!/'4. NPV'!HJY$8,0)</f>
        <v>0</v>
      </c>
      <c r="HJY54" s="5">
        <f>-IFERROR('4. NPV'!#REF!/'4. NPV'!HJZ$8,0)</f>
        <v>0</v>
      </c>
      <c r="HJZ54" s="5">
        <f>-IFERROR('4. NPV'!#REF!/'4. NPV'!HKA$8,0)</f>
        <v>0</v>
      </c>
      <c r="HKA54" s="5">
        <f>-IFERROR('4. NPV'!#REF!/'4. NPV'!HKB$8,0)</f>
        <v>0</v>
      </c>
      <c r="HKB54" s="5">
        <f>-IFERROR('4. NPV'!#REF!/'4. NPV'!HKC$8,0)</f>
        <v>0</v>
      </c>
      <c r="HKC54" s="5">
        <f>-IFERROR('4. NPV'!#REF!/'4. NPV'!HKD$8,0)</f>
        <v>0</v>
      </c>
      <c r="HKD54" s="5">
        <f>-IFERROR('4. NPV'!#REF!/'4. NPV'!HKE$8,0)</f>
        <v>0</v>
      </c>
      <c r="HKE54" s="5">
        <f>-IFERROR('4. NPV'!#REF!/'4. NPV'!HKF$8,0)</f>
        <v>0</v>
      </c>
      <c r="HKF54" s="5">
        <f>-IFERROR('4. NPV'!#REF!/'4. NPV'!HKG$8,0)</f>
        <v>0</v>
      </c>
      <c r="HKG54" s="5">
        <f>-IFERROR('4. NPV'!#REF!/'4. NPV'!HKH$8,0)</f>
        <v>0</v>
      </c>
      <c r="HKH54" s="5">
        <f>-IFERROR('4. NPV'!#REF!/'4. NPV'!HKI$8,0)</f>
        <v>0</v>
      </c>
      <c r="HKI54" s="5">
        <f>-IFERROR('4. NPV'!#REF!/'4. NPV'!HKJ$8,0)</f>
        <v>0</v>
      </c>
      <c r="HKJ54" s="5">
        <f>-IFERROR('4. NPV'!#REF!/'4. NPV'!HKK$8,0)</f>
        <v>0</v>
      </c>
      <c r="HKK54" s="5">
        <f>-IFERROR('4. NPV'!#REF!/'4. NPV'!HKL$8,0)</f>
        <v>0</v>
      </c>
      <c r="HKL54" s="5">
        <f>-IFERROR('4. NPV'!#REF!/'4. NPV'!HKM$8,0)</f>
        <v>0</v>
      </c>
      <c r="HKM54" s="5">
        <f>-IFERROR('4. NPV'!#REF!/'4. NPV'!HKN$8,0)</f>
        <v>0</v>
      </c>
      <c r="HKN54" s="5">
        <f>-IFERROR('4. NPV'!#REF!/'4. NPV'!HKO$8,0)</f>
        <v>0</v>
      </c>
      <c r="HKO54" s="5">
        <f>-IFERROR('4. NPV'!#REF!/'4. NPV'!HKP$8,0)</f>
        <v>0</v>
      </c>
      <c r="HKP54" s="5">
        <f>-IFERROR('4. NPV'!#REF!/'4. NPV'!HKQ$8,0)</f>
        <v>0</v>
      </c>
      <c r="HKQ54" s="5">
        <f>-IFERROR('4. NPV'!#REF!/'4. NPV'!HKR$8,0)</f>
        <v>0</v>
      </c>
      <c r="HKR54" s="5">
        <f>-IFERROR('4. NPV'!#REF!/'4. NPV'!HKS$8,0)</f>
        <v>0</v>
      </c>
      <c r="HKS54" s="5">
        <f>-IFERROR('4. NPV'!#REF!/'4. NPV'!HKT$8,0)</f>
        <v>0</v>
      </c>
      <c r="HKT54" s="5">
        <f>-IFERROR('4. NPV'!#REF!/'4. NPV'!HKU$8,0)</f>
        <v>0</v>
      </c>
      <c r="HKU54" s="5">
        <f>-IFERROR('4. NPV'!#REF!/'4. NPV'!HKV$8,0)</f>
        <v>0</v>
      </c>
      <c r="HKV54" s="5">
        <f>-IFERROR('4. NPV'!#REF!/'4. NPV'!HKW$8,0)</f>
        <v>0</v>
      </c>
      <c r="HKW54" s="5">
        <f>-IFERROR('4. NPV'!#REF!/'4. NPV'!HKX$8,0)</f>
        <v>0</v>
      </c>
      <c r="HKX54" s="5">
        <f>-IFERROR('4. NPV'!#REF!/'4. NPV'!HKY$8,0)</f>
        <v>0</v>
      </c>
      <c r="HKY54" s="5">
        <f>-IFERROR('4. NPV'!#REF!/'4. NPV'!HKZ$8,0)</f>
        <v>0</v>
      </c>
      <c r="HKZ54" s="5">
        <f>-IFERROR('4. NPV'!#REF!/'4. NPV'!HLA$8,0)</f>
        <v>0</v>
      </c>
      <c r="HLA54" s="5">
        <f>-IFERROR('4. NPV'!#REF!/'4. NPV'!HLB$8,0)</f>
        <v>0</v>
      </c>
      <c r="HLB54" s="5">
        <f>-IFERROR('4. NPV'!#REF!/'4. NPV'!HLC$8,0)</f>
        <v>0</v>
      </c>
      <c r="HLC54" s="5">
        <f>-IFERROR('4. NPV'!#REF!/'4. NPV'!HLD$8,0)</f>
        <v>0</v>
      </c>
      <c r="HLD54" s="5">
        <f>-IFERROR('4. NPV'!#REF!/'4. NPV'!HLE$8,0)</f>
        <v>0</v>
      </c>
      <c r="HLE54" s="5">
        <f>-IFERROR('4. NPV'!#REF!/'4. NPV'!HLF$8,0)</f>
        <v>0</v>
      </c>
      <c r="HLF54" s="5">
        <f>-IFERROR('4. NPV'!#REF!/'4. NPV'!HLG$8,0)</f>
        <v>0</v>
      </c>
      <c r="HLG54" s="5">
        <f>-IFERROR('4. NPV'!#REF!/'4. NPV'!HLH$8,0)</f>
        <v>0</v>
      </c>
      <c r="HLH54" s="5">
        <f>-IFERROR('4. NPV'!#REF!/'4. NPV'!HLI$8,0)</f>
        <v>0</v>
      </c>
      <c r="HLI54" s="5">
        <f>-IFERROR('4. NPV'!#REF!/'4. NPV'!HLJ$8,0)</f>
        <v>0</v>
      </c>
      <c r="HLJ54" s="5">
        <f>-IFERROR('4. NPV'!#REF!/'4. NPV'!HLK$8,0)</f>
        <v>0</v>
      </c>
      <c r="HLK54" s="5">
        <f>-IFERROR('4. NPV'!#REF!/'4. NPV'!HLL$8,0)</f>
        <v>0</v>
      </c>
      <c r="HLL54" s="5">
        <f>-IFERROR('4. NPV'!#REF!/'4. NPV'!HLM$8,0)</f>
        <v>0</v>
      </c>
      <c r="HLM54" s="5">
        <f>-IFERROR('4. NPV'!#REF!/'4. NPV'!HLN$8,0)</f>
        <v>0</v>
      </c>
      <c r="HLN54" s="5">
        <f>-IFERROR('4. NPV'!#REF!/'4. NPV'!HLO$8,0)</f>
        <v>0</v>
      </c>
      <c r="HLO54" s="5">
        <f>-IFERROR('4. NPV'!#REF!/'4. NPV'!HLP$8,0)</f>
        <v>0</v>
      </c>
      <c r="HLP54" s="5">
        <f>-IFERROR('4. NPV'!#REF!/'4. NPV'!HLQ$8,0)</f>
        <v>0</v>
      </c>
      <c r="HLQ54" s="5">
        <f>-IFERROR('4. NPV'!#REF!/'4. NPV'!HLR$8,0)</f>
        <v>0</v>
      </c>
      <c r="HLR54" s="5">
        <f>-IFERROR('4. NPV'!#REF!/'4. NPV'!HLS$8,0)</f>
        <v>0</v>
      </c>
      <c r="HLS54" s="5">
        <f>-IFERROR('4. NPV'!#REF!/'4. NPV'!HLT$8,0)</f>
        <v>0</v>
      </c>
      <c r="HLT54" s="5">
        <f>-IFERROR('4. NPV'!#REF!/'4. NPV'!HLU$8,0)</f>
        <v>0</v>
      </c>
      <c r="HLU54" s="5">
        <f>-IFERROR('4. NPV'!#REF!/'4. NPV'!HLV$8,0)</f>
        <v>0</v>
      </c>
      <c r="HLV54" s="5">
        <f>-IFERROR('4. NPV'!#REF!/'4. NPV'!HLW$8,0)</f>
        <v>0</v>
      </c>
      <c r="HLW54" s="5">
        <f>-IFERROR('4. NPV'!#REF!/'4. NPV'!HLX$8,0)</f>
        <v>0</v>
      </c>
      <c r="HLX54" s="5">
        <f>-IFERROR('4. NPV'!#REF!/'4. NPV'!HLY$8,0)</f>
        <v>0</v>
      </c>
      <c r="HLY54" s="5">
        <f>-IFERROR('4. NPV'!#REF!/'4. NPV'!HLZ$8,0)</f>
        <v>0</v>
      </c>
      <c r="HLZ54" s="5">
        <f>-IFERROR('4. NPV'!#REF!/'4. NPV'!HMA$8,0)</f>
        <v>0</v>
      </c>
      <c r="HMA54" s="5">
        <f>-IFERROR('4. NPV'!#REF!/'4. NPV'!HMB$8,0)</f>
        <v>0</v>
      </c>
      <c r="HMB54" s="5">
        <f>-IFERROR('4. NPV'!#REF!/'4. NPV'!HMC$8,0)</f>
        <v>0</v>
      </c>
      <c r="HMC54" s="5">
        <f>-IFERROR('4. NPV'!#REF!/'4. NPV'!HMD$8,0)</f>
        <v>0</v>
      </c>
      <c r="HMD54" s="5">
        <f>-IFERROR('4. NPV'!#REF!/'4. NPV'!HME$8,0)</f>
        <v>0</v>
      </c>
      <c r="HME54" s="5">
        <f>-IFERROR('4. NPV'!#REF!/'4. NPV'!HMF$8,0)</f>
        <v>0</v>
      </c>
      <c r="HMF54" s="5">
        <f>-IFERROR('4. NPV'!#REF!/'4. NPV'!HMG$8,0)</f>
        <v>0</v>
      </c>
      <c r="HMG54" s="5">
        <f>-IFERROR('4. NPV'!#REF!/'4. NPV'!HMH$8,0)</f>
        <v>0</v>
      </c>
      <c r="HMH54" s="5">
        <f>-IFERROR('4. NPV'!#REF!/'4. NPV'!HMI$8,0)</f>
        <v>0</v>
      </c>
      <c r="HMI54" s="5">
        <f>-IFERROR('4. NPV'!#REF!/'4. NPV'!HMJ$8,0)</f>
        <v>0</v>
      </c>
      <c r="HMJ54" s="5">
        <f>-IFERROR('4. NPV'!#REF!/'4. NPV'!HMK$8,0)</f>
        <v>0</v>
      </c>
      <c r="HMK54" s="5">
        <f>-IFERROR('4. NPV'!#REF!/'4. NPV'!HML$8,0)</f>
        <v>0</v>
      </c>
      <c r="HML54" s="5">
        <f>-IFERROR('4. NPV'!#REF!/'4. NPV'!HMM$8,0)</f>
        <v>0</v>
      </c>
      <c r="HMM54" s="5">
        <f>-IFERROR('4. NPV'!#REF!/'4. NPV'!HMN$8,0)</f>
        <v>0</v>
      </c>
      <c r="HMN54" s="5">
        <f>-IFERROR('4. NPV'!#REF!/'4. NPV'!HMO$8,0)</f>
        <v>0</v>
      </c>
      <c r="HMO54" s="5">
        <f>-IFERROR('4. NPV'!#REF!/'4. NPV'!HMP$8,0)</f>
        <v>0</v>
      </c>
      <c r="HMP54" s="5">
        <f>-IFERROR('4. NPV'!#REF!/'4. NPV'!HMQ$8,0)</f>
        <v>0</v>
      </c>
      <c r="HMQ54" s="5">
        <f>-IFERROR('4. NPV'!#REF!/'4. NPV'!HMR$8,0)</f>
        <v>0</v>
      </c>
      <c r="HMR54" s="5">
        <f>-IFERROR('4. NPV'!#REF!/'4. NPV'!HMS$8,0)</f>
        <v>0</v>
      </c>
      <c r="HMS54" s="5">
        <f>-IFERROR('4. NPV'!#REF!/'4. NPV'!HMT$8,0)</f>
        <v>0</v>
      </c>
      <c r="HMT54" s="5">
        <f>-IFERROR('4. NPV'!#REF!/'4. NPV'!HMU$8,0)</f>
        <v>0</v>
      </c>
      <c r="HMU54" s="5">
        <f>-IFERROR('4. NPV'!#REF!/'4. NPV'!HMV$8,0)</f>
        <v>0</v>
      </c>
      <c r="HMV54" s="5">
        <f>-IFERROR('4. NPV'!#REF!/'4. NPV'!HMW$8,0)</f>
        <v>0</v>
      </c>
      <c r="HMW54" s="5">
        <f>-IFERROR('4. NPV'!#REF!/'4. NPV'!HMX$8,0)</f>
        <v>0</v>
      </c>
      <c r="HMX54" s="5">
        <f>-IFERROR('4. NPV'!#REF!/'4. NPV'!HMY$8,0)</f>
        <v>0</v>
      </c>
      <c r="HMY54" s="5">
        <f>-IFERROR('4. NPV'!#REF!/'4. NPV'!HMZ$8,0)</f>
        <v>0</v>
      </c>
      <c r="HMZ54" s="5">
        <f>-IFERROR('4. NPV'!#REF!/'4. NPV'!HNA$8,0)</f>
        <v>0</v>
      </c>
      <c r="HNA54" s="5">
        <f>-IFERROR('4. NPV'!#REF!/'4. NPV'!HNB$8,0)</f>
        <v>0</v>
      </c>
      <c r="HNB54" s="5">
        <f>-IFERROR('4. NPV'!#REF!/'4. NPV'!HNC$8,0)</f>
        <v>0</v>
      </c>
      <c r="HNC54" s="5">
        <f>-IFERROR('4. NPV'!#REF!/'4. NPV'!HND$8,0)</f>
        <v>0</v>
      </c>
      <c r="HND54" s="5">
        <f>-IFERROR('4. NPV'!#REF!/'4. NPV'!HNE$8,0)</f>
        <v>0</v>
      </c>
      <c r="HNE54" s="5">
        <f>-IFERROR('4. NPV'!#REF!/'4. NPV'!HNF$8,0)</f>
        <v>0</v>
      </c>
      <c r="HNF54" s="5">
        <f>-IFERROR('4. NPV'!#REF!/'4. NPV'!HNG$8,0)</f>
        <v>0</v>
      </c>
      <c r="HNG54" s="5">
        <f>-IFERROR('4. NPV'!#REF!/'4. NPV'!HNH$8,0)</f>
        <v>0</v>
      </c>
      <c r="HNH54" s="5">
        <f>-IFERROR('4. NPV'!#REF!/'4. NPV'!HNI$8,0)</f>
        <v>0</v>
      </c>
      <c r="HNI54" s="5">
        <f>-IFERROR('4. NPV'!#REF!/'4. NPV'!HNJ$8,0)</f>
        <v>0</v>
      </c>
      <c r="HNJ54" s="5">
        <f>-IFERROR('4. NPV'!#REF!/'4. NPV'!HNK$8,0)</f>
        <v>0</v>
      </c>
      <c r="HNK54" s="5">
        <f>-IFERROR('4. NPV'!#REF!/'4. NPV'!HNL$8,0)</f>
        <v>0</v>
      </c>
      <c r="HNL54" s="5">
        <f>-IFERROR('4. NPV'!#REF!/'4. NPV'!HNM$8,0)</f>
        <v>0</v>
      </c>
      <c r="HNM54" s="5">
        <f>-IFERROR('4. NPV'!#REF!/'4. NPV'!HNN$8,0)</f>
        <v>0</v>
      </c>
      <c r="HNN54" s="5">
        <f>-IFERROR('4. NPV'!#REF!/'4. NPV'!HNO$8,0)</f>
        <v>0</v>
      </c>
      <c r="HNO54" s="5">
        <f>-IFERROR('4. NPV'!#REF!/'4. NPV'!HNP$8,0)</f>
        <v>0</v>
      </c>
      <c r="HNP54" s="5">
        <f>-IFERROR('4. NPV'!#REF!/'4. NPV'!HNQ$8,0)</f>
        <v>0</v>
      </c>
      <c r="HNQ54" s="5">
        <f>-IFERROR('4. NPV'!#REF!/'4. NPV'!HNR$8,0)</f>
        <v>0</v>
      </c>
      <c r="HNR54" s="5">
        <f>-IFERROR('4. NPV'!#REF!/'4. NPV'!HNS$8,0)</f>
        <v>0</v>
      </c>
      <c r="HNS54" s="5">
        <f>-IFERROR('4. NPV'!#REF!/'4. NPV'!HNT$8,0)</f>
        <v>0</v>
      </c>
      <c r="HNT54" s="5">
        <f>-IFERROR('4. NPV'!#REF!/'4. NPV'!HNU$8,0)</f>
        <v>0</v>
      </c>
      <c r="HNU54" s="5">
        <f>-IFERROR('4. NPV'!#REF!/'4. NPV'!HNV$8,0)</f>
        <v>0</v>
      </c>
      <c r="HNV54" s="5">
        <f>-IFERROR('4. NPV'!#REF!/'4. NPV'!HNW$8,0)</f>
        <v>0</v>
      </c>
      <c r="HNW54" s="5">
        <f>-IFERROR('4. NPV'!#REF!/'4. NPV'!HNX$8,0)</f>
        <v>0</v>
      </c>
      <c r="HNX54" s="5">
        <f>-IFERROR('4. NPV'!#REF!/'4. NPV'!HNY$8,0)</f>
        <v>0</v>
      </c>
      <c r="HNY54" s="5">
        <f>-IFERROR('4. NPV'!#REF!/'4. NPV'!HNZ$8,0)</f>
        <v>0</v>
      </c>
      <c r="HNZ54" s="5">
        <f>-IFERROR('4. NPV'!#REF!/'4. NPV'!HOA$8,0)</f>
        <v>0</v>
      </c>
      <c r="HOA54" s="5">
        <f>-IFERROR('4. NPV'!#REF!/'4. NPV'!HOB$8,0)</f>
        <v>0</v>
      </c>
      <c r="HOB54" s="5">
        <f>-IFERROR('4. NPV'!#REF!/'4. NPV'!HOC$8,0)</f>
        <v>0</v>
      </c>
      <c r="HOC54" s="5">
        <f>-IFERROR('4. NPV'!#REF!/'4. NPV'!HOD$8,0)</f>
        <v>0</v>
      </c>
      <c r="HOD54" s="5">
        <f>-IFERROR('4. NPV'!#REF!/'4. NPV'!HOE$8,0)</f>
        <v>0</v>
      </c>
      <c r="HOE54" s="5">
        <f>-IFERROR('4. NPV'!#REF!/'4. NPV'!HOF$8,0)</f>
        <v>0</v>
      </c>
      <c r="HOF54" s="5">
        <f>-IFERROR('4. NPV'!#REF!/'4. NPV'!HOG$8,0)</f>
        <v>0</v>
      </c>
      <c r="HOG54" s="5">
        <f>-IFERROR('4. NPV'!#REF!/'4. NPV'!HOH$8,0)</f>
        <v>0</v>
      </c>
      <c r="HOH54" s="5">
        <f>-IFERROR('4. NPV'!#REF!/'4. NPV'!HOI$8,0)</f>
        <v>0</v>
      </c>
      <c r="HOI54" s="5">
        <f>-IFERROR('4. NPV'!#REF!/'4. NPV'!HOJ$8,0)</f>
        <v>0</v>
      </c>
      <c r="HOJ54" s="5">
        <f>-IFERROR('4. NPV'!#REF!/'4. NPV'!HOK$8,0)</f>
        <v>0</v>
      </c>
      <c r="HOK54" s="5">
        <f>-IFERROR('4. NPV'!#REF!/'4. NPV'!HOL$8,0)</f>
        <v>0</v>
      </c>
      <c r="HOL54" s="5">
        <f>-IFERROR('4. NPV'!#REF!/'4. NPV'!HOM$8,0)</f>
        <v>0</v>
      </c>
      <c r="HOM54" s="5">
        <f>-IFERROR('4. NPV'!#REF!/'4. NPV'!HON$8,0)</f>
        <v>0</v>
      </c>
      <c r="HON54" s="5">
        <f>-IFERROR('4. NPV'!#REF!/'4. NPV'!HOO$8,0)</f>
        <v>0</v>
      </c>
      <c r="HOO54" s="5">
        <f>-IFERROR('4. NPV'!#REF!/'4. NPV'!HOP$8,0)</f>
        <v>0</v>
      </c>
      <c r="HOP54" s="5">
        <f>-IFERROR('4. NPV'!#REF!/'4. NPV'!HOQ$8,0)</f>
        <v>0</v>
      </c>
      <c r="HOQ54" s="5">
        <f>-IFERROR('4. NPV'!#REF!/'4. NPV'!HOR$8,0)</f>
        <v>0</v>
      </c>
      <c r="HOR54" s="5">
        <f>-IFERROR('4. NPV'!#REF!/'4. NPV'!HOS$8,0)</f>
        <v>0</v>
      </c>
      <c r="HOS54" s="5">
        <f>-IFERROR('4. NPV'!#REF!/'4. NPV'!HOT$8,0)</f>
        <v>0</v>
      </c>
      <c r="HOT54" s="5">
        <f>-IFERROR('4. NPV'!#REF!/'4. NPV'!HOU$8,0)</f>
        <v>0</v>
      </c>
      <c r="HOU54" s="5">
        <f>-IFERROR('4. NPV'!#REF!/'4. NPV'!HOV$8,0)</f>
        <v>0</v>
      </c>
      <c r="HOV54" s="5">
        <f>-IFERROR('4. NPV'!#REF!/'4. NPV'!HOW$8,0)</f>
        <v>0</v>
      </c>
      <c r="HOW54" s="5">
        <f>-IFERROR('4. NPV'!#REF!/'4. NPV'!HOX$8,0)</f>
        <v>0</v>
      </c>
      <c r="HOX54" s="5">
        <f>-IFERROR('4. NPV'!#REF!/'4. NPV'!HOY$8,0)</f>
        <v>0</v>
      </c>
      <c r="HOY54" s="5">
        <f>-IFERROR('4. NPV'!#REF!/'4. NPV'!HOZ$8,0)</f>
        <v>0</v>
      </c>
      <c r="HOZ54" s="5">
        <f>-IFERROR('4. NPV'!#REF!/'4. NPV'!HPA$8,0)</f>
        <v>0</v>
      </c>
      <c r="HPA54" s="5">
        <f>-IFERROR('4. NPV'!#REF!/'4. NPV'!HPB$8,0)</f>
        <v>0</v>
      </c>
      <c r="HPB54" s="5">
        <f>-IFERROR('4. NPV'!#REF!/'4. NPV'!HPC$8,0)</f>
        <v>0</v>
      </c>
      <c r="HPC54" s="5">
        <f>-IFERROR('4. NPV'!#REF!/'4. NPV'!HPD$8,0)</f>
        <v>0</v>
      </c>
      <c r="HPD54" s="5">
        <f>-IFERROR('4. NPV'!#REF!/'4. NPV'!HPE$8,0)</f>
        <v>0</v>
      </c>
      <c r="HPE54" s="5">
        <f>-IFERROR('4. NPV'!#REF!/'4. NPV'!HPF$8,0)</f>
        <v>0</v>
      </c>
      <c r="HPF54" s="5">
        <f>-IFERROR('4. NPV'!#REF!/'4. NPV'!HPG$8,0)</f>
        <v>0</v>
      </c>
      <c r="HPG54" s="5">
        <f>-IFERROR('4. NPV'!#REF!/'4. NPV'!HPH$8,0)</f>
        <v>0</v>
      </c>
      <c r="HPH54" s="5">
        <f>-IFERROR('4. NPV'!#REF!/'4. NPV'!HPI$8,0)</f>
        <v>0</v>
      </c>
      <c r="HPI54" s="5">
        <f>-IFERROR('4. NPV'!#REF!/'4. NPV'!HPJ$8,0)</f>
        <v>0</v>
      </c>
      <c r="HPJ54" s="5">
        <f>-IFERROR('4. NPV'!#REF!/'4. NPV'!HPK$8,0)</f>
        <v>0</v>
      </c>
      <c r="HPK54" s="5">
        <f>-IFERROR('4. NPV'!#REF!/'4. NPV'!HPL$8,0)</f>
        <v>0</v>
      </c>
      <c r="HPL54" s="5">
        <f>-IFERROR('4. NPV'!#REF!/'4. NPV'!HPM$8,0)</f>
        <v>0</v>
      </c>
      <c r="HPM54" s="5">
        <f>-IFERROR('4. NPV'!#REF!/'4. NPV'!HPN$8,0)</f>
        <v>0</v>
      </c>
      <c r="HPN54" s="5">
        <f>-IFERROR('4. NPV'!#REF!/'4. NPV'!HPO$8,0)</f>
        <v>0</v>
      </c>
      <c r="HPO54" s="5">
        <f>-IFERROR('4. NPV'!#REF!/'4. NPV'!HPP$8,0)</f>
        <v>0</v>
      </c>
      <c r="HPP54" s="5">
        <f>-IFERROR('4. NPV'!#REF!/'4. NPV'!HPQ$8,0)</f>
        <v>0</v>
      </c>
      <c r="HPQ54" s="5">
        <f>-IFERROR('4. NPV'!#REF!/'4. NPV'!HPR$8,0)</f>
        <v>0</v>
      </c>
      <c r="HPR54" s="5">
        <f>-IFERROR('4. NPV'!#REF!/'4. NPV'!HPS$8,0)</f>
        <v>0</v>
      </c>
      <c r="HPS54" s="5">
        <f>-IFERROR('4. NPV'!#REF!/'4. NPV'!HPT$8,0)</f>
        <v>0</v>
      </c>
      <c r="HPT54" s="5">
        <f>-IFERROR('4. NPV'!#REF!/'4. NPV'!HPU$8,0)</f>
        <v>0</v>
      </c>
      <c r="HPU54" s="5">
        <f>-IFERROR('4. NPV'!#REF!/'4. NPV'!HPV$8,0)</f>
        <v>0</v>
      </c>
      <c r="HPV54" s="5">
        <f>-IFERROR('4. NPV'!#REF!/'4. NPV'!HPW$8,0)</f>
        <v>0</v>
      </c>
      <c r="HPW54" s="5">
        <f>-IFERROR('4. NPV'!#REF!/'4. NPV'!HPX$8,0)</f>
        <v>0</v>
      </c>
      <c r="HPX54" s="5">
        <f>-IFERROR('4. NPV'!#REF!/'4. NPV'!HPY$8,0)</f>
        <v>0</v>
      </c>
      <c r="HPY54" s="5">
        <f>-IFERROR('4. NPV'!#REF!/'4. NPV'!HPZ$8,0)</f>
        <v>0</v>
      </c>
      <c r="HPZ54" s="5">
        <f>-IFERROR('4. NPV'!#REF!/'4. NPV'!HQA$8,0)</f>
        <v>0</v>
      </c>
      <c r="HQA54" s="5">
        <f>-IFERROR('4. NPV'!#REF!/'4. NPV'!HQB$8,0)</f>
        <v>0</v>
      </c>
      <c r="HQB54" s="5">
        <f>-IFERROR('4. NPV'!#REF!/'4. NPV'!HQC$8,0)</f>
        <v>0</v>
      </c>
      <c r="HQC54" s="5">
        <f>-IFERROR('4. NPV'!#REF!/'4. NPV'!HQD$8,0)</f>
        <v>0</v>
      </c>
      <c r="HQD54" s="5">
        <f>-IFERROR('4. NPV'!#REF!/'4. NPV'!HQE$8,0)</f>
        <v>0</v>
      </c>
      <c r="HQE54" s="5">
        <f>-IFERROR('4. NPV'!#REF!/'4. NPV'!HQF$8,0)</f>
        <v>0</v>
      </c>
      <c r="HQF54" s="5">
        <f>-IFERROR('4. NPV'!#REF!/'4. NPV'!HQG$8,0)</f>
        <v>0</v>
      </c>
      <c r="HQG54" s="5">
        <f>-IFERROR('4. NPV'!#REF!/'4. NPV'!HQH$8,0)</f>
        <v>0</v>
      </c>
      <c r="HQH54" s="5">
        <f>-IFERROR('4. NPV'!#REF!/'4. NPV'!HQI$8,0)</f>
        <v>0</v>
      </c>
      <c r="HQI54" s="5">
        <f>-IFERROR('4. NPV'!#REF!/'4. NPV'!HQJ$8,0)</f>
        <v>0</v>
      </c>
      <c r="HQJ54" s="5">
        <f>-IFERROR('4. NPV'!#REF!/'4. NPV'!HQK$8,0)</f>
        <v>0</v>
      </c>
      <c r="HQK54" s="5">
        <f>-IFERROR('4. NPV'!#REF!/'4. NPV'!HQL$8,0)</f>
        <v>0</v>
      </c>
      <c r="HQL54" s="5">
        <f>-IFERROR('4. NPV'!#REF!/'4. NPV'!HQM$8,0)</f>
        <v>0</v>
      </c>
      <c r="HQM54" s="5">
        <f>-IFERROR('4. NPV'!#REF!/'4. NPV'!HQN$8,0)</f>
        <v>0</v>
      </c>
      <c r="HQN54" s="5">
        <f>-IFERROR('4. NPV'!#REF!/'4. NPV'!HQO$8,0)</f>
        <v>0</v>
      </c>
      <c r="HQO54" s="5">
        <f>-IFERROR('4. NPV'!#REF!/'4. NPV'!HQP$8,0)</f>
        <v>0</v>
      </c>
      <c r="HQP54" s="5">
        <f>-IFERROR('4. NPV'!#REF!/'4. NPV'!HQQ$8,0)</f>
        <v>0</v>
      </c>
      <c r="HQQ54" s="5">
        <f>-IFERROR('4. NPV'!#REF!/'4. NPV'!HQR$8,0)</f>
        <v>0</v>
      </c>
      <c r="HQR54" s="5">
        <f>-IFERROR('4. NPV'!#REF!/'4. NPV'!HQS$8,0)</f>
        <v>0</v>
      </c>
      <c r="HQS54" s="5">
        <f>-IFERROR('4. NPV'!#REF!/'4. NPV'!HQT$8,0)</f>
        <v>0</v>
      </c>
      <c r="HQT54" s="5">
        <f>-IFERROR('4. NPV'!#REF!/'4. NPV'!HQU$8,0)</f>
        <v>0</v>
      </c>
      <c r="HQU54" s="5">
        <f>-IFERROR('4. NPV'!#REF!/'4. NPV'!HQV$8,0)</f>
        <v>0</v>
      </c>
      <c r="HQV54" s="5">
        <f>-IFERROR('4. NPV'!#REF!/'4. NPV'!HQW$8,0)</f>
        <v>0</v>
      </c>
      <c r="HQW54" s="5">
        <f>-IFERROR('4. NPV'!#REF!/'4. NPV'!HQX$8,0)</f>
        <v>0</v>
      </c>
      <c r="HQX54" s="5">
        <f>-IFERROR('4. NPV'!#REF!/'4. NPV'!HQY$8,0)</f>
        <v>0</v>
      </c>
      <c r="HQY54" s="5">
        <f>-IFERROR('4. NPV'!#REF!/'4. NPV'!HQZ$8,0)</f>
        <v>0</v>
      </c>
      <c r="HQZ54" s="5">
        <f>-IFERROR('4. NPV'!#REF!/'4. NPV'!HRA$8,0)</f>
        <v>0</v>
      </c>
      <c r="HRA54" s="5">
        <f>-IFERROR('4. NPV'!#REF!/'4. NPV'!HRB$8,0)</f>
        <v>0</v>
      </c>
      <c r="HRB54" s="5">
        <f>-IFERROR('4. NPV'!#REF!/'4. NPV'!HRC$8,0)</f>
        <v>0</v>
      </c>
      <c r="HRC54" s="5">
        <f>-IFERROR('4. NPV'!#REF!/'4. NPV'!HRD$8,0)</f>
        <v>0</v>
      </c>
      <c r="HRD54" s="5">
        <f>-IFERROR('4. NPV'!#REF!/'4. NPV'!HRE$8,0)</f>
        <v>0</v>
      </c>
      <c r="HRE54" s="5">
        <f>-IFERROR('4. NPV'!#REF!/'4. NPV'!HRF$8,0)</f>
        <v>0</v>
      </c>
      <c r="HRF54" s="5">
        <f>-IFERROR('4. NPV'!#REF!/'4. NPV'!HRG$8,0)</f>
        <v>0</v>
      </c>
      <c r="HRG54" s="5">
        <f>-IFERROR('4. NPV'!#REF!/'4. NPV'!HRH$8,0)</f>
        <v>0</v>
      </c>
      <c r="HRH54" s="5">
        <f>-IFERROR('4. NPV'!#REF!/'4. NPV'!HRI$8,0)</f>
        <v>0</v>
      </c>
      <c r="HRI54" s="5">
        <f>-IFERROR('4. NPV'!#REF!/'4. NPV'!HRJ$8,0)</f>
        <v>0</v>
      </c>
      <c r="HRJ54" s="5">
        <f>-IFERROR('4. NPV'!#REF!/'4. NPV'!HRK$8,0)</f>
        <v>0</v>
      </c>
      <c r="HRK54" s="5">
        <f>-IFERROR('4. NPV'!#REF!/'4. NPV'!HRL$8,0)</f>
        <v>0</v>
      </c>
      <c r="HRL54" s="5">
        <f>-IFERROR('4. NPV'!#REF!/'4. NPV'!HRM$8,0)</f>
        <v>0</v>
      </c>
      <c r="HRM54" s="5">
        <f>-IFERROR('4. NPV'!#REF!/'4. NPV'!HRN$8,0)</f>
        <v>0</v>
      </c>
      <c r="HRN54" s="5">
        <f>-IFERROR('4. NPV'!#REF!/'4. NPV'!HRO$8,0)</f>
        <v>0</v>
      </c>
      <c r="HRO54" s="5">
        <f>-IFERROR('4. NPV'!#REF!/'4. NPV'!HRP$8,0)</f>
        <v>0</v>
      </c>
      <c r="HRP54" s="5">
        <f>-IFERROR('4. NPV'!#REF!/'4. NPV'!HRQ$8,0)</f>
        <v>0</v>
      </c>
      <c r="HRQ54" s="5">
        <f>-IFERROR('4. NPV'!#REF!/'4. NPV'!HRR$8,0)</f>
        <v>0</v>
      </c>
      <c r="HRR54" s="5">
        <f>-IFERROR('4. NPV'!#REF!/'4. NPV'!HRS$8,0)</f>
        <v>0</v>
      </c>
      <c r="HRS54" s="5">
        <f>-IFERROR('4. NPV'!#REF!/'4. NPV'!HRT$8,0)</f>
        <v>0</v>
      </c>
      <c r="HRT54" s="5">
        <f>-IFERROR('4. NPV'!#REF!/'4. NPV'!HRU$8,0)</f>
        <v>0</v>
      </c>
      <c r="HRU54" s="5">
        <f>-IFERROR('4. NPV'!#REF!/'4. NPV'!HRV$8,0)</f>
        <v>0</v>
      </c>
      <c r="HRV54" s="5">
        <f>-IFERROR('4. NPV'!#REF!/'4. NPV'!HRW$8,0)</f>
        <v>0</v>
      </c>
      <c r="HRW54" s="5">
        <f>-IFERROR('4. NPV'!#REF!/'4. NPV'!HRX$8,0)</f>
        <v>0</v>
      </c>
      <c r="HRX54" s="5">
        <f>-IFERROR('4. NPV'!#REF!/'4. NPV'!HRY$8,0)</f>
        <v>0</v>
      </c>
      <c r="HRY54" s="5">
        <f>-IFERROR('4. NPV'!#REF!/'4. NPV'!HRZ$8,0)</f>
        <v>0</v>
      </c>
      <c r="HRZ54" s="5">
        <f>-IFERROR('4. NPV'!#REF!/'4. NPV'!HSA$8,0)</f>
        <v>0</v>
      </c>
      <c r="HSA54" s="5">
        <f>-IFERROR('4. NPV'!#REF!/'4. NPV'!HSB$8,0)</f>
        <v>0</v>
      </c>
      <c r="HSB54" s="5">
        <f>-IFERROR('4. NPV'!#REF!/'4. NPV'!HSC$8,0)</f>
        <v>0</v>
      </c>
      <c r="HSC54" s="5">
        <f>-IFERROR('4. NPV'!#REF!/'4. NPV'!HSD$8,0)</f>
        <v>0</v>
      </c>
      <c r="HSD54" s="5">
        <f>-IFERROR('4. NPV'!#REF!/'4. NPV'!HSE$8,0)</f>
        <v>0</v>
      </c>
      <c r="HSE54" s="5">
        <f>-IFERROR('4. NPV'!#REF!/'4. NPV'!HSF$8,0)</f>
        <v>0</v>
      </c>
      <c r="HSF54" s="5">
        <f>-IFERROR('4. NPV'!#REF!/'4. NPV'!HSG$8,0)</f>
        <v>0</v>
      </c>
      <c r="HSG54" s="5">
        <f>-IFERROR('4. NPV'!#REF!/'4. NPV'!HSH$8,0)</f>
        <v>0</v>
      </c>
      <c r="HSH54" s="5">
        <f>-IFERROR('4. NPV'!#REF!/'4. NPV'!HSI$8,0)</f>
        <v>0</v>
      </c>
      <c r="HSI54" s="5">
        <f>-IFERROR('4. NPV'!#REF!/'4. NPV'!HSJ$8,0)</f>
        <v>0</v>
      </c>
      <c r="HSJ54" s="5">
        <f>-IFERROR('4. NPV'!#REF!/'4. NPV'!HSK$8,0)</f>
        <v>0</v>
      </c>
      <c r="HSK54" s="5">
        <f>-IFERROR('4. NPV'!#REF!/'4. NPV'!HSL$8,0)</f>
        <v>0</v>
      </c>
      <c r="HSL54" s="5">
        <f>-IFERROR('4. NPV'!#REF!/'4. NPV'!HSM$8,0)</f>
        <v>0</v>
      </c>
      <c r="HSM54" s="5">
        <f>-IFERROR('4. NPV'!#REF!/'4. NPV'!HSN$8,0)</f>
        <v>0</v>
      </c>
      <c r="HSN54" s="5">
        <f>-IFERROR('4. NPV'!#REF!/'4. NPV'!HSO$8,0)</f>
        <v>0</v>
      </c>
      <c r="HSO54" s="5">
        <f>-IFERROR('4. NPV'!#REF!/'4. NPV'!HSP$8,0)</f>
        <v>0</v>
      </c>
      <c r="HSP54" s="5">
        <f>-IFERROR('4. NPV'!#REF!/'4. NPV'!HSQ$8,0)</f>
        <v>0</v>
      </c>
      <c r="HSQ54" s="5">
        <f>-IFERROR('4. NPV'!#REF!/'4. NPV'!HSR$8,0)</f>
        <v>0</v>
      </c>
      <c r="HSR54" s="5">
        <f>-IFERROR('4. NPV'!#REF!/'4. NPV'!HSS$8,0)</f>
        <v>0</v>
      </c>
      <c r="HSS54" s="5">
        <f>-IFERROR('4. NPV'!#REF!/'4. NPV'!HST$8,0)</f>
        <v>0</v>
      </c>
      <c r="HST54" s="5">
        <f>-IFERROR('4. NPV'!#REF!/'4. NPV'!HSU$8,0)</f>
        <v>0</v>
      </c>
      <c r="HSU54" s="5">
        <f>-IFERROR('4. NPV'!#REF!/'4. NPV'!HSV$8,0)</f>
        <v>0</v>
      </c>
      <c r="HSV54" s="5">
        <f>-IFERROR('4. NPV'!#REF!/'4. NPV'!HSW$8,0)</f>
        <v>0</v>
      </c>
      <c r="HSW54" s="5">
        <f>-IFERROR('4. NPV'!#REF!/'4. NPV'!HSX$8,0)</f>
        <v>0</v>
      </c>
      <c r="HSX54" s="5">
        <f>-IFERROR('4. NPV'!#REF!/'4. NPV'!HSY$8,0)</f>
        <v>0</v>
      </c>
      <c r="HSY54" s="5">
        <f>-IFERROR('4. NPV'!#REF!/'4. NPV'!HSZ$8,0)</f>
        <v>0</v>
      </c>
      <c r="HSZ54" s="5">
        <f>-IFERROR('4. NPV'!#REF!/'4. NPV'!HTA$8,0)</f>
        <v>0</v>
      </c>
      <c r="HTA54" s="5">
        <f>-IFERROR('4. NPV'!#REF!/'4. NPV'!HTB$8,0)</f>
        <v>0</v>
      </c>
      <c r="HTB54" s="5">
        <f>-IFERROR('4. NPV'!#REF!/'4. NPV'!HTC$8,0)</f>
        <v>0</v>
      </c>
      <c r="HTC54" s="5">
        <f>-IFERROR('4. NPV'!#REF!/'4. NPV'!HTD$8,0)</f>
        <v>0</v>
      </c>
      <c r="HTD54" s="5">
        <f>-IFERROR('4. NPV'!#REF!/'4. NPV'!HTE$8,0)</f>
        <v>0</v>
      </c>
      <c r="HTE54" s="5">
        <f>-IFERROR('4. NPV'!#REF!/'4. NPV'!HTF$8,0)</f>
        <v>0</v>
      </c>
      <c r="HTF54" s="5">
        <f>-IFERROR('4. NPV'!#REF!/'4. NPV'!HTG$8,0)</f>
        <v>0</v>
      </c>
      <c r="HTG54" s="5">
        <f>-IFERROR('4. NPV'!#REF!/'4. NPV'!HTH$8,0)</f>
        <v>0</v>
      </c>
      <c r="HTH54" s="5">
        <f>-IFERROR('4. NPV'!#REF!/'4. NPV'!HTI$8,0)</f>
        <v>0</v>
      </c>
      <c r="HTI54" s="5">
        <f>-IFERROR('4. NPV'!#REF!/'4. NPV'!HTJ$8,0)</f>
        <v>0</v>
      </c>
      <c r="HTJ54" s="5">
        <f>-IFERROR('4. NPV'!#REF!/'4. NPV'!HTK$8,0)</f>
        <v>0</v>
      </c>
      <c r="HTK54" s="5">
        <f>-IFERROR('4. NPV'!#REF!/'4. NPV'!HTL$8,0)</f>
        <v>0</v>
      </c>
      <c r="HTL54" s="5">
        <f>-IFERROR('4. NPV'!#REF!/'4. NPV'!HTM$8,0)</f>
        <v>0</v>
      </c>
      <c r="HTM54" s="5">
        <f>-IFERROR('4. NPV'!#REF!/'4. NPV'!HTN$8,0)</f>
        <v>0</v>
      </c>
      <c r="HTN54" s="5">
        <f>-IFERROR('4. NPV'!#REF!/'4. NPV'!HTO$8,0)</f>
        <v>0</v>
      </c>
      <c r="HTO54" s="5">
        <f>-IFERROR('4. NPV'!#REF!/'4. NPV'!HTP$8,0)</f>
        <v>0</v>
      </c>
      <c r="HTP54" s="5">
        <f>-IFERROR('4. NPV'!#REF!/'4. NPV'!HTQ$8,0)</f>
        <v>0</v>
      </c>
      <c r="HTQ54" s="5">
        <f>-IFERROR('4. NPV'!#REF!/'4. NPV'!HTR$8,0)</f>
        <v>0</v>
      </c>
      <c r="HTR54" s="5">
        <f>-IFERROR('4. NPV'!#REF!/'4. NPV'!HTS$8,0)</f>
        <v>0</v>
      </c>
      <c r="HTS54" s="5">
        <f>-IFERROR('4. NPV'!#REF!/'4. NPV'!HTT$8,0)</f>
        <v>0</v>
      </c>
      <c r="HTT54" s="5">
        <f>-IFERROR('4. NPV'!#REF!/'4. NPV'!HTU$8,0)</f>
        <v>0</v>
      </c>
      <c r="HTU54" s="5">
        <f>-IFERROR('4. NPV'!#REF!/'4. NPV'!HTV$8,0)</f>
        <v>0</v>
      </c>
      <c r="HTV54" s="5">
        <f>-IFERROR('4. NPV'!#REF!/'4. NPV'!HTW$8,0)</f>
        <v>0</v>
      </c>
      <c r="HTW54" s="5">
        <f>-IFERROR('4. NPV'!#REF!/'4. NPV'!HTX$8,0)</f>
        <v>0</v>
      </c>
      <c r="HTX54" s="5">
        <f>-IFERROR('4. NPV'!#REF!/'4. NPV'!HTY$8,0)</f>
        <v>0</v>
      </c>
      <c r="HTY54" s="5">
        <f>-IFERROR('4. NPV'!#REF!/'4. NPV'!HTZ$8,0)</f>
        <v>0</v>
      </c>
      <c r="HTZ54" s="5">
        <f>-IFERROR('4. NPV'!#REF!/'4. NPV'!HUA$8,0)</f>
        <v>0</v>
      </c>
      <c r="HUA54" s="5">
        <f>-IFERROR('4. NPV'!#REF!/'4. NPV'!HUB$8,0)</f>
        <v>0</v>
      </c>
      <c r="HUB54" s="5">
        <f>-IFERROR('4. NPV'!#REF!/'4. NPV'!HUC$8,0)</f>
        <v>0</v>
      </c>
      <c r="HUC54" s="5">
        <f>-IFERROR('4. NPV'!#REF!/'4. NPV'!HUD$8,0)</f>
        <v>0</v>
      </c>
      <c r="HUD54" s="5">
        <f>-IFERROR('4. NPV'!#REF!/'4. NPV'!HUE$8,0)</f>
        <v>0</v>
      </c>
      <c r="HUE54" s="5">
        <f>-IFERROR('4. NPV'!#REF!/'4. NPV'!HUF$8,0)</f>
        <v>0</v>
      </c>
      <c r="HUF54" s="5">
        <f>-IFERROR('4. NPV'!#REF!/'4. NPV'!HUG$8,0)</f>
        <v>0</v>
      </c>
      <c r="HUG54" s="5">
        <f>-IFERROR('4. NPV'!#REF!/'4. NPV'!HUH$8,0)</f>
        <v>0</v>
      </c>
      <c r="HUH54" s="5">
        <f>-IFERROR('4. NPV'!#REF!/'4. NPV'!HUI$8,0)</f>
        <v>0</v>
      </c>
      <c r="HUI54" s="5">
        <f>-IFERROR('4. NPV'!#REF!/'4. NPV'!HUJ$8,0)</f>
        <v>0</v>
      </c>
      <c r="HUJ54" s="5">
        <f>-IFERROR('4. NPV'!#REF!/'4. NPV'!HUK$8,0)</f>
        <v>0</v>
      </c>
      <c r="HUK54" s="5">
        <f>-IFERROR('4. NPV'!#REF!/'4. NPV'!HUL$8,0)</f>
        <v>0</v>
      </c>
      <c r="HUL54" s="5">
        <f>-IFERROR('4. NPV'!#REF!/'4. NPV'!HUM$8,0)</f>
        <v>0</v>
      </c>
      <c r="HUM54" s="5">
        <f>-IFERROR('4. NPV'!#REF!/'4. NPV'!HUN$8,0)</f>
        <v>0</v>
      </c>
      <c r="HUN54" s="5">
        <f>-IFERROR('4. NPV'!#REF!/'4. NPV'!HUO$8,0)</f>
        <v>0</v>
      </c>
      <c r="HUO54" s="5">
        <f>-IFERROR('4. NPV'!#REF!/'4. NPV'!HUP$8,0)</f>
        <v>0</v>
      </c>
      <c r="HUP54" s="5">
        <f>-IFERROR('4. NPV'!#REF!/'4. NPV'!HUQ$8,0)</f>
        <v>0</v>
      </c>
      <c r="HUQ54" s="5">
        <f>-IFERROR('4. NPV'!#REF!/'4. NPV'!HUR$8,0)</f>
        <v>0</v>
      </c>
      <c r="HUR54" s="5">
        <f>-IFERROR('4. NPV'!#REF!/'4. NPV'!HUS$8,0)</f>
        <v>0</v>
      </c>
      <c r="HUS54" s="5">
        <f>-IFERROR('4. NPV'!#REF!/'4. NPV'!HUT$8,0)</f>
        <v>0</v>
      </c>
      <c r="HUT54" s="5">
        <f>-IFERROR('4. NPV'!#REF!/'4. NPV'!HUU$8,0)</f>
        <v>0</v>
      </c>
      <c r="HUU54" s="5">
        <f>-IFERROR('4. NPV'!#REF!/'4. NPV'!HUV$8,0)</f>
        <v>0</v>
      </c>
      <c r="HUV54" s="5">
        <f>-IFERROR('4. NPV'!#REF!/'4. NPV'!HUW$8,0)</f>
        <v>0</v>
      </c>
      <c r="HUW54" s="5">
        <f>-IFERROR('4. NPV'!#REF!/'4. NPV'!HUX$8,0)</f>
        <v>0</v>
      </c>
      <c r="HUX54" s="5">
        <f>-IFERROR('4. NPV'!#REF!/'4. NPV'!HUY$8,0)</f>
        <v>0</v>
      </c>
      <c r="HUY54" s="5">
        <f>-IFERROR('4. NPV'!#REF!/'4. NPV'!HUZ$8,0)</f>
        <v>0</v>
      </c>
      <c r="HUZ54" s="5">
        <f>-IFERROR('4. NPV'!#REF!/'4. NPV'!HVA$8,0)</f>
        <v>0</v>
      </c>
      <c r="HVA54" s="5">
        <f>-IFERROR('4. NPV'!#REF!/'4. NPV'!HVB$8,0)</f>
        <v>0</v>
      </c>
      <c r="HVB54" s="5">
        <f>-IFERROR('4. NPV'!#REF!/'4. NPV'!HVC$8,0)</f>
        <v>0</v>
      </c>
      <c r="HVC54" s="5">
        <f>-IFERROR('4. NPV'!#REF!/'4. NPV'!HVD$8,0)</f>
        <v>0</v>
      </c>
      <c r="HVD54" s="5">
        <f>-IFERROR('4. NPV'!#REF!/'4. NPV'!HVE$8,0)</f>
        <v>0</v>
      </c>
      <c r="HVE54" s="5">
        <f>-IFERROR('4. NPV'!#REF!/'4. NPV'!HVF$8,0)</f>
        <v>0</v>
      </c>
      <c r="HVF54" s="5">
        <f>-IFERROR('4. NPV'!#REF!/'4. NPV'!HVG$8,0)</f>
        <v>0</v>
      </c>
      <c r="HVG54" s="5">
        <f>-IFERROR('4. NPV'!#REF!/'4. NPV'!HVH$8,0)</f>
        <v>0</v>
      </c>
      <c r="HVH54" s="5">
        <f>-IFERROR('4. NPV'!#REF!/'4. NPV'!HVI$8,0)</f>
        <v>0</v>
      </c>
      <c r="HVI54" s="5">
        <f>-IFERROR('4. NPV'!#REF!/'4. NPV'!HVJ$8,0)</f>
        <v>0</v>
      </c>
      <c r="HVJ54" s="5">
        <f>-IFERROR('4. NPV'!#REF!/'4. NPV'!HVK$8,0)</f>
        <v>0</v>
      </c>
      <c r="HVK54" s="5">
        <f>-IFERROR('4. NPV'!#REF!/'4. NPV'!HVL$8,0)</f>
        <v>0</v>
      </c>
      <c r="HVL54" s="5">
        <f>-IFERROR('4. NPV'!#REF!/'4. NPV'!HVM$8,0)</f>
        <v>0</v>
      </c>
      <c r="HVM54" s="5">
        <f>-IFERROR('4. NPV'!#REF!/'4. NPV'!HVN$8,0)</f>
        <v>0</v>
      </c>
      <c r="HVN54" s="5">
        <f>-IFERROR('4. NPV'!#REF!/'4. NPV'!HVO$8,0)</f>
        <v>0</v>
      </c>
      <c r="HVO54" s="5">
        <f>-IFERROR('4. NPV'!#REF!/'4. NPV'!HVP$8,0)</f>
        <v>0</v>
      </c>
      <c r="HVP54" s="5">
        <f>-IFERROR('4. NPV'!#REF!/'4. NPV'!HVQ$8,0)</f>
        <v>0</v>
      </c>
      <c r="HVQ54" s="5">
        <f>-IFERROR('4. NPV'!#REF!/'4. NPV'!HVR$8,0)</f>
        <v>0</v>
      </c>
      <c r="HVR54" s="5">
        <f>-IFERROR('4. NPV'!#REF!/'4. NPV'!HVS$8,0)</f>
        <v>0</v>
      </c>
      <c r="HVS54" s="5">
        <f>-IFERROR('4. NPV'!#REF!/'4. NPV'!HVT$8,0)</f>
        <v>0</v>
      </c>
      <c r="HVT54" s="5">
        <f>-IFERROR('4. NPV'!#REF!/'4. NPV'!HVU$8,0)</f>
        <v>0</v>
      </c>
      <c r="HVU54" s="5">
        <f>-IFERROR('4. NPV'!#REF!/'4. NPV'!HVV$8,0)</f>
        <v>0</v>
      </c>
      <c r="HVV54" s="5">
        <f>-IFERROR('4. NPV'!#REF!/'4. NPV'!HVW$8,0)</f>
        <v>0</v>
      </c>
      <c r="HVW54" s="5">
        <f>-IFERROR('4. NPV'!#REF!/'4. NPV'!HVX$8,0)</f>
        <v>0</v>
      </c>
      <c r="HVX54" s="5">
        <f>-IFERROR('4. NPV'!#REF!/'4. NPV'!HVY$8,0)</f>
        <v>0</v>
      </c>
      <c r="HVY54" s="5">
        <f>-IFERROR('4. NPV'!#REF!/'4. NPV'!HVZ$8,0)</f>
        <v>0</v>
      </c>
      <c r="HVZ54" s="5">
        <f>-IFERROR('4. NPV'!#REF!/'4. NPV'!HWA$8,0)</f>
        <v>0</v>
      </c>
      <c r="HWA54" s="5">
        <f>-IFERROR('4. NPV'!#REF!/'4. NPV'!HWB$8,0)</f>
        <v>0</v>
      </c>
      <c r="HWB54" s="5">
        <f>-IFERROR('4. NPV'!#REF!/'4. NPV'!HWC$8,0)</f>
        <v>0</v>
      </c>
      <c r="HWC54" s="5">
        <f>-IFERROR('4. NPV'!#REF!/'4. NPV'!HWD$8,0)</f>
        <v>0</v>
      </c>
      <c r="HWD54" s="5">
        <f>-IFERROR('4. NPV'!#REF!/'4. NPV'!HWE$8,0)</f>
        <v>0</v>
      </c>
      <c r="HWE54" s="5">
        <f>-IFERROR('4. NPV'!#REF!/'4. NPV'!HWF$8,0)</f>
        <v>0</v>
      </c>
      <c r="HWF54" s="5">
        <f>-IFERROR('4. NPV'!#REF!/'4. NPV'!HWG$8,0)</f>
        <v>0</v>
      </c>
      <c r="HWG54" s="5">
        <f>-IFERROR('4. NPV'!#REF!/'4. NPV'!HWH$8,0)</f>
        <v>0</v>
      </c>
      <c r="HWH54" s="5">
        <f>-IFERROR('4. NPV'!#REF!/'4. NPV'!HWI$8,0)</f>
        <v>0</v>
      </c>
      <c r="HWI54" s="5">
        <f>-IFERROR('4. NPV'!#REF!/'4. NPV'!HWJ$8,0)</f>
        <v>0</v>
      </c>
      <c r="HWJ54" s="5">
        <f>-IFERROR('4. NPV'!#REF!/'4. NPV'!HWK$8,0)</f>
        <v>0</v>
      </c>
      <c r="HWK54" s="5">
        <f>-IFERROR('4. NPV'!#REF!/'4. NPV'!HWL$8,0)</f>
        <v>0</v>
      </c>
      <c r="HWL54" s="5">
        <f>-IFERROR('4. NPV'!#REF!/'4. NPV'!HWM$8,0)</f>
        <v>0</v>
      </c>
      <c r="HWM54" s="5">
        <f>-IFERROR('4. NPV'!#REF!/'4. NPV'!HWN$8,0)</f>
        <v>0</v>
      </c>
      <c r="HWN54" s="5">
        <f>-IFERROR('4. NPV'!#REF!/'4. NPV'!HWO$8,0)</f>
        <v>0</v>
      </c>
      <c r="HWO54" s="5">
        <f>-IFERROR('4. NPV'!#REF!/'4. NPV'!HWP$8,0)</f>
        <v>0</v>
      </c>
      <c r="HWP54" s="5">
        <f>-IFERROR('4. NPV'!#REF!/'4. NPV'!HWQ$8,0)</f>
        <v>0</v>
      </c>
      <c r="HWQ54" s="5">
        <f>-IFERROR('4. NPV'!#REF!/'4. NPV'!HWR$8,0)</f>
        <v>0</v>
      </c>
      <c r="HWR54" s="5">
        <f>-IFERROR('4. NPV'!#REF!/'4. NPV'!HWS$8,0)</f>
        <v>0</v>
      </c>
      <c r="HWS54" s="5">
        <f>-IFERROR('4. NPV'!#REF!/'4. NPV'!HWT$8,0)</f>
        <v>0</v>
      </c>
      <c r="HWT54" s="5">
        <f>-IFERROR('4. NPV'!#REF!/'4. NPV'!HWU$8,0)</f>
        <v>0</v>
      </c>
      <c r="HWU54" s="5">
        <f>-IFERROR('4. NPV'!#REF!/'4. NPV'!HWV$8,0)</f>
        <v>0</v>
      </c>
      <c r="HWV54" s="5">
        <f>-IFERROR('4. NPV'!#REF!/'4. NPV'!HWW$8,0)</f>
        <v>0</v>
      </c>
      <c r="HWW54" s="5">
        <f>-IFERROR('4. NPV'!#REF!/'4. NPV'!HWX$8,0)</f>
        <v>0</v>
      </c>
      <c r="HWX54" s="5">
        <f>-IFERROR('4. NPV'!#REF!/'4. NPV'!HWY$8,0)</f>
        <v>0</v>
      </c>
      <c r="HWY54" s="5">
        <f>-IFERROR('4. NPV'!#REF!/'4. NPV'!HWZ$8,0)</f>
        <v>0</v>
      </c>
      <c r="HWZ54" s="5">
        <f>-IFERROR('4. NPV'!#REF!/'4. NPV'!HXA$8,0)</f>
        <v>0</v>
      </c>
      <c r="HXA54" s="5">
        <f>-IFERROR('4. NPV'!#REF!/'4. NPV'!HXB$8,0)</f>
        <v>0</v>
      </c>
      <c r="HXB54" s="5">
        <f>-IFERROR('4. NPV'!#REF!/'4. NPV'!HXC$8,0)</f>
        <v>0</v>
      </c>
      <c r="HXC54" s="5">
        <f>-IFERROR('4. NPV'!#REF!/'4. NPV'!HXD$8,0)</f>
        <v>0</v>
      </c>
      <c r="HXD54" s="5">
        <f>-IFERROR('4. NPV'!#REF!/'4. NPV'!HXE$8,0)</f>
        <v>0</v>
      </c>
      <c r="HXE54" s="5">
        <f>-IFERROR('4. NPV'!#REF!/'4. NPV'!HXF$8,0)</f>
        <v>0</v>
      </c>
      <c r="HXF54" s="5">
        <f>-IFERROR('4. NPV'!#REF!/'4. NPV'!HXG$8,0)</f>
        <v>0</v>
      </c>
      <c r="HXG54" s="5">
        <f>-IFERROR('4. NPV'!#REF!/'4. NPV'!HXH$8,0)</f>
        <v>0</v>
      </c>
      <c r="HXH54" s="5">
        <f>-IFERROR('4. NPV'!#REF!/'4. NPV'!HXI$8,0)</f>
        <v>0</v>
      </c>
      <c r="HXI54" s="5">
        <f>-IFERROR('4. NPV'!#REF!/'4. NPV'!HXJ$8,0)</f>
        <v>0</v>
      </c>
      <c r="HXJ54" s="5">
        <f>-IFERROR('4. NPV'!#REF!/'4. NPV'!HXK$8,0)</f>
        <v>0</v>
      </c>
      <c r="HXK54" s="5">
        <f>-IFERROR('4. NPV'!#REF!/'4. NPV'!HXL$8,0)</f>
        <v>0</v>
      </c>
      <c r="HXL54" s="5">
        <f>-IFERROR('4. NPV'!#REF!/'4. NPV'!HXM$8,0)</f>
        <v>0</v>
      </c>
      <c r="HXM54" s="5">
        <f>-IFERROR('4. NPV'!#REF!/'4. NPV'!HXN$8,0)</f>
        <v>0</v>
      </c>
      <c r="HXN54" s="5">
        <f>-IFERROR('4. NPV'!#REF!/'4. NPV'!HXO$8,0)</f>
        <v>0</v>
      </c>
      <c r="HXO54" s="5">
        <f>-IFERROR('4. NPV'!#REF!/'4. NPV'!HXP$8,0)</f>
        <v>0</v>
      </c>
      <c r="HXP54" s="5">
        <f>-IFERROR('4. NPV'!#REF!/'4. NPV'!HXQ$8,0)</f>
        <v>0</v>
      </c>
      <c r="HXQ54" s="5">
        <f>-IFERROR('4. NPV'!#REF!/'4. NPV'!HXR$8,0)</f>
        <v>0</v>
      </c>
      <c r="HXR54" s="5">
        <f>-IFERROR('4. NPV'!#REF!/'4. NPV'!HXS$8,0)</f>
        <v>0</v>
      </c>
      <c r="HXS54" s="5">
        <f>-IFERROR('4. NPV'!#REF!/'4. NPV'!HXT$8,0)</f>
        <v>0</v>
      </c>
      <c r="HXT54" s="5">
        <f>-IFERROR('4. NPV'!#REF!/'4. NPV'!HXU$8,0)</f>
        <v>0</v>
      </c>
      <c r="HXU54" s="5">
        <f>-IFERROR('4. NPV'!#REF!/'4. NPV'!HXV$8,0)</f>
        <v>0</v>
      </c>
      <c r="HXV54" s="5">
        <f>-IFERROR('4. NPV'!#REF!/'4. NPV'!HXW$8,0)</f>
        <v>0</v>
      </c>
      <c r="HXW54" s="5">
        <f>-IFERROR('4. NPV'!#REF!/'4. NPV'!HXX$8,0)</f>
        <v>0</v>
      </c>
      <c r="HXX54" s="5">
        <f>-IFERROR('4. NPV'!#REF!/'4. NPV'!HXY$8,0)</f>
        <v>0</v>
      </c>
      <c r="HXY54" s="5">
        <f>-IFERROR('4. NPV'!#REF!/'4. NPV'!HXZ$8,0)</f>
        <v>0</v>
      </c>
      <c r="HXZ54" s="5">
        <f>-IFERROR('4. NPV'!#REF!/'4. NPV'!HYA$8,0)</f>
        <v>0</v>
      </c>
      <c r="HYA54" s="5">
        <f>-IFERROR('4. NPV'!#REF!/'4. NPV'!HYB$8,0)</f>
        <v>0</v>
      </c>
      <c r="HYB54" s="5">
        <f>-IFERROR('4. NPV'!#REF!/'4. NPV'!HYC$8,0)</f>
        <v>0</v>
      </c>
      <c r="HYC54" s="5">
        <f>-IFERROR('4. NPV'!#REF!/'4. NPV'!HYD$8,0)</f>
        <v>0</v>
      </c>
      <c r="HYD54" s="5">
        <f>-IFERROR('4. NPV'!#REF!/'4. NPV'!HYE$8,0)</f>
        <v>0</v>
      </c>
      <c r="HYE54" s="5">
        <f>-IFERROR('4. NPV'!#REF!/'4. NPV'!HYF$8,0)</f>
        <v>0</v>
      </c>
      <c r="HYF54" s="5">
        <f>-IFERROR('4. NPV'!#REF!/'4. NPV'!HYG$8,0)</f>
        <v>0</v>
      </c>
      <c r="HYG54" s="5">
        <f>-IFERROR('4. NPV'!#REF!/'4. NPV'!HYH$8,0)</f>
        <v>0</v>
      </c>
      <c r="HYH54" s="5">
        <f>-IFERROR('4. NPV'!#REF!/'4. NPV'!HYI$8,0)</f>
        <v>0</v>
      </c>
      <c r="HYI54" s="5">
        <f>-IFERROR('4. NPV'!#REF!/'4. NPV'!HYJ$8,0)</f>
        <v>0</v>
      </c>
      <c r="HYJ54" s="5">
        <f>-IFERROR('4. NPV'!#REF!/'4. NPV'!HYK$8,0)</f>
        <v>0</v>
      </c>
      <c r="HYK54" s="5">
        <f>-IFERROR('4. NPV'!#REF!/'4. NPV'!HYL$8,0)</f>
        <v>0</v>
      </c>
      <c r="HYL54" s="5">
        <f>-IFERROR('4. NPV'!#REF!/'4. NPV'!HYM$8,0)</f>
        <v>0</v>
      </c>
      <c r="HYM54" s="5">
        <f>-IFERROR('4. NPV'!#REF!/'4. NPV'!HYN$8,0)</f>
        <v>0</v>
      </c>
      <c r="HYN54" s="5">
        <f>-IFERROR('4. NPV'!#REF!/'4. NPV'!HYO$8,0)</f>
        <v>0</v>
      </c>
      <c r="HYO54" s="5">
        <f>-IFERROR('4. NPV'!#REF!/'4. NPV'!HYP$8,0)</f>
        <v>0</v>
      </c>
      <c r="HYP54" s="5">
        <f>-IFERROR('4. NPV'!#REF!/'4. NPV'!HYQ$8,0)</f>
        <v>0</v>
      </c>
      <c r="HYQ54" s="5">
        <f>-IFERROR('4. NPV'!#REF!/'4. NPV'!HYR$8,0)</f>
        <v>0</v>
      </c>
      <c r="HYR54" s="5">
        <f>-IFERROR('4. NPV'!#REF!/'4. NPV'!HYS$8,0)</f>
        <v>0</v>
      </c>
      <c r="HYS54" s="5">
        <f>-IFERROR('4. NPV'!#REF!/'4. NPV'!HYT$8,0)</f>
        <v>0</v>
      </c>
      <c r="HYT54" s="5">
        <f>-IFERROR('4. NPV'!#REF!/'4. NPV'!HYU$8,0)</f>
        <v>0</v>
      </c>
      <c r="HYU54" s="5">
        <f>-IFERROR('4. NPV'!#REF!/'4. NPV'!HYV$8,0)</f>
        <v>0</v>
      </c>
      <c r="HYV54" s="5">
        <f>-IFERROR('4. NPV'!#REF!/'4. NPV'!HYW$8,0)</f>
        <v>0</v>
      </c>
      <c r="HYW54" s="5">
        <f>-IFERROR('4. NPV'!#REF!/'4. NPV'!HYX$8,0)</f>
        <v>0</v>
      </c>
      <c r="HYX54" s="5">
        <f>-IFERROR('4. NPV'!#REF!/'4. NPV'!HYY$8,0)</f>
        <v>0</v>
      </c>
      <c r="HYY54" s="5">
        <f>-IFERROR('4. NPV'!#REF!/'4. NPV'!HYZ$8,0)</f>
        <v>0</v>
      </c>
      <c r="HYZ54" s="5">
        <f>-IFERROR('4. NPV'!#REF!/'4. NPV'!HZA$8,0)</f>
        <v>0</v>
      </c>
      <c r="HZA54" s="5">
        <f>-IFERROR('4. NPV'!#REF!/'4. NPV'!HZB$8,0)</f>
        <v>0</v>
      </c>
      <c r="HZB54" s="5">
        <f>-IFERROR('4. NPV'!#REF!/'4. NPV'!HZC$8,0)</f>
        <v>0</v>
      </c>
      <c r="HZC54" s="5">
        <f>-IFERROR('4. NPV'!#REF!/'4. NPV'!HZD$8,0)</f>
        <v>0</v>
      </c>
      <c r="HZD54" s="5">
        <f>-IFERROR('4. NPV'!#REF!/'4. NPV'!HZE$8,0)</f>
        <v>0</v>
      </c>
      <c r="HZE54" s="5">
        <f>-IFERROR('4. NPV'!#REF!/'4. NPV'!HZF$8,0)</f>
        <v>0</v>
      </c>
      <c r="HZF54" s="5">
        <f>-IFERROR('4. NPV'!#REF!/'4. NPV'!HZG$8,0)</f>
        <v>0</v>
      </c>
      <c r="HZG54" s="5">
        <f>-IFERROR('4. NPV'!#REF!/'4. NPV'!HZH$8,0)</f>
        <v>0</v>
      </c>
      <c r="HZH54" s="5">
        <f>-IFERROR('4. NPV'!#REF!/'4. NPV'!HZI$8,0)</f>
        <v>0</v>
      </c>
      <c r="HZI54" s="5">
        <f>-IFERROR('4. NPV'!#REF!/'4. NPV'!HZJ$8,0)</f>
        <v>0</v>
      </c>
      <c r="HZJ54" s="5">
        <f>-IFERROR('4. NPV'!#REF!/'4. NPV'!HZK$8,0)</f>
        <v>0</v>
      </c>
      <c r="HZK54" s="5">
        <f>-IFERROR('4. NPV'!#REF!/'4. NPV'!HZL$8,0)</f>
        <v>0</v>
      </c>
      <c r="HZL54" s="5">
        <f>-IFERROR('4. NPV'!#REF!/'4. NPV'!HZM$8,0)</f>
        <v>0</v>
      </c>
      <c r="HZM54" s="5">
        <f>-IFERROR('4. NPV'!#REF!/'4. NPV'!HZN$8,0)</f>
        <v>0</v>
      </c>
      <c r="HZN54" s="5">
        <f>-IFERROR('4. NPV'!#REF!/'4. NPV'!HZO$8,0)</f>
        <v>0</v>
      </c>
      <c r="HZO54" s="5">
        <f>-IFERROR('4. NPV'!#REF!/'4. NPV'!HZP$8,0)</f>
        <v>0</v>
      </c>
      <c r="HZP54" s="5">
        <f>-IFERROR('4. NPV'!#REF!/'4. NPV'!HZQ$8,0)</f>
        <v>0</v>
      </c>
      <c r="HZQ54" s="5">
        <f>-IFERROR('4. NPV'!#REF!/'4. NPV'!HZR$8,0)</f>
        <v>0</v>
      </c>
      <c r="HZR54" s="5">
        <f>-IFERROR('4. NPV'!#REF!/'4. NPV'!HZS$8,0)</f>
        <v>0</v>
      </c>
      <c r="HZS54" s="5">
        <f>-IFERROR('4. NPV'!#REF!/'4. NPV'!HZT$8,0)</f>
        <v>0</v>
      </c>
      <c r="HZT54" s="5">
        <f>-IFERROR('4. NPV'!#REF!/'4. NPV'!HZU$8,0)</f>
        <v>0</v>
      </c>
      <c r="HZU54" s="5">
        <f>-IFERROR('4. NPV'!#REF!/'4. NPV'!HZV$8,0)</f>
        <v>0</v>
      </c>
      <c r="HZV54" s="5">
        <f>-IFERROR('4. NPV'!#REF!/'4. NPV'!HZW$8,0)</f>
        <v>0</v>
      </c>
      <c r="HZW54" s="5">
        <f>-IFERROR('4. NPV'!#REF!/'4. NPV'!HZX$8,0)</f>
        <v>0</v>
      </c>
      <c r="HZX54" s="5">
        <f>-IFERROR('4. NPV'!#REF!/'4. NPV'!HZY$8,0)</f>
        <v>0</v>
      </c>
      <c r="HZY54" s="5">
        <f>-IFERROR('4. NPV'!#REF!/'4. NPV'!HZZ$8,0)</f>
        <v>0</v>
      </c>
      <c r="HZZ54" s="5">
        <f>-IFERROR('4. NPV'!#REF!/'4. NPV'!IAA$8,0)</f>
        <v>0</v>
      </c>
      <c r="IAA54" s="5">
        <f>-IFERROR('4. NPV'!#REF!/'4. NPV'!IAB$8,0)</f>
        <v>0</v>
      </c>
      <c r="IAB54" s="5">
        <f>-IFERROR('4. NPV'!#REF!/'4. NPV'!IAC$8,0)</f>
        <v>0</v>
      </c>
      <c r="IAC54" s="5">
        <f>-IFERROR('4. NPV'!#REF!/'4. NPV'!IAD$8,0)</f>
        <v>0</v>
      </c>
      <c r="IAD54" s="5">
        <f>-IFERROR('4. NPV'!#REF!/'4. NPV'!IAE$8,0)</f>
        <v>0</v>
      </c>
      <c r="IAE54" s="5">
        <f>-IFERROR('4. NPV'!#REF!/'4. NPV'!IAF$8,0)</f>
        <v>0</v>
      </c>
      <c r="IAF54" s="5">
        <f>-IFERROR('4. NPV'!#REF!/'4. NPV'!IAG$8,0)</f>
        <v>0</v>
      </c>
      <c r="IAG54" s="5">
        <f>-IFERROR('4. NPV'!#REF!/'4. NPV'!IAH$8,0)</f>
        <v>0</v>
      </c>
      <c r="IAH54" s="5">
        <f>-IFERROR('4. NPV'!#REF!/'4. NPV'!IAI$8,0)</f>
        <v>0</v>
      </c>
      <c r="IAI54" s="5">
        <f>-IFERROR('4. NPV'!#REF!/'4. NPV'!IAJ$8,0)</f>
        <v>0</v>
      </c>
      <c r="IAJ54" s="5">
        <f>-IFERROR('4. NPV'!#REF!/'4. NPV'!IAK$8,0)</f>
        <v>0</v>
      </c>
      <c r="IAK54" s="5">
        <f>-IFERROR('4. NPV'!#REF!/'4. NPV'!IAL$8,0)</f>
        <v>0</v>
      </c>
      <c r="IAL54" s="5">
        <f>-IFERROR('4. NPV'!#REF!/'4. NPV'!IAM$8,0)</f>
        <v>0</v>
      </c>
      <c r="IAM54" s="5">
        <f>-IFERROR('4. NPV'!#REF!/'4. NPV'!IAN$8,0)</f>
        <v>0</v>
      </c>
      <c r="IAN54" s="5">
        <f>-IFERROR('4. NPV'!#REF!/'4. NPV'!IAO$8,0)</f>
        <v>0</v>
      </c>
      <c r="IAO54" s="5">
        <f>-IFERROR('4. NPV'!#REF!/'4. NPV'!IAP$8,0)</f>
        <v>0</v>
      </c>
      <c r="IAP54" s="5">
        <f>-IFERROR('4. NPV'!#REF!/'4. NPV'!IAQ$8,0)</f>
        <v>0</v>
      </c>
      <c r="IAQ54" s="5">
        <f>-IFERROR('4. NPV'!#REF!/'4. NPV'!IAR$8,0)</f>
        <v>0</v>
      </c>
      <c r="IAR54" s="5">
        <f>-IFERROR('4. NPV'!#REF!/'4. NPV'!IAS$8,0)</f>
        <v>0</v>
      </c>
      <c r="IAS54" s="5">
        <f>-IFERROR('4. NPV'!#REF!/'4. NPV'!IAT$8,0)</f>
        <v>0</v>
      </c>
      <c r="IAT54" s="5">
        <f>-IFERROR('4. NPV'!#REF!/'4. NPV'!IAU$8,0)</f>
        <v>0</v>
      </c>
      <c r="IAU54" s="5">
        <f>-IFERROR('4. NPV'!#REF!/'4. NPV'!IAV$8,0)</f>
        <v>0</v>
      </c>
      <c r="IAV54" s="5">
        <f>-IFERROR('4. NPV'!#REF!/'4. NPV'!IAW$8,0)</f>
        <v>0</v>
      </c>
      <c r="IAW54" s="5">
        <f>-IFERROR('4. NPV'!#REF!/'4. NPV'!IAX$8,0)</f>
        <v>0</v>
      </c>
      <c r="IAX54" s="5">
        <f>-IFERROR('4. NPV'!#REF!/'4. NPV'!IAY$8,0)</f>
        <v>0</v>
      </c>
      <c r="IAY54" s="5">
        <f>-IFERROR('4. NPV'!#REF!/'4. NPV'!IAZ$8,0)</f>
        <v>0</v>
      </c>
      <c r="IAZ54" s="5">
        <f>-IFERROR('4. NPV'!#REF!/'4. NPV'!IBA$8,0)</f>
        <v>0</v>
      </c>
      <c r="IBA54" s="5">
        <f>-IFERROR('4. NPV'!#REF!/'4. NPV'!IBB$8,0)</f>
        <v>0</v>
      </c>
      <c r="IBB54" s="5">
        <f>-IFERROR('4. NPV'!#REF!/'4. NPV'!IBC$8,0)</f>
        <v>0</v>
      </c>
      <c r="IBC54" s="5">
        <f>-IFERROR('4. NPV'!#REF!/'4. NPV'!IBD$8,0)</f>
        <v>0</v>
      </c>
      <c r="IBD54" s="5">
        <f>-IFERROR('4. NPV'!#REF!/'4. NPV'!IBE$8,0)</f>
        <v>0</v>
      </c>
      <c r="IBE54" s="5">
        <f>-IFERROR('4. NPV'!#REF!/'4. NPV'!IBF$8,0)</f>
        <v>0</v>
      </c>
      <c r="IBF54" s="5">
        <f>-IFERROR('4. NPV'!#REF!/'4. NPV'!IBG$8,0)</f>
        <v>0</v>
      </c>
      <c r="IBG54" s="5">
        <f>-IFERROR('4. NPV'!#REF!/'4. NPV'!IBH$8,0)</f>
        <v>0</v>
      </c>
      <c r="IBH54" s="5">
        <f>-IFERROR('4. NPV'!#REF!/'4. NPV'!IBI$8,0)</f>
        <v>0</v>
      </c>
      <c r="IBI54" s="5">
        <f>-IFERROR('4. NPV'!#REF!/'4. NPV'!IBJ$8,0)</f>
        <v>0</v>
      </c>
      <c r="IBJ54" s="5">
        <f>-IFERROR('4. NPV'!#REF!/'4. NPV'!IBK$8,0)</f>
        <v>0</v>
      </c>
      <c r="IBK54" s="5">
        <f>-IFERROR('4. NPV'!#REF!/'4. NPV'!IBL$8,0)</f>
        <v>0</v>
      </c>
      <c r="IBL54" s="5">
        <f>-IFERROR('4. NPV'!#REF!/'4. NPV'!IBM$8,0)</f>
        <v>0</v>
      </c>
      <c r="IBM54" s="5">
        <f>-IFERROR('4. NPV'!#REF!/'4. NPV'!IBN$8,0)</f>
        <v>0</v>
      </c>
      <c r="IBN54" s="5">
        <f>-IFERROR('4. NPV'!#REF!/'4. NPV'!IBO$8,0)</f>
        <v>0</v>
      </c>
      <c r="IBO54" s="5">
        <f>-IFERROR('4. NPV'!#REF!/'4. NPV'!IBP$8,0)</f>
        <v>0</v>
      </c>
      <c r="IBP54" s="5">
        <f>-IFERROR('4. NPV'!#REF!/'4. NPV'!IBQ$8,0)</f>
        <v>0</v>
      </c>
      <c r="IBQ54" s="5">
        <f>-IFERROR('4. NPV'!#REF!/'4. NPV'!IBR$8,0)</f>
        <v>0</v>
      </c>
      <c r="IBR54" s="5">
        <f>-IFERROR('4. NPV'!#REF!/'4. NPV'!IBS$8,0)</f>
        <v>0</v>
      </c>
      <c r="IBS54" s="5">
        <f>-IFERROR('4. NPV'!#REF!/'4. NPV'!IBT$8,0)</f>
        <v>0</v>
      </c>
      <c r="IBT54" s="5">
        <f>-IFERROR('4. NPV'!#REF!/'4. NPV'!IBU$8,0)</f>
        <v>0</v>
      </c>
      <c r="IBU54" s="5">
        <f>-IFERROR('4. NPV'!#REF!/'4. NPV'!IBV$8,0)</f>
        <v>0</v>
      </c>
      <c r="IBV54" s="5">
        <f>-IFERROR('4. NPV'!#REF!/'4. NPV'!IBW$8,0)</f>
        <v>0</v>
      </c>
      <c r="IBW54" s="5">
        <f>-IFERROR('4. NPV'!#REF!/'4. NPV'!IBX$8,0)</f>
        <v>0</v>
      </c>
      <c r="IBX54" s="5">
        <f>-IFERROR('4. NPV'!#REF!/'4. NPV'!IBY$8,0)</f>
        <v>0</v>
      </c>
      <c r="IBY54" s="5">
        <f>-IFERROR('4. NPV'!#REF!/'4. NPV'!IBZ$8,0)</f>
        <v>0</v>
      </c>
      <c r="IBZ54" s="5">
        <f>-IFERROR('4. NPV'!#REF!/'4. NPV'!ICA$8,0)</f>
        <v>0</v>
      </c>
      <c r="ICA54" s="5">
        <f>-IFERROR('4. NPV'!#REF!/'4. NPV'!ICB$8,0)</f>
        <v>0</v>
      </c>
      <c r="ICB54" s="5">
        <f>-IFERROR('4. NPV'!#REF!/'4. NPV'!ICC$8,0)</f>
        <v>0</v>
      </c>
      <c r="ICC54" s="5">
        <f>-IFERROR('4. NPV'!#REF!/'4. NPV'!ICD$8,0)</f>
        <v>0</v>
      </c>
      <c r="ICD54" s="5">
        <f>-IFERROR('4. NPV'!#REF!/'4. NPV'!ICE$8,0)</f>
        <v>0</v>
      </c>
      <c r="ICE54" s="5">
        <f>-IFERROR('4. NPV'!#REF!/'4. NPV'!ICF$8,0)</f>
        <v>0</v>
      </c>
      <c r="ICF54" s="5">
        <f>-IFERROR('4. NPV'!#REF!/'4. NPV'!ICG$8,0)</f>
        <v>0</v>
      </c>
      <c r="ICG54" s="5">
        <f>-IFERROR('4. NPV'!#REF!/'4. NPV'!ICH$8,0)</f>
        <v>0</v>
      </c>
      <c r="ICH54" s="5">
        <f>-IFERROR('4. NPV'!#REF!/'4. NPV'!ICI$8,0)</f>
        <v>0</v>
      </c>
      <c r="ICI54" s="5">
        <f>-IFERROR('4. NPV'!#REF!/'4. NPV'!ICJ$8,0)</f>
        <v>0</v>
      </c>
      <c r="ICJ54" s="5">
        <f>-IFERROR('4. NPV'!#REF!/'4. NPV'!ICK$8,0)</f>
        <v>0</v>
      </c>
      <c r="ICK54" s="5">
        <f>-IFERROR('4. NPV'!#REF!/'4. NPV'!ICL$8,0)</f>
        <v>0</v>
      </c>
      <c r="ICL54" s="5">
        <f>-IFERROR('4. NPV'!#REF!/'4. NPV'!ICM$8,0)</f>
        <v>0</v>
      </c>
      <c r="ICM54" s="5">
        <f>-IFERROR('4. NPV'!#REF!/'4. NPV'!ICN$8,0)</f>
        <v>0</v>
      </c>
      <c r="ICN54" s="5">
        <f>-IFERROR('4. NPV'!#REF!/'4. NPV'!ICO$8,0)</f>
        <v>0</v>
      </c>
      <c r="ICO54" s="5">
        <f>-IFERROR('4. NPV'!#REF!/'4. NPV'!ICP$8,0)</f>
        <v>0</v>
      </c>
      <c r="ICP54" s="5">
        <f>-IFERROR('4. NPV'!#REF!/'4. NPV'!ICQ$8,0)</f>
        <v>0</v>
      </c>
      <c r="ICQ54" s="5">
        <f>-IFERROR('4. NPV'!#REF!/'4. NPV'!ICR$8,0)</f>
        <v>0</v>
      </c>
      <c r="ICR54" s="5">
        <f>-IFERROR('4. NPV'!#REF!/'4. NPV'!ICS$8,0)</f>
        <v>0</v>
      </c>
      <c r="ICS54" s="5">
        <f>-IFERROR('4. NPV'!#REF!/'4. NPV'!ICT$8,0)</f>
        <v>0</v>
      </c>
      <c r="ICT54" s="5">
        <f>-IFERROR('4. NPV'!#REF!/'4. NPV'!ICU$8,0)</f>
        <v>0</v>
      </c>
      <c r="ICU54" s="5">
        <f>-IFERROR('4. NPV'!#REF!/'4. NPV'!ICV$8,0)</f>
        <v>0</v>
      </c>
      <c r="ICV54" s="5">
        <f>-IFERROR('4. NPV'!#REF!/'4. NPV'!ICW$8,0)</f>
        <v>0</v>
      </c>
      <c r="ICW54" s="5">
        <f>-IFERROR('4. NPV'!#REF!/'4. NPV'!ICX$8,0)</f>
        <v>0</v>
      </c>
      <c r="ICX54" s="5">
        <f>-IFERROR('4. NPV'!#REF!/'4. NPV'!ICY$8,0)</f>
        <v>0</v>
      </c>
      <c r="ICY54" s="5">
        <f>-IFERROR('4. NPV'!#REF!/'4. NPV'!ICZ$8,0)</f>
        <v>0</v>
      </c>
      <c r="ICZ54" s="5">
        <f>-IFERROR('4. NPV'!#REF!/'4. NPV'!IDA$8,0)</f>
        <v>0</v>
      </c>
      <c r="IDA54" s="5">
        <f>-IFERROR('4. NPV'!#REF!/'4. NPV'!IDB$8,0)</f>
        <v>0</v>
      </c>
      <c r="IDB54" s="5">
        <f>-IFERROR('4. NPV'!#REF!/'4. NPV'!IDC$8,0)</f>
        <v>0</v>
      </c>
      <c r="IDC54" s="5">
        <f>-IFERROR('4. NPV'!#REF!/'4. NPV'!IDD$8,0)</f>
        <v>0</v>
      </c>
      <c r="IDD54" s="5">
        <f>-IFERROR('4. NPV'!#REF!/'4. NPV'!IDE$8,0)</f>
        <v>0</v>
      </c>
      <c r="IDE54" s="5">
        <f>-IFERROR('4. NPV'!#REF!/'4. NPV'!IDF$8,0)</f>
        <v>0</v>
      </c>
      <c r="IDF54" s="5">
        <f>-IFERROR('4. NPV'!#REF!/'4. NPV'!IDG$8,0)</f>
        <v>0</v>
      </c>
      <c r="IDG54" s="5">
        <f>-IFERROR('4. NPV'!#REF!/'4. NPV'!IDH$8,0)</f>
        <v>0</v>
      </c>
      <c r="IDH54" s="5">
        <f>-IFERROR('4. NPV'!#REF!/'4. NPV'!IDI$8,0)</f>
        <v>0</v>
      </c>
      <c r="IDI54" s="5">
        <f>-IFERROR('4. NPV'!#REF!/'4. NPV'!IDJ$8,0)</f>
        <v>0</v>
      </c>
      <c r="IDJ54" s="5">
        <f>-IFERROR('4. NPV'!#REF!/'4. NPV'!IDK$8,0)</f>
        <v>0</v>
      </c>
      <c r="IDK54" s="5">
        <f>-IFERROR('4. NPV'!#REF!/'4. NPV'!IDL$8,0)</f>
        <v>0</v>
      </c>
      <c r="IDL54" s="5">
        <f>-IFERROR('4. NPV'!#REF!/'4. NPV'!IDM$8,0)</f>
        <v>0</v>
      </c>
      <c r="IDM54" s="5">
        <f>-IFERROR('4. NPV'!#REF!/'4. NPV'!IDN$8,0)</f>
        <v>0</v>
      </c>
      <c r="IDN54" s="5">
        <f>-IFERROR('4. NPV'!#REF!/'4. NPV'!IDO$8,0)</f>
        <v>0</v>
      </c>
      <c r="IDO54" s="5">
        <f>-IFERROR('4. NPV'!#REF!/'4. NPV'!IDP$8,0)</f>
        <v>0</v>
      </c>
      <c r="IDP54" s="5">
        <f>-IFERROR('4. NPV'!#REF!/'4. NPV'!IDQ$8,0)</f>
        <v>0</v>
      </c>
      <c r="IDQ54" s="5">
        <f>-IFERROR('4. NPV'!#REF!/'4. NPV'!IDR$8,0)</f>
        <v>0</v>
      </c>
      <c r="IDR54" s="5">
        <f>-IFERROR('4. NPV'!#REF!/'4. NPV'!IDS$8,0)</f>
        <v>0</v>
      </c>
      <c r="IDS54" s="5">
        <f>-IFERROR('4. NPV'!#REF!/'4. NPV'!IDT$8,0)</f>
        <v>0</v>
      </c>
      <c r="IDT54" s="5">
        <f>-IFERROR('4. NPV'!#REF!/'4. NPV'!IDU$8,0)</f>
        <v>0</v>
      </c>
      <c r="IDU54" s="5">
        <f>-IFERROR('4. NPV'!#REF!/'4. NPV'!IDV$8,0)</f>
        <v>0</v>
      </c>
      <c r="IDV54" s="5">
        <f>-IFERROR('4. NPV'!#REF!/'4. NPV'!IDW$8,0)</f>
        <v>0</v>
      </c>
      <c r="IDW54" s="5">
        <f>-IFERROR('4. NPV'!#REF!/'4. NPV'!IDX$8,0)</f>
        <v>0</v>
      </c>
      <c r="IDX54" s="5">
        <f>-IFERROR('4. NPV'!#REF!/'4. NPV'!IDY$8,0)</f>
        <v>0</v>
      </c>
      <c r="IDY54" s="5">
        <f>-IFERROR('4. NPV'!#REF!/'4. NPV'!IDZ$8,0)</f>
        <v>0</v>
      </c>
      <c r="IDZ54" s="5">
        <f>-IFERROR('4. NPV'!#REF!/'4. NPV'!IEA$8,0)</f>
        <v>0</v>
      </c>
      <c r="IEA54" s="5">
        <f>-IFERROR('4. NPV'!#REF!/'4. NPV'!IEB$8,0)</f>
        <v>0</v>
      </c>
      <c r="IEB54" s="5">
        <f>-IFERROR('4. NPV'!#REF!/'4. NPV'!IEC$8,0)</f>
        <v>0</v>
      </c>
      <c r="IEC54" s="5">
        <f>-IFERROR('4. NPV'!#REF!/'4. NPV'!IED$8,0)</f>
        <v>0</v>
      </c>
      <c r="IED54" s="5">
        <f>-IFERROR('4. NPV'!#REF!/'4. NPV'!IEE$8,0)</f>
        <v>0</v>
      </c>
      <c r="IEE54" s="5">
        <f>-IFERROR('4. NPV'!#REF!/'4. NPV'!IEF$8,0)</f>
        <v>0</v>
      </c>
      <c r="IEF54" s="5">
        <f>-IFERROR('4. NPV'!#REF!/'4. NPV'!IEG$8,0)</f>
        <v>0</v>
      </c>
      <c r="IEG54" s="5">
        <f>-IFERROR('4. NPV'!#REF!/'4. NPV'!IEH$8,0)</f>
        <v>0</v>
      </c>
      <c r="IEH54" s="5">
        <f>-IFERROR('4. NPV'!#REF!/'4. NPV'!IEI$8,0)</f>
        <v>0</v>
      </c>
      <c r="IEI54" s="5">
        <f>-IFERROR('4. NPV'!#REF!/'4. NPV'!IEJ$8,0)</f>
        <v>0</v>
      </c>
      <c r="IEJ54" s="5">
        <f>-IFERROR('4. NPV'!#REF!/'4. NPV'!IEK$8,0)</f>
        <v>0</v>
      </c>
      <c r="IEK54" s="5">
        <f>-IFERROR('4. NPV'!#REF!/'4. NPV'!IEL$8,0)</f>
        <v>0</v>
      </c>
      <c r="IEL54" s="5">
        <f>-IFERROR('4. NPV'!#REF!/'4. NPV'!IEM$8,0)</f>
        <v>0</v>
      </c>
      <c r="IEM54" s="5">
        <f>-IFERROR('4. NPV'!#REF!/'4. NPV'!IEN$8,0)</f>
        <v>0</v>
      </c>
      <c r="IEN54" s="5">
        <f>-IFERROR('4. NPV'!#REF!/'4. NPV'!IEO$8,0)</f>
        <v>0</v>
      </c>
      <c r="IEO54" s="5">
        <f>-IFERROR('4. NPV'!#REF!/'4. NPV'!IEP$8,0)</f>
        <v>0</v>
      </c>
      <c r="IEP54" s="5">
        <f>-IFERROR('4. NPV'!#REF!/'4. NPV'!IEQ$8,0)</f>
        <v>0</v>
      </c>
      <c r="IEQ54" s="5">
        <f>-IFERROR('4. NPV'!#REF!/'4. NPV'!IER$8,0)</f>
        <v>0</v>
      </c>
      <c r="IER54" s="5">
        <f>-IFERROR('4. NPV'!#REF!/'4. NPV'!IES$8,0)</f>
        <v>0</v>
      </c>
      <c r="IES54" s="5">
        <f>-IFERROR('4. NPV'!#REF!/'4. NPV'!IET$8,0)</f>
        <v>0</v>
      </c>
      <c r="IET54" s="5">
        <f>-IFERROR('4. NPV'!#REF!/'4. NPV'!IEU$8,0)</f>
        <v>0</v>
      </c>
      <c r="IEU54" s="5">
        <f>-IFERROR('4. NPV'!#REF!/'4. NPV'!IEV$8,0)</f>
        <v>0</v>
      </c>
      <c r="IEV54" s="5">
        <f>-IFERROR('4. NPV'!#REF!/'4. NPV'!IEW$8,0)</f>
        <v>0</v>
      </c>
      <c r="IEW54" s="5">
        <f>-IFERROR('4. NPV'!#REF!/'4. NPV'!IEX$8,0)</f>
        <v>0</v>
      </c>
      <c r="IEX54" s="5">
        <f>-IFERROR('4. NPV'!#REF!/'4. NPV'!IEY$8,0)</f>
        <v>0</v>
      </c>
      <c r="IEY54" s="5">
        <f>-IFERROR('4. NPV'!#REF!/'4. NPV'!IEZ$8,0)</f>
        <v>0</v>
      </c>
      <c r="IEZ54" s="5">
        <f>-IFERROR('4. NPV'!#REF!/'4. NPV'!IFA$8,0)</f>
        <v>0</v>
      </c>
      <c r="IFA54" s="5">
        <f>-IFERROR('4. NPV'!#REF!/'4. NPV'!IFB$8,0)</f>
        <v>0</v>
      </c>
      <c r="IFB54" s="5">
        <f>-IFERROR('4. NPV'!#REF!/'4. NPV'!IFC$8,0)</f>
        <v>0</v>
      </c>
      <c r="IFC54" s="5">
        <f>-IFERROR('4. NPV'!#REF!/'4. NPV'!IFD$8,0)</f>
        <v>0</v>
      </c>
      <c r="IFD54" s="5">
        <f>-IFERROR('4. NPV'!#REF!/'4. NPV'!IFE$8,0)</f>
        <v>0</v>
      </c>
      <c r="IFE54" s="5">
        <f>-IFERROR('4. NPV'!#REF!/'4. NPV'!IFF$8,0)</f>
        <v>0</v>
      </c>
      <c r="IFF54" s="5">
        <f>-IFERROR('4. NPV'!#REF!/'4. NPV'!IFG$8,0)</f>
        <v>0</v>
      </c>
      <c r="IFG54" s="5">
        <f>-IFERROR('4. NPV'!#REF!/'4. NPV'!IFH$8,0)</f>
        <v>0</v>
      </c>
      <c r="IFH54" s="5">
        <f>-IFERROR('4. NPV'!#REF!/'4. NPV'!IFI$8,0)</f>
        <v>0</v>
      </c>
      <c r="IFI54" s="5">
        <f>-IFERROR('4. NPV'!#REF!/'4. NPV'!IFJ$8,0)</f>
        <v>0</v>
      </c>
      <c r="IFJ54" s="5">
        <f>-IFERROR('4. NPV'!#REF!/'4. NPV'!IFK$8,0)</f>
        <v>0</v>
      </c>
      <c r="IFK54" s="5">
        <f>-IFERROR('4. NPV'!#REF!/'4. NPV'!IFL$8,0)</f>
        <v>0</v>
      </c>
      <c r="IFL54" s="5">
        <f>-IFERROR('4. NPV'!#REF!/'4. NPV'!IFM$8,0)</f>
        <v>0</v>
      </c>
      <c r="IFM54" s="5">
        <f>-IFERROR('4. NPV'!#REF!/'4. NPV'!IFN$8,0)</f>
        <v>0</v>
      </c>
      <c r="IFN54" s="5">
        <f>-IFERROR('4. NPV'!#REF!/'4. NPV'!IFO$8,0)</f>
        <v>0</v>
      </c>
      <c r="IFO54" s="5">
        <f>-IFERROR('4. NPV'!#REF!/'4. NPV'!IFP$8,0)</f>
        <v>0</v>
      </c>
      <c r="IFP54" s="5">
        <f>-IFERROR('4. NPV'!#REF!/'4. NPV'!IFQ$8,0)</f>
        <v>0</v>
      </c>
      <c r="IFQ54" s="5">
        <f>-IFERROR('4. NPV'!#REF!/'4. NPV'!IFR$8,0)</f>
        <v>0</v>
      </c>
      <c r="IFR54" s="5">
        <f>-IFERROR('4. NPV'!#REF!/'4. NPV'!IFS$8,0)</f>
        <v>0</v>
      </c>
      <c r="IFS54" s="5">
        <f>-IFERROR('4. NPV'!#REF!/'4. NPV'!IFT$8,0)</f>
        <v>0</v>
      </c>
      <c r="IFT54" s="5">
        <f>-IFERROR('4. NPV'!#REF!/'4. NPV'!IFU$8,0)</f>
        <v>0</v>
      </c>
      <c r="IFU54" s="5">
        <f>-IFERROR('4. NPV'!#REF!/'4. NPV'!IFV$8,0)</f>
        <v>0</v>
      </c>
      <c r="IFV54" s="5">
        <f>-IFERROR('4. NPV'!#REF!/'4. NPV'!IFW$8,0)</f>
        <v>0</v>
      </c>
      <c r="IFW54" s="5">
        <f>-IFERROR('4. NPV'!#REF!/'4. NPV'!IFX$8,0)</f>
        <v>0</v>
      </c>
      <c r="IFX54" s="5">
        <f>-IFERROR('4. NPV'!#REF!/'4. NPV'!IFY$8,0)</f>
        <v>0</v>
      </c>
      <c r="IFY54" s="5">
        <f>-IFERROR('4. NPV'!#REF!/'4. NPV'!IFZ$8,0)</f>
        <v>0</v>
      </c>
      <c r="IFZ54" s="5">
        <f>-IFERROR('4. NPV'!#REF!/'4. NPV'!IGA$8,0)</f>
        <v>0</v>
      </c>
      <c r="IGA54" s="5">
        <f>-IFERROR('4. NPV'!#REF!/'4. NPV'!IGB$8,0)</f>
        <v>0</v>
      </c>
      <c r="IGB54" s="5">
        <f>-IFERROR('4. NPV'!#REF!/'4. NPV'!IGC$8,0)</f>
        <v>0</v>
      </c>
      <c r="IGC54" s="5">
        <f>-IFERROR('4. NPV'!#REF!/'4. NPV'!IGD$8,0)</f>
        <v>0</v>
      </c>
      <c r="IGD54" s="5">
        <f>-IFERROR('4. NPV'!#REF!/'4. NPV'!IGE$8,0)</f>
        <v>0</v>
      </c>
      <c r="IGE54" s="5">
        <f>-IFERROR('4. NPV'!#REF!/'4. NPV'!IGF$8,0)</f>
        <v>0</v>
      </c>
      <c r="IGF54" s="5">
        <f>-IFERROR('4. NPV'!#REF!/'4. NPV'!IGG$8,0)</f>
        <v>0</v>
      </c>
      <c r="IGG54" s="5">
        <f>-IFERROR('4. NPV'!#REF!/'4. NPV'!IGH$8,0)</f>
        <v>0</v>
      </c>
      <c r="IGH54" s="5">
        <f>-IFERROR('4. NPV'!#REF!/'4. NPV'!IGI$8,0)</f>
        <v>0</v>
      </c>
      <c r="IGI54" s="5">
        <f>-IFERROR('4. NPV'!#REF!/'4. NPV'!IGJ$8,0)</f>
        <v>0</v>
      </c>
      <c r="IGJ54" s="5">
        <f>-IFERROR('4. NPV'!#REF!/'4. NPV'!IGK$8,0)</f>
        <v>0</v>
      </c>
      <c r="IGK54" s="5">
        <f>-IFERROR('4. NPV'!#REF!/'4. NPV'!IGL$8,0)</f>
        <v>0</v>
      </c>
      <c r="IGL54" s="5">
        <f>-IFERROR('4. NPV'!#REF!/'4. NPV'!IGM$8,0)</f>
        <v>0</v>
      </c>
      <c r="IGM54" s="5">
        <f>-IFERROR('4. NPV'!#REF!/'4. NPV'!IGN$8,0)</f>
        <v>0</v>
      </c>
      <c r="IGN54" s="5">
        <f>-IFERROR('4. NPV'!#REF!/'4. NPV'!IGO$8,0)</f>
        <v>0</v>
      </c>
      <c r="IGO54" s="5">
        <f>-IFERROR('4. NPV'!#REF!/'4. NPV'!IGP$8,0)</f>
        <v>0</v>
      </c>
      <c r="IGP54" s="5">
        <f>-IFERROR('4. NPV'!#REF!/'4. NPV'!IGQ$8,0)</f>
        <v>0</v>
      </c>
      <c r="IGQ54" s="5">
        <f>-IFERROR('4. NPV'!#REF!/'4. NPV'!IGR$8,0)</f>
        <v>0</v>
      </c>
      <c r="IGR54" s="5">
        <f>-IFERROR('4. NPV'!#REF!/'4. NPV'!IGS$8,0)</f>
        <v>0</v>
      </c>
      <c r="IGS54" s="5">
        <f>-IFERROR('4. NPV'!#REF!/'4. NPV'!IGT$8,0)</f>
        <v>0</v>
      </c>
      <c r="IGT54" s="5">
        <f>-IFERROR('4. NPV'!#REF!/'4. NPV'!IGU$8,0)</f>
        <v>0</v>
      </c>
      <c r="IGU54" s="5">
        <f>-IFERROR('4. NPV'!#REF!/'4. NPV'!IGV$8,0)</f>
        <v>0</v>
      </c>
      <c r="IGV54" s="5">
        <f>-IFERROR('4. NPV'!#REF!/'4. NPV'!IGW$8,0)</f>
        <v>0</v>
      </c>
      <c r="IGW54" s="5">
        <f>-IFERROR('4. NPV'!#REF!/'4. NPV'!IGX$8,0)</f>
        <v>0</v>
      </c>
      <c r="IGX54" s="5">
        <f>-IFERROR('4. NPV'!#REF!/'4. NPV'!IGY$8,0)</f>
        <v>0</v>
      </c>
      <c r="IGY54" s="5">
        <f>-IFERROR('4. NPV'!#REF!/'4. NPV'!IGZ$8,0)</f>
        <v>0</v>
      </c>
      <c r="IGZ54" s="5">
        <f>-IFERROR('4. NPV'!#REF!/'4. NPV'!IHA$8,0)</f>
        <v>0</v>
      </c>
      <c r="IHA54" s="5">
        <f>-IFERROR('4. NPV'!#REF!/'4. NPV'!IHB$8,0)</f>
        <v>0</v>
      </c>
      <c r="IHB54" s="5">
        <f>-IFERROR('4. NPV'!#REF!/'4. NPV'!IHC$8,0)</f>
        <v>0</v>
      </c>
      <c r="IHC54" s="5">
        <f>-IFERROR('4. NPV'!#REF!/'4. NPV'!IHD$8,0)</f>
        <v>0</v>
      </c>
      <c r="IHD54" s="5">
        <f>-IFERROR('4. NPV'!#REF!/'4. NPV'!IHE$8,0)</f>
        <v>0</v>
      </c>
      <c r="IHE54" s="5">
        <f>-IFERROR('4. NPV'!#REF!/'4. NPV'!IHF$8,0)</f>
        <v>0</v>
      </c>
      <c r="IHF54" s="5">
        <f>-IFERROR('4. NPV'!#REF!/'4. NPV'!IHG$8,0)</f>
        <v>0</v>
      </c>
      <c r="IHG54" s="5">
        <f>-IFERROR('4. NPV'!#REF!/'4. NPV'!IHH$8,0)</f>
        <v>0</v>
      </c>
      <c r="IHH54" s="5">
        <f>-IFERROR('4. NPV'!#REF!/'4. NPV'!IHI$8,0)</f>
        <v>0</v>
      </c>
      <c r="IHI54" s="5">
        <f>-IFERROR('4. NPV'!#REF!/'4. NPV'!IHJ$8,0)</f>
        <v>0</v>
      </c>
      <c r="IHJ54" s="5">
        <f>-IFERROR('4. NPV'!#REF!/'4. NPV'!IHK$8,0)</f>
        <v>0</v>
      </c>
      <c r="IHK54" s="5">
        <f>-IFERROR('4. NPV'!#REF!/'4. NPV'!IHL$8,0)</f>
        <v>0</v>
      </c>
      <c r="IHL54" s="5">
        <f>-IFERROR('4. NPV'!#REF!/'4. NPV'!IHM$8,0)</f>
        <v>0</v>
      </c>
      <c r="IHM54" s="5">
        <f>-IFERROR('4. NPV'!#REF!/'4. NPV'!IHN$8,0)</f>
        <v>0</v>
      </c>
      <c r="IHN54" s="5">
        <f>-IFERROR('4. NPV'!#REF!/'4. NPV'!IHO$8,0)</f>
        <v>0</v>
      </c>
      <c r="IHO54" s="5">
        <f>-IFERROR('4. NPV'!#REF!/'4. NPV'!IHP$8,0)</f>
        <v>0</v>
      </c>
      <c r="IHP54" s="5">
        <f>-IFERROR('4. NPV'!#REF!/'4. NPV'!IHQ$8,0)</f>
        <v>0</v>
      </c>
      <c r="IHQ54" s="5">
        <f>-IFERROR('4. NPV'!#REF!/'4. NPV'!IHR$8,0)</f>
        <v>0</v>
      </c>
      <c r="IHR54" s="5">
        <f>-IFERROR('4. NPV'!#REF!/'4. NPV'!IHS$8,0)</f>
        <v>0</v>
      </c>
      <c r="IHS54" s="5">
        <f>-IFERROR('4. NPV'!#REF!/'4. NPV'!IHT$8,0)</f>
        <v>0</v>
      </c>
      <c r="IHT54" s="5">
        <f>-IFERROR('4. NPV'!#REF!/'4. NPV'!IHU$8,0)</f>
        <v>0</v>
      </c>
      <c r="IHU54" s="5">
        <f>-IFERROR('4. NPV'!#REF!/'4. NPV'!IHV$8,0)</f>
        <v>0</v>
      </c>
      <c r="IHV54" s="5">
        <f>-IFERROR('4. NPV'!#REF!/'4. NPV'!IHW$8,0)</f>
        <v>0</v>
      </c>
      <c r="IHW54" s="5">
        <f>-IFERROR('4. NPV'!#REF!/'4. NPV'!IHX$8,0)</f>
        <v>0</v>
      </c>
      <c r="IHX54" s="5">
        <f>-IFERROR('4. NPV'!#REF!/'4. NPV'!IHY$8,0)</f>
        <v>0</v>
      </c>
      <c r="IHY54" s="5">
        <f>-IFERROR('4. NPV'!#REF!/'4. NPV'!IHZ$8,0)</f>
        <v>0</v>
      </c>
      <c r="IHZ54" s="5">
        <f>-IFERROR('4. NPV'!#REF!/'4. NPV'!IIA$8,0)</f>
        <v>0</v>
      </c>
      <c r="IIA54" s="5">
        <f>-IFERROR('4. NPV'!#REF!/'4. NPV'!IIB$8,0)</f>
        <v>0</v>
      </c>
      <c r="IIB54" s="5">
        <f>-IFERROR('4. NPV'!#REF!/'4. NPV'!IIC$8,0)</f>
        <v>0</v>
      </c>
      <c r="IIC54" s="5">
        <f>-IFERROR('4. NPV'!#REF!/'4. NPV'!IID$8,0)</f>
        <v>0</v>
      </c>
      <c r="IID54" s="5">
        <f>-IFERROR('4. NPV'!#REF!/'4. NPV'!IIE$8,0)</f>
        <v>0</v>
      </c>
      <c r="IIE54" s="5">
        <f>-IFERROR('4. NPV'!#REF!/'4. NPV'!IIF$8,0)</f>
        <v>0</v>
      </c>
      <c r="IIF54" s="5">
        <f>-IFERROR('4. NPV'!#REF!/'4. NPV'!IIG$8,0)</f>
        <v>0</v>
      </c>
      <c r="IIG54" s="5">
        <f>-IFERROR('4. NPV'!#REF!/'4. NPV'!IIH$8,0)</f>
        <v>0</v>
      </c>
      <c r="IIH54" s="5">
        <f>-IFERROR('4. NPV'!#REF!/'4. NPV'!III$8,0)</f>
        <v>0</v>
      </c>
      <c r="III54" s="5">
        <f>-IFERROR('4. NPV'!#REF!/'4. NPV'!IIJ$8,0)</f>
        <v>0</v>
      </c>
      <c r="IIJ54" s="5">
        <f>-IFERROR('4. NPV'!#REF!/'4. NPV'!IIK$8,0)</f>
        <v>0</v>
      </c>
      <c r="IIK54" s="5">
        <f>-IFERROR('4. NPV'!#REF!/'4. NPV'!IIL$8,0)</f>
        <v>0</v>
      </c>
      <c r="IIL54" s="5">
        <f>-IFERROR('4. NPV'!#REF!/'4. NPV'!IIM$8,0)</f>
        <v>0</v>
      </c>
      <c r="IIM54" s="5">
        <f>-IFERROR('4. NPV'!#REF!/'4. NPV'!IIN$8,0)</f>
        <v>0</v>
      </c>
      <c r="IIN54" s="5">
        <f>-IFERROR('4. NPV'!#REF!/'4. NPV'!IIO$8,0)</f>
        <v>0</v>
      </c>
      <c r="IIO54" s="5">
        <f>-IFERROR('4. NPV'!#REF!/'4. NPV'!IIP$8,0)</f>
        <v>0</v>
      </c>
      <c r="IIP54" s="5">
        <f>-IFERROR('4. NPV'!#REF!/'4. NPV'!IIQ$8,0)</f>
        <v>0</v>
      </c>
      <c r="IIQ54" s="5">
        <f>-IFERROR('4. NPV'!#REF!/'4. NPV'!IIR$8,0)</f>
        <v>0</v>
      </c>
      <c r="IIR54" s="5">
        <f>-IFERROR('4. NPV'!#REF!/'4. NPV'!IIS$8,0)</f>
        <v>0</v>
      </c>
      <c r="IIS54" s="5">
        <f>-IFERROR('4. NPV'!#REF!/'4. NPV'!IIT$8,0)</f>
        <v>0</v>
      </c>
      <c r="IIT54" s="5">
        <f>-IFERROR('4. NPV'!#REF!/'4. NPV'!IIU$8,0)</f>
        <v>0</v>
      </c>
      <c r="IIU54" s="5">
        <f>-IFERROR('4. NPV'!#REF!/'4. NPV'!IIV$8,0)</f>
        <v>0</v>
      </c>
      <c r="IIV54" s="5">
        <f>-IFERROR('4. NPV'!#REF!/'4. NPV'!IIW$8,0)</f>
        <v>0</v>
      </c>
      <c r="IIW54" s="5">
        <f>-IFERROR('4. NPV'!#REF!/'4. NPV'!IIX$8,0)</f>
        <v>0</v>
      </c>
      <c r="IIX54" s="5">
        <f>-IFERROR('4. NPV'!#REF!/'4. NPV'!IIY$8,0)</f>
        <v>0</v>
      </c>
      <c r="IIY54" s="5">
        <f>-IFERROR('4. NPV'!#REF!/'4. NPV'!IIZ$8,0)</f>
        <v>0</v>
      </c>
      <c r="IIZ54" s="5">
        <f>-IFERROR('4. NPV'!#REF!/'4. NPV'!IJA$8,0)</f>
        <v>0</v>
      </c>
      <c r="IJA54" s="5">
        <f>-IFERROR('4. NPV'!#REF!/'4. NPV'!IJB$8,0)</f>
        <v>0</v>
      </c>
      <c r="IJB54" s="5">
        <f>-IFERROR('4. NPV'!#REF!/'4. NPV'!IJC$8,0)</f>
        <v>0</v>
      </c>
      <c r="IJC54" s="5">
        <f>-IFERROR('4. NPV'!#REF!/'4. NPV'!IJD$8,0)</f>
        <v>0</v>
      </c>
      <c r="IJD54" s="5">
        <f>-IFERROR('4. NPV'!#REF!/'4. NPV'!IJE$8,0)</f>
        <v>0</v>
      </c>
      <c r="IJE54" s="5">
        <f>-IFERROR('4. NPV'!#REF!/'4. NPV'!IJF$8,0)</f>
        <v>0</v>
      </c>
      <c r="IJF54" s="5">
        <f>-IFERROR('4. NPV'!#REF!/'4. NPV'!IJG$8,0)</f>
        <v>0</v>
      </c>
      <c r="IJG54" s="5">
        <f>-IFERROR('4. NPV'!#REF!/'4. NPV'!IJH$8,0)</f>
        <v>0</v>
      </c>
      <c r="IJH54" s="5">
        <f>-IFERROR('4. NPV'!#REF!/'4. NPV'!IJI$8,0)</f>
        <v>0</v>
      </c>
      <c r="IJI54" s="5">
        <f>-IFERROR('4. NPV'!#REF!/'4. NPV'!IJJ$8,0)</f>
        <v>0</v>
      </c>
      <c r="IJJ54" s="5">
        <f>-IFERROR('4. NPV'!#REF!/'4. NPV'!IJK$8,0)</f>
        <v>0</v>
      </c>
      <c r="IJK54" s="5">
        <f>-IFERROR('4. NPV'!#REF!/'4. NPV'!IJL$8,0)</f>
        <v>0</v>
      </c>
      <c r="IJL54" s="5">
        <f>-IFERROR('4. NPV'!#REF!/'4. NPV'!IJM$8,0)</f>
        <v>0</v>
      </c>
      <c r="IJM54" s="5">
        <f>-IFERROR('4. NPV'!#REF!/'4. NPV'!IJN$8,0)</f>
        <v>0</v>
      </c>
      <c r="IJN54" s="5">
        <f>-IFERROR('4. NPV'!#REF!/'4. NPV'!IJO$8,0)</f>
        <v>0</v>
      </c>
      <c r="IJO54" s="5">
        <f>-IFERROR('4. NPV'!#REF!/'4. NPV'!IJP$8,0)</f>
        <v>0</v>
      </c>
      <c r="IJP54" s="5">
        <f>-IFERROR('4. NPV'!#REF!/'4. NPV'!IJQ$8,0)</f>
        <v>0</v>
      </c>
      <c r="IJQ54" s="5">
        <f>-IFERROR('4. NPV'!#REF!/'4. NPV'!IJR$8,0)</f>
        <v>0</v>
      </c>
      <c r="IJR54" s="5">
        <f>-IFERROR('4. NPV'!#REF!/'4. NPV'!IJS$8,0)</f>
        <v>0</v>
      </c>
      <c r="IJS54" s="5">
        <f>-IFERROR('4. NPV'!#REF!/'4. NPV'!IJT$8,0)</f>
        <v>0</v>
      </c>
      <c r="IJT54" s="5">
        <f>-IFERROR('4. NPV'!#REF!/'4. NPV'!IJU$8,0)</f>
        <v>0</v>
      </c>
      <c r="IJU54" s="5">
        <f>-IFERROR('4. NPV'!#REF!/'4. NPV'!IJV$8,0)</f>
        <v>0</v>
      </c>
      <c r="IJV54" s="5">
        <f>-IFERROR('4. NPV'!#REF!/'4. NPV'!IJW$8,0)</f>
        <v>0</v>
      </c>
      <c r="IJW54" s="5">
        <f>-IFERROR('4. NPV'!#REF!/'4. NPV'!IJX$8,0)</f>
        <v>0</v>
      </c>
      <c r="IJX54" s="5">
        <f>-IFERROR('4. NPV'!#REF!/'4. NPV'!IJY$8,0)</f>
        <v>0</v>
      </c>
      <c r="IJY54" s="5">
        <f>-IFERROR('4. NPV'!#REF!/'4. NPV'!IJZ$8,0)</f>
        <v>0</v>
      </c>
      <c r="IJZ54" s="5">
        <f>-IFERROR('4. NPV'!#REF!/'4. NPV'!IKA$8,0)</f>
        <v>0</v>
      </c>
      <c r="IKA54" s="5">
        <f>-IFERROR('4. NPV'!#REF!/'4. NPV'!IKB$8,0)</f>
        <v>0</v>
      </c>
      <c r="IKB54" s="5">
        <f>-IFERROR('4. NPV'!#REF!/'4. NPV'!IKC$8,0)</f>
        <v>0</v>
      </c>
      <c r="IKC54" s="5">
        <f>-IFERROR('4. NPV'!#REF!/'4. NPV'!IKD$8,0)</f>
        <v>0</v>
      </c>
      <c r="IKD54" s="5">
        <f>-IFERROR('4. NPV'!#REF!/'4. NPV'!IKE$8,0)</f>
        <v>0</v>
      </c>
      <c r="IKE54" s="5">
        <f>-IFERROR('4. NPV'!#REF!/'4. NPV'!IKF$8,0)</f>
        <v>0</v>
      </c>
      <c r="IKF54" s="5">
        <f>-IFERROR('4. NPV'!#REF!/'4. NPV'!IKG$8,0)</f>
        <v>0</v>
      </c>
      <c r="IKG54" s="5">
        <f>-IFERROR('4. NPV'!#REF!/'4. NPV'!IKH$8,0)</f>
        <v>0</v>
      </c>
      <c r="IKH54" s="5">
        <f>-IFERROR('4. NPV'!#REF!/'4. NPV'!IKI$8,0)</f>
        <v>0</v>
      </c>
      <c r="IKI54" s="5">
        <f>-IFERROR('4. NPV'!#REF!/'4. NPV'!IKJ$8,0)</f>
        <v>0</v>
      </c>
      <c r="IKJ54" s="5">
        <f>-IFERROR('4. NPV'!#REF!/'4. NPV'!IKK$8,0)</f>
        <v>0</v>
      </c>
      <c r="IKK54" s="5">
        <f>-IFERROR('4. NPV'!#REF!/'4. NPV'!IKL$8,0)</f>
        <v>0</v>
      </c>
      <c r="IKL54" s="5">
        <f>-IFERROR('4. NPV'!#REF!/'4. NPV'!IKM$8,0)</f>
        <v>0</v>
      </c>
      <c r="IKM54" s="5">
        <f>-IFERROR('4. NPV'!#REF!/'4. NPV'!IKN$8,0)</f>
        <v>0</v>
      </c>
      <c r="IKN54" s="5">
        <f>-IFERROR('4. NPV'!#REF!/'4. NPV'!IKO$8,0)</f>
        <v>0</v>
      </c>
      <c r="IKO54" s="5">
        <f>-IFERROR('4. NPV'!#REF!/'4. NPV'!IKP$8,0)</f>
        <v>0</v>
      </c>
      <c r="IKP54" s="5">
        <f>-IFERROR('4. NPV'!#REF!/'4. NPV'!IKQ$8,0)</f>
        <v>0</v>
      </c>
      <c r="IKQ54" s="5">
        <f>-IFERROR('4. NPV'!#REF!/'4. NPV'!IKR$8,0)</f>
        <v>0</v>
      </c>
      <c r="IKR54" s="5">
        <f>-IFERROR('4. NPV'!#REF!/'4. NPV'!IKS$8,0)</f>
        <v>0</v>
      </c>
      <c r="IKS54" s="5">
        <f>-IFERROR('4. NPV'!#REF!/'4. NPV'!IKT$8,0)</f>
        <v>0</v>
      </c>
      <c r="IKT54" s="5">
        <f>-IFERROR('4. NPV'!#REF!/'4. NPV'!IKU$8,0)</f>
        <v>0</v>
      </c>
      <c r="IKU54" s="5">
        <f>-IFERROR('4. NPV'!#REF!/'4. NPV'!IKV$8,0)</f>
        <v>0</v>
      </c>
      <c r="IKV54" s="5">
        <f>-IFERROR('4. NPV'!#REF!/'4. NPV'!IKW$8,0)</f>
        <v>0</v>
      </c>
      <c r="IKW54" s="5">
        <f>-IFERROR('4. NPV'!#REF!/'4. NPV'!IKX$8,0)</f>
        <v>0</v>
      </c>
      <c r="IKX54" s="5">
        <f>-IFERROR('4. NPV'!#REF!/'4. NPV'!IKY$8,0)</f>
        <v>0</v>
      </c>
      <c r="IKY54" s="5">
        <f>-IFERROR('4. NPV'!#REF!/'4. NPV'!IKZ$8,0)</f>
        <v>0</v>
      </c>
      <c r="IKZ54" s="5">
        <f>-IFERROR('4. NPV'!#REF!/'4. NPV'!ILA$8,0)</f>
        <v>0</v>
      </c>
      <c r="ILA54" s="5">
        <f>-IFERROR('4. NPV'!#REF!/'4. NPV'!ILB$8,0)</f>
        <v>0</v>
      </c>
      <c r="ILB54" s="5">
        <f>-IFERROR('4. NPV'!#REF!/'4. NPV'!ILC$8,0)</f>
        <v>0</v>
      </c>
      <c r="ILC54" s="5">
        <f>-IFERROR('4. NPV'!#REF!/'4. NPV'!ILD$8,0)</f>
        <v>0</v>
      </c>
      <c r="ILD54" s="5">
        <f>-IFERROR('4. NPV'!#REF!/'4. NPV'!ILE$8,0)</f>
        <v>0</v>
      </c>
      <c r="ILE54" s="5">
        <f>-IFERROR('4. NPV'!#REF!/'4. NPV'!ILF$8,0)</f>
        <v>0</v>
      </c>
      <c r="ILF54" s="5">
        <f>-IFERROR('4. NPV'!#REF!/'4. NPV'!ILG$8,0)</f>
        <v>0</v>
      </c>
      <c r="ILG54" s="5">
        <f>-IFERROR('4. NPV'!#REF!/'4. NPV'!ILH$8,0)</f>
        <v>0</v>
      </c>
      <c r="ILH54" s="5">
        <f>-IFERROR('4. NPV'!#REF!/'4. NPV'!ILI$8,0)</f>
        <v>0</v>
      </c>
      <c r="ILI54" s="5">
        <f>-IFERROR('4. NPV'!#REF!/'4. NPV'!ILJ$8,0)</f>
        <v>0</v>
      </c>
      <c r="ILJ54" s="5">
        <f>-IFERROR('4. NPV'!#REF!/'4. NPV'!ILK$8,0)</f>
        <v>0</v>
      </c>
      <c r="ILK54" s="5">
        <f>-IFERROR('4. NPV'!#REF!/'4. NPV'!ILL$8,0)</f>
        <v>0</v>
      </c>
      <c r="ILL54" s="5">
        <f>-IFERROR('4. NPV'!#REF!/'4. NPV'!ILM$8,0)</f>
        <v>0</v>
      </c>
      <c r="ILM54" s="5">
        <f>-IFERROR('4. NPV'!#REF!/'4. NPV'!ILN$8,0)</f>
        <v>0</v>
      </c>
      <c r="ILN54" s="5">
        <f>-IFERROR('4. NPV'!#REF!/'4. NPV'!ILO$8,0)</f>
        <v>0</v>
      </c>
      <c r="ILO54" s="5">
        <f>-IFERROR('4. NPV'!#REF!/'4. NPV'!ILP$8,0)</f>
        <v>0</v>
      </c>
      <c r="ILP54" s="5">
        <f>-IFERROR('4. NPV'!#REF!/'4. NPV'!ILQ$8,0)</f>
        <v>0</v>
      </c>
      <c r="ILQ54" s="5">
        <f>-IFERROR('4. NPV'!#REF!/'4. NPV'!ILR$8,0)</f>
        <v>0</v>
      </c>
      <c r="ILR54" s="5">
        <f>-IFERROR('4. NPV'!#REF!/'4. NPV'!ILS$8,0)</f>
        <v>0</v>
      </c>
      <c r="ILS54" s="5">
        <f>-IFERROR('4. NPV'!#REF!/'4. NPV'!ILT$8,0)</f>
        <v>0</v>
      </c>
      <c r="ILT54" s="5">
        <f>-IFERROR('4. NPV'!#REF!/'4. NPV'!ILU$8,0)</f>
        <v>0</v>
      </c>
      <c r="ILU54" s="5">
        <f>-IFERROR('4. NPV'!#REF!/'4. NPV'!ILV$8,0)</f>
        <v>0</v>
      </c>
      <c r="ILV54" s="5">
        <f>-IFERROR('4. NPV'!#REF!/'4. NPV'!ILW$8,0)</f>
        <v>0</v>
      </c>
      <c r="ILW54" s="5">
        <f>-IFERROR('4. NPV'!#REF!/'4. NPV'!ILX$8,0)</f>
        <v>0</v>
      </c>
      <c r="ILX54" s="5">
        <f>-IFERROR('4. NPV'!#REF!/'4. NPV'!ILY$8,0)</f>
        <v>0</v>
      </c>
      <c r="ILY54" s="5">
        <f>-IFERROR('4. NPV'!#REF!/'4. NPV'!ILZ$8,0)</f>
        <v>0</v>
      </c>
      <c r="ILZ54" s="5">
        <f>-IFERROR('4. NPV'!#REF!/'4. NPV'!IMA$8,0)</f>
        <v>0</v>
      </c>
      <c r="IMA54" s="5">
        <f>-IFERROR('4. NPV'!#REF!/'4. NPV'!IMB$8,0)</f>
        <v>0</v>
      </c>
      <c r="IMB54" s="5">
        <f>-IFERROR('4. NPV'!#REF!/'4. NPV'!IMC$8,0)</f>
        <v>0</v>
      </c>
      <c r="IMC54" s="5">
        <f>-IFERROR('4. NPV'!#REF!/'4. NPV'!IMD$8,0)</f>
        <v>0</v>
      </c>
      <c r="IMD54" s="5">
        <f>-IFERROR('4. NPV'!#REF!/'4. NPV'!IME$8,0)</f>
        <v>0</v>
      </c>
      <c r="IME54" s="5">
        <f>-IFERROR('4. NPV'!#REF!/'4. NPV'!IMF$8,0)</f>
        <v>0</v>
      </c>
      <c r="IMF54" s="5">
        <f>-IFERROR('4. NPV'!#REF!/'4. NPV'!IMG$8,0)</f>
        <v>0</v>
      </c>
      <c r="IMG54" s="5">
        <f>-IFERROR('4. NPV'!#REF!/'4. NPV'!IMH$8,0)</f>
        <v>0</v>
      </c>
      <c r="IMH54" s="5">
        <f>-IFERROR('4. NPV'!#REF!/'4. NPV'!IMI$8,0)</f>
        <v>0</v>
      </c>
      <c r="IMI54" s="5">
        <f>-IFERROR('4. NPV'!#REF!/'4. NPV'!IMJ$8,0)</f>
        <v>0</v>
      </c>
      <c r="IMJ54" s="5">
        <f>-IFERROR('4. NPV'!#REF!/'4. NPV'!IMK$8,0)</f>
        <v>0</v>
      </c>
      <c r="IMK54" s="5">
        <f>-IFERROR('4. NPV'!#REF!/'4. NPV'!IML$8,0)</f>
        <v>0</v>
      </c>
      <c r="IML54" s="5">
        <f>-IFERROR('4. NPV'!#REF!/'4. NPV'!IMM$8,0)</f>
        <v>0</v>
      </c>
      <c r="IMM54" s="5">
        <f>-IFERROR('4. NPV'!#REF!/'4. NPV'!IMN$8,0)</f>
        <v>0</v>
      </c>
      <c r="IMN54" s="5">
        <f>-IFERROR('4. NPV'!#REF!/'4. NPV'!IMO$8,0)</f>
        <v>0</v>
      </c>
      <c r="IMO54" s="5">
        <f>-IFERROR('4. NPV'!#REF!/'4. NPV'!IMP$8,0)</f>
        <v>0</v>
      </c>
      <c r="IMP54" s="5">
        <f>-IFERROR('4. NPV'!#REF!/'4. NPV'!IMQ$8,0)</f>
        <v>0</v>
      </c>
      <c r="IMQ54" s="5">
        <f>-IFERROR('4. NPV'!#REF!/'4. NPV'!IMR$8,0)</f>
        <v>0</v>
      </c>
      <c r="IMR54" s="5">
        <f>-IFERROR('4. NPV'!#REF!/'4. NPV'!IMS$8,0)</f>
        <v>0</v>
      </c>
      <c r="IMS54" s="5">
        <f>-IFERROR('4. NPV'!#REF!/'4. NPV'!IMT$8,0)</f>
        <v>0</v>
      </c>
      <c r="IMT54" s="5">
        <f>-IFERROR('4. NPV'!#REF!/'4. NPV'!IMU$8,0)</f>
        <v>0</v>
      </c>
      <c r="IMU54" s="5">
        <f>-IFERROR('4. NPV'!#REF!/'4. NPV'!IMV$8,0)</f>
        <v>0</v>
      </c>
      <c r="IMV54" s="5">
        <f>-IFERROR('4. NPV'!#REF!/'4. NPV'!IMW$8,0)</f>
        <v>0</v>
      </c>
      <c r="IMW54" s="5">
        <f>-IFERROR('4. NPV'!#REF!/'4. NPV'!IMX$8,0)</f>
        <v>0</v>
      </c>
      <c r="IMX54" s="5">
        <f>-IFERROR('4. NPV'!#REF!/'4. NPV'!IMY$8,0)</f>
        <v>0</v>
      </c>
      <c r="IMY54" s="5">
        <f>-IFERROR('4. NPV'!#REF!/'4. NPV'!IMZ$8,0)</f>
        <v>0</v>
      </c>
      <c r="IMZ54" s="5">
        <f>-IFERROR('4. NPV'!#REF!/'4. NPV'!INA$8,0)</f>
        <v>0</v>
      </c>
      <c r="INA54" s="5">
        <f>-IFERROR('4. NPV'!#REF!/'4. NPV'!INB$8,0)</f>
        <v>0</v>
      </c>
      <c r="INB54" s="5">
        <f>-IFERROR('4. NPV'!#REF!/'4. NPV'!INC$8,0)</f>
        <v>0</v>
      </c>
      <c r="INC54" s="5">
        <f>-IFERROR('4. NPV'!#REF!/'4. NPV'!IND$8,0)</f>
        <v>0</v>
      </c>
      <c r="IND54" s="5">
        <f>-IFERROR('4. NPV'!#REF!/'4. NPV'!INE$8,0)</f>
        <v>0</v>
      </c>
      <c r="INE54" s="5">
        <f>-IFERROR('4. NPV'!#REF!/'4. NPV'!INF$8,0)</f>
        <v>0</v>
      </c>
      <c r="INF54" s="5">
        <f>-IFERROR('4. NPV'!#REF!/'4. NPV'!ING$8,0)</f>
        <v>0</v>
      </c>
      <c r="ING54" s="5">
        <f>-IFERROR('4. NPV'!#REF!/'4. NPV'!INH$8,0)</f>
        <v>0</v>
      </c>
      <c r="INH54" s="5">
        <f>-IFERROR('4. NPV'!#REF!/'4. NPV'!INI$8,0)</f>
        <v>0</v>
      </c>
      <c r="INI54" s="5">
        <f>-IFERROR('4. NPV'!#REF!/'4. NPV'!INJ$8,0)</f>
        <v>0</v>
      </c>
      <c r="INJ54" s="5">
        <f>-IFERROR('4. NPV'!#REF!/'4. NPV'!INK$8,0)</f>
        <v>0</v>
      </c>
      <c r="INK54" s="5">
        <f>-IFERROR('4. NPV'!#REF!/'4. NPV'!INL$8,0)</f>
        <v>0</v>
      </c>
      <c r="INL54" s="5">
        <f>-IFERROR('4. NPV'!#REF!/'4. NPV'!INM$8,0)</f>
        <v>0</v>
      </c>
      <c r="INM54" s="5">
        <f>-IFERROR('4. NPV'!#REF!/'4. NPV'!INN$8,0)</f>
        <v>0</v>
      </c>
      <c r="INN54" s="5">
        <f>-IFERROR('4. NPV'!#REF!/'4. NPV'!INO$8,0)</f>
        <v>0</v>
      </c>
      <c r="INO54" s="5">
        <f>-IFERROR('4. NPV'!#REF!/'4. NPV'!INP$8,0)</f>
        <v>0</v>
      </c>
      <c r="INP54" s="5">
        <f>-IFERROR('4. NPV'!#REF!/'4. NPV'!INQ$8,0)</f>
        <v>0</v>
      </c>
      <c r="INQ54" s="5">
        <f>-IFERROR('4. NPV'!#REF!/'4. NPV'!INR$8,0)</f>
        <v>0</v>
      </c>
      <c r="INR54" s="5">
        <f>-IFERROR('4. NPV'!#REF!/'4. NPV'!INS$8,0)</f>
        <v>0</v>
      </c>
      <c r="INS54" s="5">
        <f>-IFERROR('4. NPV'!#REF!/'4. NPV'!INT$8,0)</f>
        <v>0</v>
      </c>
      <c r="INT54" s="5">
        <f>-IFERROR('4. NPV'!#REF!/'4. NPV'!INU$8,0)</f>
        <v>0</v>
      </c>
      <c r="INU54" s="5">
        <f>-IFERROR('4. NPV'!#REF!/'4. NPV'!INV$8,0)</f>
        <v>0</v>
      </c>
      <c r="INV54" s="5">
        <f>-IFERROR('4. NPV'!#REF!/'4. NPV'!INW$8,0)</f>
        <v>0</v>
      </c>
      <c r="INW54" s="5">
        <f>-IFERROR('4. NPV'!#REF!/'4. NPV'!INX$8,0)</f>
        <v>0</v>
      </c>
      <c r="INX54" s="5">
        <f>-IFERROR('4. NPV'!#REF!/'4. NPV'!INY$8,0)</f>
        <v>0</v>
      </c>
      <c r="INY54" s="5">
        <f>-IFERROR('4. NPV'!#REF!/'4. NPV'!INZ$8,0)</f>
        <v>0</v>
      </c>
      <c r="INZ54" s="5">
        <f>-IFERROR('4. NPV'!#REF!/'4. NPV'!IOA$8,0)</f>
        <v>0</v>
      </c>
      <c r="IOA54" s="5">
        <f>-IFERROR('4. NPV'!#REF!/'4. NPV'!IOB$8,0)</f>
        <v>0</v>
      </c>
      <c r="IOB54" s="5">
        <f>-IFERROR('4. NPV'!#REF!/'4. NPV'!IOC$8,0)</f>
        <v>0</v>
      </c>
      <c r="IOC54" s="5">
        <f>-IFERROR('4. NPV'!#REF!/'4. NPV'!IOD$8,0)</f>
        <v>0</v>
      </c>
      <c r="IOD54" s="5">
        <f>-IFERROR('4. NPV'!#REF!/'4. NPV'!IOE$8,0)</f>
        <v>0</v>
      </c>
      <c r="IOE54" s="5">
        <f>-IFERROR('4. NPV'!#REF!/'4. NPV'!IOF$8,0)</f>
        <v>0</v>
      </c>
      <c r="IOF54" s="5">
        <f>-IFERROR('4. NPV'!#REF!/'4. NPV'!IOG$8,0)</f>
        <v>0</v>
      </c>
      <c r="IOG54" s="5">
        <f>-IFERROR('4. NPV'!#REF!/'4. NPV'!IOH$8,0)</f>
        <v>0</v>
      </c>
      <c r="IOH54" s="5">
        <f>-IFERROR('4. NPV'!#REF!/'4. NPV'!IOI$8,0)</f>
        <v>0</v>
      </c>
      <c r="IOI54" s="5">
        <f>-IFERROR('4. NPV'!#REF!/'4. NPV'!IOJ$8,0)</f>
        <v>0</v>
      </c>
      <c r="IOJ54" s="5">
        <f>-IFERROR('4. NPV'!#REF!/'4. NPV'!IOK$8,0)</f>
        <v>0</v>
      </c>
      <c r="IOK54" s="5">
        <f>-IFERROR('4. NPV'!#REF!/'4. NPV'!IOL$8,0)</f>
        <v>0</v>
      </c>
      <c r="IOL54" s="5">
        <f>-IFERROR('4. NPV'!#REF!/'4. NPV'!IOM$8,0)</f>
        <v>0</v>
      </c>
      <c r="IOM54" s="5">
        <f>-IFERROR('4. NPV'!#REF!/'4. NPV'!ION$8,0)</f>
        <v>0</v>
      </c>
      <c r="ION54" s="5">
        <f>-IFERROR('4. NPV'!#REF!/'4. NPV'!IOO$8,0)</f>
        <v>0</v>
      </c>
      <c r="IOO54" s="5">
        <f>-IFERROR('4. NPV'!#REF!/'4. NPV'!IOP$8,0)</f>
        <v>0</v>
      </c>
      <c r="IOP54" s="5">
        <f>-IFERROR('4. NPV'!#REF!/'4. NPV'!IOQ$8,0)</f>
        <v>0</v>
      </c>
      <c r="IOQ54" s="5">
        <f>-IFERROR('4. NPV'!#REF!/'4. NPV'!IOR$8,0)</f>
        <v>0</v>
      </c>
      <c r="IOR54" s="5">
        <f>-IFERROR('4. NPV'!#REF!/'4. NPV'!IOS$8,0)</f>
        <v>0</v>
      </c>
      <c r="IOS54" s="5">
        <f>-IFERROR('4. NPV'!#REF!/'4. NPV'!IOT$8,0)</f>
        <v>0</v>
      </c>
      <c r="IOT54" s="5">
        <f>-IFERROR('4. NPV'!#REF!/'4. NPV'!IOU$8,0)</f>
        <v>0</v>
      </c>
      <c r="IOU54" s="5">
        <f>-IFERROR('4. NPV'!#REF!/'4. NPV'!IOV$8,0)</f>
        <v>0</v>
      </c>
      <c r="IOV54" s="5">
        <f>-IFERROR('4. NPV'!#REF!/'4. NPV'!IOW$8,0)</f>
        <v>0</v>
      </c>
      <c r="IOW54" s="5">
        <f>-IFERROR('4. NPV'!#REF!/'4. NPV'!IOX$8,0)</f>
        <v>0</v>
      </c>
      <c r="IOX54" s="5">
        <f>-IFERROR('4. NPV'!#REF!/'4. NPV'!IOY$8,0)</f>
        <v>0</v>
      </c>
      <c r="IOY54" s="5">
        <f>-IFERROR('4. NPV'!#REF!/'4. NPV'!IOZ$8,0)</f>
        <v>0</v>
      </c>
      <c r="IOZ54" s="5">
        <f>-IFERROR('4. NPV'!#REF!/'4. NPV'!IPA$8,0)</f>
        <v>0</v>
      </c>
      <c r="IPA54" s="5">
        <f>-IFERROR('4. NPV'!#REF!/'4. NPV'!IPB$8,0)</f>
        <v>0</v>
      </c>
      <c r="IPB54" s="5">
        <f>-IFERROR('4. NPV'!#REF!/'4. NPV'!IPC$8,0)</f>
        <v>0</v>
      </c>
      <c r="IPC54" s="5">
        <f>-IFERROR('4. NPV'!#REF!/'4. NPV'!IPD$8,0)</f>
        <v>0</v>
      </c>
      <c r="IPD54" s="5">
        <f>-IFERROR('4. NPV'!#REF!/'4. NPV'!IPE$8,0)</f>
        <v>0</v>
      </c>
      <c r="IPE54" s="5">
        <f>-IFERROR('4. NPV'!#REF!/'4. NPV'!IPF$8,0)</f>
        <v>0</v>
      </c>
      <c r="IPF54" s="5">
        <f>-IFERROR('4. NPV'!#REF!/'4. NPV'!IPG$8,0)</f>
        <v>0</v>
      </c>
      <c r="IPG54" s="5">
        <f>-IFERROR('4. NPV'!#REF!/'4. NPV'!IPH$8,0)</f>
        <v>0</v>
      </c>
      <c r="IPH54" s="5">
        <f>-IFERROR('4. NPV'!#REF!/'4. NPV'!IPI$8,0)</f>
        <v>0</v>
      </c>
      <c r="IPI54" s="5">
        <f>-IFERROR('4. NPV'!#REF!/'4. NPV'!IPJ$8,0)</f>
        <v>0</v>
      </c>
      <c r="IPJ54" s="5">
        <f>-IFERROR('4. NPV'!#REF!/'4. NPV'!IPK$8,0)</f>
        <v>0</v>
      </c>
      <c r="IPK54" s="5">
        <f>-IFERROR('4. NPV'!#REF!/'4. NPV'!IPL$8,0)</f>
        <v>0</v>
      </c>
      <c r="IPL54" s="5">
        <f>-IFERROR('4. NPV'!#REF!/'4. NPV'!IPM$8,0)</f>
        <v>0</v>
      </c>
      <c r="IPM54" s="5">
        <f>-IFERROR('4. NPV'!#REF!/'4. NPV'!IPN$8,0)</f>
        <v>0</v>
      </c>
      <c r="IPN54" s="5">
        <f>-IFERROR('4. NPV'!#REF!/'4. NPV'!IPO$8,0)</f>
        <v>0</v>
      </c>
      <c r="IPO54" s="5">
        <f>-IFERROR('4. NPV'!#REF!/'4. NPV'!IPP$8,0)</f>
        <v>0</v>
      </c>
      <c r="IPP54" s="5">
        <f>-IFERROR('4. NPV'!#REF!/'4. NPV'!IPQ$8,0)</f>
        <v>0</v>
      </c>
      <c r="IPQ54" s="5">
        <f>-IFERROR('4. NPV'!#REF!/'4. NPV'!IPR$8,0)</f>
        <v>0</v>
      </c>
      <c r="IPR54" s="5">
        <f>-IFERROR('4. NPV'!#REF!/'4. NPV'!IPS$8,0)</f>
        <v>0</v>
      </c>
      <c r="IPS54" s="5">
        <f>-IFERROR('4. NPV'!#REF!/'4. NPV'!IPT$8,0)</f>
        <v>0</v>
      </c>
      <c r="IPT54" s="5">
        <f>-IFERROR('4. NPV'!#REF!/'4. NPV'!IPU$8,0)</f>
        <v>0</v>
      </c>
      <c r="IPU54" s="5">
        <f>-IFERROR('4. NPV'!#REF!/'4. NPV'!IPV$8,0)</f>
        <v>0</v>
      </c>
      <c r="IPV54" s="5">
        <f>-IFERROR('4. NPV'!#REF!/'4. NPV'!IPW$8,0)</f>
        <v>0</v>
      </c>
      <c r="IPW54" s="5">
        <f>-IFERROR('4. NPV'!#REF!/'4. NPV'!IPX$8,0)</f>
        <v>0</v>
      </c>
      <c r="IPX54" s="5">
        <f>-IFERROR('4. NPV'!#REF!/'4. NPV'!IPY$8,0)</f>
        <v>0</v>
      </c>
      <c r="IPY54" s="5">
        <f>-IFERROR('4. NPV'!#REF!/'4. NPV'!IPZ$8,0)</f>
        <v>0</v>
      </c>
      <c r="IPZ54" s="5">
        <f>-IFERROR('4. NPV'!#REF!/'4. NPV'!IQA$8,0)</f>
        <v>0</v>
      </c>
      <c r="IQA54" s="5">
        <f>-IFERROR('4. NPV'!#REF!/'4. NPV'!IQB$8,0)</f>
        <v>0</v>
      </c>
      <c r="IQB54" s="5">
        <f>-IFERROR('4. NPV'!#REF!/'4. NPV'!IQC$8,0)</f>
        <v>0</v>
      </c>
      <c r="IQC54" s="5">
        <f>-IFERROR('4. NPV'!#REF!/'4. NPV'!IQD$8,0)</f>
        <v>0</v>
      </c>
      <c r="IQD54" s="5">
        <f>-IFERROR('4. NPV'!#REF!/'4. NPV'!IQE$8,0)</f>
        <v>0</v>
      </c>
      <c r="IQE54" s="5">
        <f>-IFERROR('4. NPV'!#REF!/'4. NPV'!IQF$8,0)</f>
        <v>0</v>
      </c>
      <c r="IQF54" s="5">
        <f>-IFERROR('4. NPV'!#REF!/'4. NPV'!IQG$8,0)</f>
        <v>0</v>
      </c>
      <c r="IQG54" s="5">
        <f>-IFERROR('4. NPV'!#REF!/'4. NPV'!IQH$8,0)</f>
        <v>0</v>
      </c>
      <c r="IQH54" s="5">
        <f>-IFERROR('4. NPV'!#REF!/'4. NPV'!IQI$8,0)</f>
        <v>0</v>
      </c>
      <c r="IQI54" s="5">
        <f>-IFERROR('4. NPV'!#REF!/'4. NPV'!IQJ$8,0)</f>
        <v>0</v>
      </c>
      <c r="IQJ54" s="5">
        <f>-IFERROR('4. NPV'!#REF!/'4. NPV'!IQK$8,0)</f>
        <v>0</v>
      </c>
      <c r="IQK54" s="5">
        <f>-IFERROR('4. NPV'!#REF!/'4. NPV'!IQL$8,0)</f>
        <v>0</v>
      </c>
      <c r="IQL54" s="5">
        <f>-IFERROR('4. NPV'!#REF!/'4. NPV'!IQM$8,0)</f>
        <v>0</v>
      </c>
      <c r="IQM54" s="5">
        <f>-IFERROR('4. NPV'!#REF!/'4. NPV'!IQN$8,0)</f>
        <v>0</v>
      </c>
      <c r="IQN54" s="5">
        <f>-IFERROR('4. NPV'!#REF!/'4. NPV'!IQO$8,0)</f>
        <v>0</v>
      </c>
      <c r="IQO54" s="5">
        <f>-IFERROR('4. NPV'!#REF!/'4. NPV'!IQP$8,0)</f>
        <v>0</v>
      </c>
      <c r="IQP54" s="5">
        <f>-IFERROR('4. NPV'!#REF!/'4. NPV'!IQQ$8,0)</f>
        <v>0</v>
      </c>
      <c r="IQQ54" s="5">
        <f>-IFERROR('4. NPV'!#REF!/'4. NPV'!IQR$8,0)</f>
        <v>0</v>
      </c>
      <c r="IQR54" s="5">
        <f>-IFERROR('4. NPV'!#REF!/'4. NPV'!IQS$8,0)</f>
        <v>0</v>
      </c>
      <c r="IQS54" s="5">
        <f>-IFERROR('4. NPV'!#REF!/'4. NPV'!IQT$8,0)</f>
        <v>0</v>
      </c>
      <c r="IQT54" s="5">
        <f>-IFERROR('4. NPV'!#REF!/'4. NPV'!IQU$8,0)</f>
        <v>0</v>
      </c>
      <c r="IQU54" s="5">
        <f>-IFERROR('4. NPV'!#REF!/'4. NPV'!IQV$8,0)</f>
        <v>0</v>
      </c>
      <c r="IQV54" s="5">
        <f>-IFERROR('4. NPV'!#REF!/'4. NPV'!IQW$8,0)</f>
        <v>0</v>
      </c>
      <c r="IQW54" s="5">
        <f>-IFERROR('4. NPV'!#REF!/'4. NPV'!IQX$8,0)</f>
        <v>0</v>
      </c>
      <c r="IQX54" s="5">
        <f>-IFERROR('4. NPV'!#REF!/'4. NPV'!IQY$8,0)</f>
        <v>0</v>
      </c>
      <c r="IQY54" s="5">
        <f>-IFERROR('4. NPV'!#REF!/'4. NPV'!IQZ$8,0)</f>
        <v>0</v>
      </c>
      <c r="IQZ54" s="5">
        <f>-IFERROR('4. NPV'!#REF!/'4. NPV'!IRA$8,0)</f>
        <v>0</v>
      </c>
      <c r="IRA54" s="5">
        <f>-IFERROR('4. NPV'!#REF!/'4. NPV'!IRB$8,0)</f>
        <v>0</v>
      </c>
      <c r="IRB54" s="5">
        <f>-IFERROR('4. NPV'!#REF!/'4. NPV'!IRC$8,0)</f>
        <v>0</v>
      </c>
      <c r="IRC54" s="5">
        <f>-IFERROR('4. NPV'!#REF!/'4. NPV'!IRD$8,0)</f>
        <v>0</v>
      </c>
      <c r="IRD54" s="5">
        <f>-IFERROR('4. NPV'!#REF!/'4. NPV'!IRE$8,0)</f>
        <v>0</v>
      </c>
      <c r="IRE54" s="5">
        <f>-IFERROR('4. NPV'!#REF!/'4. NPV'!IRF$8,0)</f>
        <v>0</v>
      </c>
      <c r="IRF54" s="5">
        <f>-IFERROR('4. NPV'!#REF!/'4. NPV'!IRG$8,0)</f>
        <v>0</v>
      </c>
      <c r="IRG54" s="5">
        <f>-IFERROR('4. NPV'!#REF!/'4. NPV'!IRH$8,0)</f>
        <v>0</v>
      </c>
      <c r="IRH54" s="5">
        <f>-IFERROR('4. NPV'!#REF!/'4. NPV'!IRI$8,0)</f>
        <v>0</v>
      </c>
      <c r="IRI54" s="5">
        <f>-IFERROR('4. NPV'!#REF!/'4. NPV'!IRJ$8,0)</f>
        <v>0</v>
      </c>
      <c r="IRJ54" s="5">
        <f>-IFERROR('4. NPV'!#REF!/'4. NPV'!IRK$8,0)</f>
        <v>0</v>
      </c>
      <c r="IRK54" s="5">
        <f>-IFERROR('4. NPV'!#REF!/'4. NPV'!IRL$8,0)</f>
        <v>0</v>
      </c>
      <c r="IRL54" s="5">
        <f>-IFERROR('4. NPV'!#REF!/'4. NPV'!IRM$8,0)</f>
        <v>0</v>
      </c>
      <c r="IRM54" s="5">
        <f>-IFERROR('4. NPV'!#REF!/'4. NPV'!IRN$8,0)</f>
        <v>0</v>
      </c>
      <c r="IRN54" s="5">
        <f>-IFERROR('4. NPV'!#REF!/'4. NPV'!IRO$8,0)</f>
        <v>0</v>
      </c>
      <c r="IRO54" s="5">
        <f>-IFERROR('4. NPV'!#REF!/'4. NPV'!IRP$8,0)</f>
        <v>0</v>
      </c>
      <c r="IRP54" s="5">
        <f>-IFERROR('4. NPV'!#REF!/'4. NPV'!IRQ$8,0)</f>
        <v>0</v>
      </c>
      <c r="IRQ54" s="5">
        <f>-IFERROR('4. NPV'!#REF!/'4. NPV'!IRR$8,0)</f>
        <v>0</v>
      </c>
      <c r="IRR54" s="5">
        <f>-IFERROR('4. NPV'!#REF!/'4. NPV'!IRS$8,0)</f>
        <v>0</v>
      </c>
      <c r="IRS54" s="5">
        <f>-IFERROR('4. NPV'!#REF!/'4. NPV'!IRT$8,0)</f>
        <v>0</v>
      </c>
      <c r="IRT54" s="5">
        <f>-IFERROR('4. NPV'!#REF!/'4. NPV'!IRU$8,0)</f>
        <v>0</v>
      </c>
      <c r="IRU54" s="5">
        <f>-IFERROR('4. NPV'!#REF!/'4. NPV'!IRV$8,0)</f>
        <v>0</v>
      </c>
      <c r="IRV54" s="5">
        <f>-IFERROR('4. NPV'!#REF!/'4. NPV'!IRW$8,0)</f>
        <v>0</v>
      </c>
      <c r="IRW54" s="5">
        <f>-IFERROR('4. NPV'!#REF!/'4. NPV'!IRX$8,0)</f>
        <v>0</v>
      </c>
      <c r="IRX54" s="5">
        <f>-IFERROR('4. NPV'!#REF!/'4. NPV'!IRY$8,0)</f>
        <v>0</v>
      </c>
      <c r="IRY54" s="5">
        <f>-IFERROR('4. NPV'!#REF!/'4. NPV'!IRZ$8,0)</f>
        <v>0</v>
      </c>
      <c r="IRZ54" s="5">
        <f>-IFERROR('4. NPV'!#REF!/'4. NPV'!ISA$8,0)</f>
        <v>0</v>
      </c>
      <c r="ISA54" s="5">
        <f>-IFERROR('4. NPV'!#REF!/'4. NPV'!ISB$8,0)</f>
        <v>0</v>
      </c>
      <c r="ISB54" s="5">
        <f>-IFERROR('4. NPV'!#REF!/'4. NPV'!ISC$8,0)</f>
        <v>0</v>
      </c>
      <c r="ISC54" s="5">
        <f>-IFERROR('4. NPV'!#REF!/'4. NPV'!ISD$8,0)</f>
        <v>0</v>
      </c>
      <c r="ISD54" s="5">
        <f>-IFERROR('4. NPV'!#REF!/'4. NPV'!ISE$8,0)</f>
        <v>0</v>
      </c>
      <c r="ISE54" s="5">
        <f>-IFERROR('4. NPV'!#REF!/'4. NPV'!ISF$8,0)</f>
        <v>0</v>
      </c>
      <c r="ISF54" s="5">
        <f>-IFERROR('4. NPV'!#REF!/'4. NPV'!ISG$8,0)</f>
        <v>0</v>
      </c>
      <c r="ISG54" s="5">
        <f>-IFERROR('4. NPV'!#REF!/'4. NPV'!ISH$8,0)</f>
        <v>0</v>
      </c>
      <c r="ISH54" s="5">
        <f>-IFERROR('4. NPV'!#REF!/'4. NPV'!ISI$8,0)</f>
        <v>0</v>
      </c>
      <c r="ISI54" s="5">
        <f>-IFERROR('4. NPV'!#REF!/'4. NPV'!ISJ$8,0)</f>
        <v>0</v>
      </c>
      <c r="ISJ54" s="5">
        <f>-IFERROR('4. NPV'!#REF!/'4. NPV'!ISK$8,0)</f>
        <v>0</v>
      </c>
      <c r="ISK54" s="5">
        <f>-IFERROR('4. NPV'!#REF!/'4. NPV'!ISL$8,0)</f>
        <v>0</v>
      </c>
      <c r="ISL54" s="5">
        <f>-IFERROR('4. NPV'!#REF!/'4. NPV'!ISM$8,0)</f>
        <v>0</v>
      </c>
      <c r="ISM54" s="5">
        <f>-IFERROR('4. NPV'!#REF!/'4. NPV'!ISN$8,0)</f>
        <v>0</v>
      </c>
      <c r="ISN54" s="5">
        <f>-IFERROR('4. NPV'!#REF!/'4. NPV'!ISO$8,0)</f>
        <v>0</v>
      </c>
      <c r="ISO54" s="5">
        <f>-IFERROR('4. NPV'!#REF!/'4. NPV'!ISP$8,0)</f>
        <v>0</v>
      </c>
      <c r="ISP54" s="5">
        <f>-IFERROR('4. NPV'!#REF!/'4. NPV'!ISQ$8,0)</f>
        <v>0</v>
      </c>
      <c r="ISQ54" s="5">
        <f>-IFERROR('4. NPV'!#REF!/'4. NPV'!ISR$8,0)</f>
        <v>0</v>
      </c>
      <c r="ISR54" s="5">
        <f>-IFERROR('4. NPV'!#REF!/'4. NPV'!ISS$8,0)</f>
        <v>0</v>
      </c>
      <c r="ISS54" s="5">
        <f>-IFERROR('4. NPV'!#REF!/'4. NPV'!IST$8,0)</f>
        <v>0</v>
      </c>
      <c r="IST54" s="5">
        <f>-IFERROR('4. NPV'!#REF!/'4. NPV'!ISU$8,0)</f>
        <v>0</v>
      </c>
      <c r="ISU54" s="5">
        <f>-IFERROR('4. NPV'!#REF!/'4. NPV'!ISV$8,0)</f>
        <v>0</v>
      </c>
      <c r="ISV54" s="5">
        <f>-IFERROR('4. NPV'!#REF!/'4. NPV'!ISW$8,0)</f>
        <v>0</v>
      </c>
      <c r="ISW54" s="5">
        <f>-IFERROR('4. NPV'!#REF!/'4. NPV'!ISX$8,0)</f>
        <v>0</v>
      </c>
      <c r="ISX54" s="5">
        <f>-IFERROR('4. NPV'!#REF!/'4. NPV'!ISY$8,0)</f>
        <v>0</v>
      </c>
      <c r="ISY54" s="5">
        <f>-IFERROR('4. NPV'!#REF!/'4. NPV'!ISZ$8,0)</f>
        <v>0</v>
      </c>
      <c r="ISZ54" s="5">
        <f>-IFERROR('4. NPV'!#REF!/'4. NPV'!ITA$8,0)</f>
        <v>0</v>
      </c>
      <c r="ITA54" s="5">
        <f>-IFERROR('4. NPV'!#REF!/'4. NPV'!ITB$8,0)</f>
        <v>0</v>
      </c>
      <c r="ITB54" s="5">
        <f>-IFERROR('4. NPV'!#REF!/'4. NPV'!ITC$8,0)</f>
        <v>0</v>
      </c>
      <c r="ITC54" s="5">
        <f>-IFERROR('4. NPV'!#REF!/'4. NPV'!ITD$8,0)</f>
        <v>0</v>
      </c>
      <c r="ITD54" s="5">
        <f>-IFERROR('4. NPV'!#REF!/'4. NPV'!ITE$8,0)</f>
        <v>0</v>
      </c>
      <c r="ITE54" s="5">
        <f>-IFERROR('4. NPV'!#REF!/'4. NPV'!ITF$8,0)</f>
        <v>0</v>
      </c>
      <c r="ITF54" s="5">
        <f>-IFERROR('4. NPV'!#REF!/'4. NPV'!ITG$8,0)</f>
        <v>0</v>
      </c>
      <c r="ITG54" s="5">
        <f>-IFERROR('4. NPV'!#REF!/'4. NPV'!ITH$8,0)</f>
        <v>0</v>
      </c>
      <c r="ITH54" s="5">
        <f>-IFERROR('4. NPV'!#REF!/'4. NPV'!ITI$8,0)</f>
        <v>0</v>
      </c>
      <c r="ITI54" s="5">
        <f>-IFERROR('4. NPV'!#REF!/'4. NPV'!ITJ$8,0)</f>
        <v>0</v>
      </c>
      <c r="ITJ54" s="5">
        <f>-IFERROR('4. NPV'!#REF!/'4. NPV'!ITK$8,0)</f>
        <v>0</v>
      </c>
      <c r="ITK54" s="5">
        <f>-IFERROR('4. NPV'!#REF!/'4. NPV'!ITL$8,0)</f>
        <v>0</v>
      </c>
      <c r="ITL54" s="5">
        <f>-IFERROR('4. NPV'!#REF!/'4. NPV'!ITM$8,0)</f>
        <v>0</v>
      </c>
      <c r="ITM54" s="5">
        <f>-IFERROR('4. NPV'!#REF!/'4. NPV'!ITN$8,0)</f>
        <v>0</v>
      </c>
      <c r="ITN54" s="5">
        <f>-IFERROR('4. NPV'!#REF!/'4. NPV'!ITO$8,0)</f>
        <v>0</v>
      </c>
      <c r="ITO54" s="5">
        <f>-IFERROR('4. NPV'!#REF!/'4. NPV'!ITP$8,0)</f>
        <v>0</v>
      </c>
      <c r="ITP54" s="5">
        <f>-IFERROR('4. NPV'!#REF!/'4. NPV'!ITQ$8,0)</f>
        <v>0</v>
      </c>
      <c r="ITQ54" s="5">
        <f>-IFERROR('4. NPV'!#REF!/'4. NPV'!ITR$8,0)</f>
        <v>0</v>
      </c>
      <c r="ITR54" s="5">
        <f>-IFERROR('4. NPV'!#REF!/'4. NPV'!ITS$8,0)</f>
        <v>0</v>
      </c>
      <c r="ITS54" s="5">
        <f>-IFERROR('4. NPV'!#REF!/'4. NPV'!ITT$8,0)</f>
        <v>0</v>
      </c>
      <c r="ITT54" s="5">
        <f>-IFERROR('4. NPV'!#REF!/'4. NPV'!ITU$8,0)</f>
        <v>0</v>
      </c>
      <c r="ITU54" s="5">
        <f>-IFERROR('4. NPV'!#REF!/'4. NPV'!ITV$8,0)</f>
        <v>0</v>
      </c>
      <c r="ITV54" s="5">
        <f>-IFERROR('4. NPV'!#REF!/'4. NPV'!ITW$8,0)</f>
        <v>0</v>
      </c>
      <c r="ITW54" s="5">
        <f>-IFERROR('4. NPV'!#REF!/'4. NPV'!ITX$8,0)</f>
        <v>0</v>
      </c>
      <c r="ITX54" s="5">
        <f>-IFERROR('4. NPV'!#REF!/'4. NPV'!ITY$8,0)</f>
        <v>0</v>
      </c>
      <c r="ITY54" s="5">
        <f>-IFERROR('4. NPV'!#REF!/'4. NPV'!ITZ$8,0)</f>
        <v>0</v>
      </c>
      <c r="ITZ54" s="5">
        <f>-IFERROR('4. NPV'!#REF!/'4. NPV'!IUA$8,0)</f>
        <v>0</v>
      </c>
      <c r="IUA54" s="5">
        <f>-IFERROR('4. NPV'!#REF!/'4. NPV'!IUB$8,0)</f>
        <v>0</v>
      </c>
      <c r="IUB54" s="5">
        <f>-IFERROR('4. NPV'!#REF!/'4. NPV'!IUC$8,0)</f>
        <v>0</v>
      </c>
      <c r="IUC54" s="5">
        <f>-IFERROR('4. NPV'!#REF!/'4. NPV'!IUD$8,0)</f>
        <v>0</v>
      </c>
      <c r="IUD54" s="5">
        <f>-IFERROR('4. NPV'!#REF!/'4. NPV'!IUE$8,0)</f>
        <v>0</v>
      </c>
      <c r="IUE54" s="5">
        <f>-IFERROR('4. NPV'!#REF!/'4. NPV'!IUF$8,0)</f>
        <v>0</v>
      </c>
      <c r="IUF54" s="5">
        <f>-IFERROR('4. NPV'!#REF!/'4. NPV'!IUG$8,0)</f>
        <v>0</v>
      </c>
      <c r="IUG54" s="5">
        <f>-IFERROR('4. NPV'!#REF!/'4. NPV'!IUH$8,0)</f>
        <v>0</v>
      </c>
      <c r="IUH54" s="5">
        <f>-IFERROR('4. NPV'!#REF!/'4. NPV'!IUI$8,0)</f>
        <v>0</v>
      </c>
      <c r="IUI54" s="5">
        <f>-IFERROR('4. NPV'!#REF!/'4. NPV'!IUJ$8,0)</f>
        <v>0</v>
      </c>
      <c r="IUJ54" s="5">
        <f>-IFERROR('4. NPV'!#REF!/'4. NPV'!IUK$8,0)</f>
        <v>0</v>
      </c>
      <c r="IUK54" s="5">
        <f>-IFERROR('4. NPV'!#REF!/'4. NPV'!IUL$8,0)</f>
        <v>0</v>
      </c>
      <c r="IUL54" s="5">
        <f>-IFERROR('4. NPV'!#REF!/'4. NPV'!IUM$8,0)</f>
        <v>0</v>
      </c>
      <c r="IUM54" s="5">
        <f>-IFERROR('4. NPV'!#REF!/'4. NPV'!IUN$8,0)</f>
        <v>0</v>
      </c>
      <c r="IUN54" s="5">
        <f>-IFERROR('4. NPV'!#REF!/'4. NPV'!IUO$8,0)</f>
        <v>0</v>
      </c>
      <c r="IUO54" s="5">
        <f>-IFERROR('4. NPV'!#REF!/'4. NPV'!IUP$8,0)</f>
        <v>0</v>
      </c>
      <c r="IUP54" s="5">
        <f>-IFERROR('4. NPV'!#REF!/'4. NPV'!IUQ$8,0)</f>
        <v>0</v>
      </c>
      <c r="IUQ54" s="5">
        <f>-IFERROR('4. NPV'!#REF!/'4. NPV'!IUR$8,0)</f>
        <v>0</v>
      </c>
      <c r="IUR54" s="5">
        <f>-IFERROR('4. NPV'!#REF!/'4. NPV'!IUS$8,0)</f>
        <v>0</v>
      </c>
      <c r="IUS54" s="5">
        <f>-IFERROR('4. NPV'!#REF!/'4. NPV'!IUT$8,0)</f>
        <v>0</v>
      </c>
      <c r="IUT54" s="5">
        <f>-IFERROR('4. NPV'!#REF!/'4. NPV'!IUU$8,0)</f>
        <v>0</v>
      </c>
      <c r="IUU54" s="5">
        <f>-IFERROR('4. NPV'!#REF!/'4. NPV'!IUV$8,0)</f>
        <v>0</v>
      </c>
      <c r="IUV54" s="5">
        <f>-IFERROR('4. NPV'!#REF!/'4. NPV'!IUW$8,0)</f>
        <v>0</v>
      </c>
      <c r="IUW54" s="5">
        <f>-IFERROR('4. NPV'!#REF!/'4. NPV'!IUX$8,0)</f>
        <v>0</v>
      </c>
      <c r="IUX54" s="5">
        <f>-IFERROR('4. NPV'!#REF!/'4. NPV'!IUY$8,0)</f>
        <v>0</v>
      </c>
      <c r="IUY54" s="5">
        <f>-IFERROR('4. NPV'!#REF!/'4. NPV'!IUZ$8,0)</f>
        <v>0</v>
      </c>
      <c r="IUZ54" s="5">
        <f>-IFERROR('4. NPV'!#REF!/'4. NPV'!IVA$8,0)</f>
        <v>0</v>
      </c>
      <c r="IVA54" s="5">
        <f>-IFERROR('4. NPV'!#REF!/'4. NPV'!IVB$8,0)</f>
        <v>0</v>
      </c>
      <c r="IVB54" s="5">
        <f>-IFERROR('4. NPV'!#REF!/'4. NPV'!IVC$8,0)</f>
        <v>0</v>
      </c>
      <c r="IVC54" s="5">
        <f>-IFERROR('4. NPV'!#REF!/'4. NPV'!IVD$8,0)</f>
        <v>0</v>
      </c>
      <c r="IVD54" s="5">
        <f>-IFERROR('4. NPV'!#REF!/'4. NPV'!IVE$8,0)</f>
        <v>0</v>
      </c>
      <c r="IVE54" s="5">
        <f>-IFERROR('4. NPV'!#REF!/'4. NPV'!IVF$8,0)</f>
        <v>0</v>
      </c>
      <c r="IVF54" s="5">
        <f>-IFERROR('4. NPV'!#REF!/'4. NPV'!IVG$8,0)</f>
        <v>0</v>
      </c>
      <c r="IVG54" s="5">
        <f>-IFERROR('4. NPV'!#REF!/'4. NPV'!IVH$8,0)</f>
        <v>0</v>
      </c>
      <c r="IVH54" s="5">
        <f>-IFERROR('4. NPV'!#REF!/'4. NPV'!IVI$8,0)</f>
        <v>0</v>
      </c>
      <c r="IVI54" s="5">
        <f>-IFERROR('4. NPV'!#REF!/'4. NPV'!IVJ$8,0)</f>
        <v>0</v>
      </c>
      <c r="IVJ54" s="5">
        <f>-IFERROR('4. NPV'!#REF!/'4. NPV'!IVK$8,0)</f>
        <v>0</v>
      </c>
      <c r="IVK54" s="5">
        <f>-IFERROR('4. NPV'!#REF!/'4. NPV'!IVL$8,0)</f>
        <v>0</v>
      </c>
      <c r="IVL54" s="5">
        <f>-IFERROR('4. NPV'!#REF!/'4. NPV'!IVM$8,0)</f>
        <v>0</v>
      </c>
      <c r="IVM54" s="5">
        <f>-IFERROR('4. NPV'!#REF!/'4. NPV'!IVN$8,0)</f>
        <v>0</v>
      </c>
      <c r="IVN54" s="5">
        <f>-IFERROR('4. NPV'!#REF!/'4. NPV'!IVO$8,0)</f>
        <v>0</v>
      </c>
      <c r="IVO54" s="5">
        <f>-IFERROR('4. NPV'!#REF!/'4. NPV'!IVP$8,0)</f>
        <v>0</v>
      </c>
      <c r="IVP54" s="5">
        <f>-IFERROR('4. NPV'!#REF!/'4. NPV'!IVQ$8,0)</f>
        <v>0</v>
      </c>
      <c r="IVQ54" s="5">
        <f>-IFERROR('4. NPV'!#REF!/'4. NPV'!IVR$8,0)</f>
        <v>0</v>
      </c>
      <c r="IVR54" s="5">
        <f>-IFERROR('4. NPV'!#REF!/'4. NPV'!IVS$8,0)</f>
        <v>0</v>
      </c>
      <c r="IVS54" s="5">
        <f>-IFERROR('4. NPV'!#REF!/'4. NPV'!IVT$8,0)</f>
        <v>0</v>
      </c>
      <c r="IVT54" s="5">
        <f>-IFERROR('4. NPV'!#REF!/'4. NPV'!IVU$8,0)</f>
        <v>0</v>
      </c>
      <c r="IVU54" s="5">
        <f>-IFERROR('4. NPV'!#REF!/'4. NPV'!IVV$8,0)</f>
        <v>0</v>
      </c>
      <c r="IVV54" s="5">
        <f>-IFERROR('4. NPV'!#REF!/'4. NPV'!IVW$8,0)</f>
        <v>0</v>
      </c>
      <c r="IVW54" s="5">
        <f>-IFERROR('4. NPV'!#REF!/'4. NPV'!IVX$8,0)</f>
        <v>0</v>
      </c>
      <c r="IVX54" s="5">
        <f>-IFERROR('4. NPV'!#REF!/'4. NPV'!IVY$8,0)</f>
        <v>0</v>
      </c>
      <c r="IVY54" s="5">
        <f>-IFERROR('4. NPV'!#REF!/'4. NPV'!IVZ$8,0)</f>
        <v>0</v>
      </c>
      <c r="IVZ54" s="5">
        <f>-IFERROR('4. NPV'!#REF!/'4. NPV'!IWA$8,0)</f>
        <v>0</v>
      </c>
      <c r="IWA54" s="5">
        <f>-IFERROR('4. NPV'!#REF!/'4. NPV'!IWB$8,0)</f>
        <v>0</v>
      </c>
      <c r="IWB54" s="5">
        <f>-IFERROR('4. NPV'!#REF!/'4. NPV'!IWC$8,0)</f>
        <v>0</v>
      </c>
      <c r="IWC54" s="5">
        <f>-IFERROR('4. NPV'!#REF!/'4. NPV'!IWD$8,0)</f>
        <v>0</v>
      </c>
      <c r="IWD54" s="5">
        <f>-IFERROR('4. NPV'!#REF!/'4. NPV'!IWE$8,0)</f>
        <v>0</v>
      </c>
      <c r="IWE54" s="5">
        <f>-IFERROR('4. NPV'!#REF!/'4. NPV'!IWF$8,0)</f>
        <v>0</v>
      </c>
      <c r="IWF54" s="5">
        <f>-IFERROR('4. NPV'!#REF!/'4. NPV'!IWG$8,0)</f>
        <v>0</v>
      </c>
      <c r="IWG54" s="5">
        <f>-IFERROR('4. NPV'!#REF!/'4. NPV'!IWH$8,0)</f>
        <v>0</v>
      </c>
      <c r="IWH54" s="5">
        <f>-IFERROR('4. NPV'!#REF!/'4. NPV'!IWI$8,0)</f>
        <v>0</v>
      </c>
      <c r="IWI54" s="5">
        <f>-IFERROR('4. NPV'!#REF!/'4. NPV'!IWJ$8,0)</f>
        <v>0</v>
      </c>
      <c r="IWJ54" s="5">
        <f>-IFERROR('4. NPV'!#REF!/'4. NPV'!IWK$8,0)</f>
        <v>0</v>
      </c>
      <c r="IWK54" s="5">
        <f>-IFERROR('4. NPV'!#REF!/'4. NPV'!IWL$8,0)</f>
        <v>0</v>
      </c>
      <c r="IWL54" s="5">
        <f>-IFERROR('4. NPV'!#REF!/'4. NPV'!IWM$8,0)</f>
        <v>0</v>
      </c>
      <c r="IWM54" s="5">
        <f>-IFERROR('4. NPV'!#REF!/'4. NPV'!IWN$8,0)</f>
        <v>0</v>
      </c>
      <c r="IWN54" s="5">
        <f>-IFERROR('4. NPV'!#REF!/'4. NPV'!IWO$8,0)</f>
        <v>0</v>
      </c>
      <c r="IWO54" s="5">
        <f>-IFERROR('4. NPV'!#REF!/'4. NPV'!IWP$8,0)</f>
        <v>0</v>
      </c>
      <c r="IWP54" s="5">
        <f>-IFERROR('4. NPV'!#REF!/'4. NPV'!IWQ$8,0)</f>
        <v>0</v>
      </c>
      <c r="IWQ54" s="5">
        <f>-IFERROR('4. NPV'!#REF!/'4. NPV'!IWR$8,0)</f>
        <v>0</v>
      </c>
      <c r="IWR54" s="5">
        <f>-IFERROR('4. NPV'!#REF!/'4. NPV'!IWS$8,0)</f>
        <v>0</v>
      </c>
      <c r="IWS54" s="5">
        <f>-IFERROR('4. NPV'!#REF!/'4. NPV'!IWT$8,0)</f>
        <v>0</v>
      </c>
      <c r="IWT54" s="5">
        <f>-IFERROR('4. NPV'!#REF!/'4. NPV'!IWU$8,0)</f>
        <v>0</v>
      </c>
      <c r="IWU54" s="5">
        <f>-IFERROR('4. NPV'!#REF!/'4. NPV'!IWV$8,0)</f>
        <v>0</v>
      </c>
      <c r="IWV54" s="5">
        <f>-IFERROR('4. NPV'!#REF!/'4. NPV'!IWW$8,0)</f>
        <v>0</v>
      </c>
      <c r="IWW54" s="5">
        <f>-IFERROR('4. NPV'!#REF!/'4. NPV'!IWX$8,0)</f>
        <v>0</v>
      </c>
      <c r="IWX54" s="5">
        <f>-IFERROR('4. NPV'!#REF!/'4. NPV'!IWY$8,0)</f>
        <v>0</v>
      </c>
      <c r="IWY54" s="5">
        <f>-IFERROR('4. NPV'!#REF!/'4. NPV'!IWZ$8,0)</f>
        <v>0</v>
      </c>
      <c r="IWZ54" s="5">
        <f>-IFERROR('4. NPV'!#REF!/'4. NPV'!IXA$8,0)</f>
        <v>0</v>
      </c>
      <c r="IXA54" s="5">
        <f>-IFERROR('4. NPV'!#REF!/'4. NPV'!IXB$8,0)</f>
        <v>0</v>
      </c>
      <c r="IXB54" s="5">
        <f>-IFERROR('4. NPV'!#REF!/'4. NPV'!IXC$8,0)</f>
        <v>0</v>
      </c>
      <c r="IXC54" s="5">
        <f>-IFERROR('4. NPV'!#REF!/'4. NPV'!IXD$8,0)</f>
        <v>0</v>
      </c>
      <c r="IXD54" s="5">
        <f>-IFERROR('4. NPV'!#REF!/'4. NPV'!IXE$8,0)</f>
        <v>0</v>
      </c>
      <c r="IXE54" s="5">
        <f>-IFERROR('4. NPV'!#REF!/'4. NPV'!IXF$8,0)</f>
        <v>0</v>
      </c>
      <c r="IXF54" s="5">
        <f>-IFERROR('4. NPV'!#REF!/'4. NPV'!IXG$8,0)</f>
        <v>0</v>
      </c>
      <c r="IXG54" s="5">
        <f>-IFERROR('4. NPV'!#REF!/'4. NPV'!IXH$8,0)</f>
        <v>0</v>
      </c>
      <c r="IXH54" s="5">
        <f>-IFERROR('4. NPV'!#REF!/'4. NPV'!IXI$8,0)</f>
        <v>0</v>
      </c>
      <c r="IXI54" s="5">
        <f>-IFERROR('4. NPV'!#REF!/'4. NPV'!IXJ$8,0)</f>
        <v>0</v>
      </c>
      <c r="IXJ54" s="5">
        <f>-IFERROR('4. NPV'!#REF!/'4. NPV'!IXK$8,0)</f>
        <v>0</v>
      </c>
      <c r="IXK54" s="5">
        <f>-IFERROR('4. NPV'!#REF!/'4. NPV'!IXL$8,0)</f>
        <v>0</v>
      </c>
      <c r="IXL54" s="5">
        <f>-IFERROR('4. NPV'!#REF!/'4. NPV'!IXM$8,0)</f>
        <v>0</v>
      </c>
      <c r="IXM54" s="5">
        <f>-IFERROR('4. NPV'!#REF!/'4. NPV'!IXN$8,0)</f>
        <v>0</v>
      </c>
      <c r="IXN54" s="5">
        <f>-IFERROR('4. NPV'!#REF!/'4. NPV'!IXO$8,0)</f>
        <v>0</v>
      </c>
      <c r="IXO54" s="5">
        <f>-IFERROR('4. NPV'!#REF!/'4. NPV'!IXP$8,0)</f>
        <v>0</v>
      </c>
      <c r="IXP54" s="5">
        <f>-IFERROR('4. NPV'!#REF!/'4. NPV'!IXQ$8,0)</f>
        <v>0</v>
      </c>
      <c r="IXQ54" s="5">
        <f>-IFERROR('4. NPV'!#REF!/'4. NPV'!IXR$8,0)</f>
        <v>0</v>
      </c>
      <c r="IXR54" s="5">
        <f>-IFERROR('4. NPV'!#REF!/'4. NPV'!IXS$8,0)</f>
        <v>0</v>
      </c>
      <c r="IXS54" s="5">
        <f>-IFERROR('4. NPV'!#REF!/'4. NPV'!IXT$8,0)</f>
        <v>0</v>
      </c>
      <c r="IXT54" s="5">
        <f>-IFERROR('4. NPV'!#REF!/'4. NPV'!IXU$8,0)</f>
        <v>0</v>
      </c>
      <c r="IXU54" s="5">
        <f>-IFERROR('4. NPV'!#REF!/'4. NPV'!IXV$8,0)</f>
        <v>0</v>
      </c>
      <c r="IXV54" s="5">
        <f>-IFERROR('4. NPV'!#REF!/'4. NPV'!IXW$8,0)</f>
        <v>0</v>
      </c>
      <c r="IXW54" s="5">
        <f>-IFERROR('4. NPV'!#REF!/'4. NPV'!IXX$8,0)</f>
        <v>0</v>
      </c>
      <c r="IXX54" s="5">
        <f>-IFERROR('4. NPV'!#REF!/'4. NPV'!IXY$8,0)</f>
        <v>0</v>
      </c>
      <c r="IXY54" s="5">
        <f>-IFERROR('4. NPV'!#REF!/'4. NPV'!IXZ$8,0)</f>
        <v>0</v>
      </c>
      <c r="IXZ54" s="5">
        <f>-IFERROR('4. NPV'!#REF!/'4. NPV'!IYA$8,0)</f>
        <v>0</v>
      </c>
      <c r="IYA54" s="5">
        <f>-IFERROR('4. NPV'!#REF!/'4. NPV'!IYB$8,0)</f>
        <v>0</v>
      </c>
      <c r="IYB54" s="5">
        <f>-IFERROR('4. NPV'!#REF!/'4. NPV'!IYC$8,0)</f>
        <v>0</v>
      </c>
      <c r="IYC54" s="5">
        <f>-IFERROR('4. NPV'!#REF!/'4. NPV'!IYD$8,0)</f>
        <v>0</v>
      </c>
      <c r="IYD54" s="5">
        <f>-IFERROR('4. NPV'!#REF!/'4. NPV'!IYE$8,0)</f>
        <v>0</v>
      </c>
      <c r="IYE54" s="5">
        <f>-IFERROR('4. NPV'!#REF!/'4. NPV'!IYF$8,0)</f>
        <v>0</v>
      </c>
      <c r="IYF54" s="5">
        <f>-IFERROR('4. NPV'!#REF!/'4. NPV'!IYG$8,0)</f>
        <v>0</v>
      </c>
      <c r="IYG54" s="5">
        <f>-IFERROR('4. NPV'!#REF!/'4. NPV'!IYH$8,0)</f>
        <v>0</v>
      </c>
      <c r="IYH54" s="5">
        <f>-IFERROR('4. NPV'!#REF!/'4. NPV'!IYI$8,0)</f>
        <v>0</v>
      </c>
      <c r="IYI54" s="5">
        <f>-IFERROR('4. NPV'!#REF!/'4. NPV'!IYJ$8,0)</f>
        <v>0</v>
      </c>
      <c r="IYJ54" s="5">
        <f>-IFERROR('4. NPV'!#REF!/'4. NPV'!IYK$8,0)</f>
        <v>0</v>
      </c>
      <c r="IYK54" s="5">
        <f>-IFERROR('4. NPV'!#REF!/'4. NPV'!IYL$8,0)</f>
        <v>0</v>
      </c>
      <c r="IYL54" s="5">
        <f>-IFERROR('4. NPV'!#REF!/'4. NPV'!IYM$8,0)</f>
        <v>0</v>
      </c>
      <c r="IYM54" s="5">
        <f>-IFERROR('4. NPV'!#REF!/'4. NPV'!IYN$8,0)</f>
        <v>0</v>
      </c>
      <c r="IYN54" s="5">
        <f>-IFERROR('4. NPV'!#REF!/'4. NPV'!IYO$8,0)</f>
        <v>0</v>
      </c>
      <c r="IYO54" s="5">
        <f>-IFERROR('4. NPV'!#REF!/'4. NPV'!IYP$8,0)</f>
        <v>0</v>
      </c>
      <c r="IYP54" s="5">
        <f>-IFERROR('4. NPV'!#REF!/'4. NPV'!IYQ$8,0)</f>
        <v>0</v>
      </c>
      <c r="IYQ54" s="5">
        <f>-IFERROR('4. NPV'!#REF!/'4. NPV'!IYR$8,0)</f>
        <v>0</v>
      </c>
      <c r="IYR54" s="5">
        <f>-IFERROR('4. NPV'!#REF!/'4. NPV'!IYS$8,0)</f>
        <v>0</v>
      </c>
      <c r="IYS54" s="5">
        <f>-IFERROR('4. NPV'!#REF!/'4. NPV'!IYT$8,0)</f>
        <v>0</v>
      </c>
      <c r="IYT54" s="5">
        <f>-IFERROR('4. NPV'!#REF!/'4. NPV'!IYU$8,0)</f>
        <v>0</v>
      </c>
      <c r="IYU54" s="5">
        <f>-IFERROR('4. NPV'!#REF!/'4. NPV'!IYV$8,0)</f>
        <v>0</v>
      </c>
      <c r="IYV54" s="5">
        <f>-IFERROR('4. NPV'!#REF!/'4. NPV'!IYW$8,0)</f>
        <v>0</v>
      </c>
      <c r="IYW54" s="5">
        <f>-IFERROR('4. NPV'!#REF!/'4. NPV'!IYX$8,0)</f>
        <v>0</v>
      </c>
      <c r="IYX54" s="5">
        <f>-IFERROR('4. NPV'!#REF!/'4. NPV'!IYY$8,0)</f>
        <v>0</v>
      </c>
      <c r="IYY54" s="5">
        <f>-IFERROR('4. NPV'!#REF!/'4. NPV'!IYZ$8,0)</f>
        <v>0</v>
      </c>
      <c r="IYZ54" s="5">
        <f>-IFERROR('4. NPV'!#REF!/'4. NPV'!IZA$8,0)</f>
        <v>0</v>
      </c>
      <c r="IZA54" s="5">
        <f>-IFERROR('4. NPV'!#REF!/'4. NPV'!IZB$8,0)</f>
        <v>0</v>
      </c>
      <c r="IZB54" s="5">
        <f>-IFERROR('4. NPV'!#REF!/'4. NPV'!IZC$8,0)</f>
        <v>0</v>
      </c>
      <c r="IZC54" s="5">
        <f>-IFERROR('4. NPV'!#REF!/'4. NPV'!IZD$8,0)</f>
        <v>0</v>
      </c>
      <c r="IZD54" s="5">
        <f>-IFERROR('4. NPV'!#REF!/'4. NPV'!IZE$8,0)</f>
        <v>0</v>
      </c>
      <c r="IZE54" s="5">
        <f>-IFERROR('4. NPV'!#REF!/'4. NPV'!IZF$8,0)</f>
        <v>0</v>
      </c>
      <c r="IZF54" s="5">
        <f>-IFERROR('4. NPV'!#REF!/'4. NPV'!IZG$8,0)</f>
        <v>0</v>
      </c>
      <c r="IZG54" s="5">
        <f>-IFERROR('4. NPV'!#REF!/'4. NPV'!IZH$8,0)</f>
        <v>0</v>
      </c>
      <c r="IZH54" s="5">
        <f>-IFERROR('4. NPV'!#REF!/'4. NPV'!IZI$8,0)</f>
        <v>0</v>
      </c>
      <c r="IZI54" s="5">
        <f>-IFERROR('4. NPV'!#REF!/'4. NPV'!IZJ$8,0)</f>
        <v>0</v>
      </c>
      <c r="IZJ54" s="5">
        <f>-IFERROR('4. NPV'!#REF!/'4. NPV'!IZK$8,0)</f>
        <v>0</v>
      </c>
      <c r="IZK54" s="5">
        <f>-IFERROR('4. NPV'!#REF!/'4. NPV'!IZL$8,0)</f>
        <v>0</v>
      </c>
      <c r="IZL54" s="5">
        <f>-IFERROR('4. NPV'!#REF!/'4. NPV'!IZM$8,0)</f>
        <v>0</v>
      </c>
      <c r="IZM54" s="5">
        <f>-IFERROR('4. NPV'!#REF!/'4. NPV'!IZN$8,0)</f>
        <v>0</v>
      </c>
      <c r="IZN54" s="5">
        <f>-IFERROR('4. NPV'!#REF!/'4. NPV'!IZO$8,0)</f>
        <v>0</v>
      </c>
      <c r="IZO54" s="5">
        <f>-IFERROR('4. NPV'!#REF!/'4. NPV'!IZP$8,0)</f>
        <v>0</v>
      </c>
      <c r="IZP54" s="5">
        <f>-IFERROR('4. NPV'!#REF!/'4. NPV'!IZQ$8,0)</f>
        <v>0</v>
      </c>
      <c r="IZQ54" s="5">
        <f>-IFERROR('4. NPV'!#REF!/'4. NPV'!IZR$8,0)</f>
        <v>0</v>
      </c>
      <c r="IZR54" s="5">
        <f>-IFERROR('4. NPV'!#REF!/'4. NPV'!IZS$8,0)</f>
        <v>0</v>
      </c>
      <c r="IZS54" s="5">
        <f>-IFERROR('4. NPV'!#REF!/'4. NPV'!IZT$8,0)</f>
        <v>0</v>
      </c>
      <c r="IZT54" s="5">
        <f>-IFERROR('4. NPV'!#REF!/'4. NPV'!IZU$8,0)</f>
        <v>0</v>
      </c>
      <c r="IZU54" s="5">
        <f>-IFERROR('4. NPV'!#REF!/'4. NPV'!IZV$8,0)</f>
        <v>0</v>
      </c>
      <c r="IZV54" s="5">
        <f>-IFERROR('4. NPV'!#REF!/'4. NPV'!IZW$8,0)</f>
        <v>0</v>
      </c>
      <c r="IZW54" s="5">
        <f>-IFERROR('4. NPV'!#REF!/'4. NPV'!IZX$8,0)</f>
        <v>0</v>
      </c>
      <c r="IZX54" s="5">
        <f>-IFERROR('4. NPV'!#REF!/'4. NPV'!IZY$8,0)</f>
        <v>0</v>
      </c>
      <c r="IZY54" s="5">
        <f>-IFERROR('4. NPV'!#REF!/'4. NPV'!IZZ$8,0)</f>
        <v>0</v>
      </c>
      <c r="IZZ54" s="5">
        <f>-IFERROR('4. NPV'!#REF!/'4. NPV'!JAA$8,0)</f>
        <v>0</v>
      </c>
      <c r="JAA54" s="5">
        <f>-IFERROR('4. NPV'!#REF!/'4. NPV'!JAB$8,0)</f>
        <v>0</v>
      </c>
      <c r="JAB54" s="5">
        <f>-IFERROR('4. NPV'!#REF!/'4. NPV'!JAC$8,0)</f>
        <v>0</v>
      </c>
      <c r="JAC54" s="5">
        <f>-IFERROR('4. NPV'!#REF!/'4. NPV'!JAD$8,0)</f>
        <v>0</v>
      </c>
      <c r="JAD54" s="5">
        <f>-IFERROR('4. NPV'!#REF!/'4. NPV'!JAE$8,0)</f>
        <v>0</v>
      </c>
      <c r="JAE54" s="5">
        <f>-IFERROR('4. NPV'!#REF!/'4. NPV'!JAF$8,0)</f>
        <v>0</v>
      </c>
      <c r="JAF54" s="5">
        <f>-IFERROR('4. NPV'!#REF!/'4. NPV'!JAG$8,0)</f>
        <v>0</v>
      </c>
      <c r="JAG54" s="5">
        <f>-IFERROR('4. NPV'!#REF!/'4. NPV'!JAH$8,0)</f>
        <v>0</v>
      </c>
      <c r="JAH54" s="5">
        <f>-IFERROR('4. NPV'!#REF!/'4. NPV'!JAI$8,0)</f>
        <v>0</v>
      </c>
      <c r="JAI54" s="5">
        <f>-IFERROR('4. NPV'!#REF!/'4. NPV'!JAJ$8,0)</f>
        <v>0</v>
      </c>
      <c r="JAJ54" s="5">
        <f>-IFERROR('4. NPV'!#REF!/'4. NPV'!JAK$8,0)</f>
        <v>0</v>
      </c>
      <c r="JAK54" s="5">
        <f>-IFERROR('4. NPV'!#REF!/'4. NPV'!JAL$8,0)</f>
        <v>0</v>
      </c>
      <c r="JAL54" s="5">
        <f>-IFERROR('4. NPV'!#REF!/'4. NPV'!JAM$8,0)</f>
        <v>0</v>
      </c>
      <c r="JAM54" s="5">
        <f>-IFERROR('4. NPV'!#REF!/'4. NPV'!JAN$8,0)</f>
        <v>0</v>
      </c>
      <c r="JAN54" s="5">
        <f>-IFERROR('4. NPV'!#REF!/'4. NPV'!JAO$8,0)</f>
        <v>0</v>
      </c>
      <c r="JAO54" s="5">
        <f>-IFERROR('4. NPV'!#REF!/'4. NPV'!JAP$8,0)</f>
        <v>0</v>
      </c>
      <c r="JAP54" s="5">
        <f>-IFERROR('4. NPV'!#REF!/'4. NPV'!JAQ$8,0)</f>
        <v>0</v>
      </c>
      <c r="JAQ54" s="5">
        <f>-IFERROR('4. NPV'!#REF!/'4. NPV'!JAR$8,0)</f>
        <v>0</v>
      </c>
      <c r="JAR54" s="5">
        <f>-IFERROR('4. NPV'!#REF!/'4. NPV'!JAS$8,0)</f>
        <v>0</v>
      </c>
      <c r="JAS54" s="5">
        <f>-IFERROR('4. NPV'!#REF!/'4. NPV'!JAT$8,0)</f>
        <v>0</v>
      </c>
      <c r="JAT54" s="5">
        <f>-IFERROR('4. NPV'!#REF!/'4. NPV'!JAU$8,0)</f>
        <v>0</v>
      </c>
      <c r="JAU54" s="5">
        <f>-IFERROR('4. NPV'!#REF!/'4. NPV'!JAV$8,0)</f>
        <v>0</v>
      </c>
      <c r="JAV54" s="5">
        <f>-IFERROR('4. NPV'!#REF!/'4. NPV'!JAW$8,0)</f>
        <v>0</v>
      </c>
      <c r="JAW54" s="5">
        <f>-IFERROR('4. NPV'!#REF!/'4. NPV'!JAX$8,0)</f>
        <v>0</v>
      </c>
      <c r="JAX54" s="5">
        <f>-IFERROR('4. NPV'!#REF!/'4. NPV'!JAY$8,0)</f>
        <v>0</v>
      </c>
      <c r="JAY54" s="5">
        <f>-IFERROR('4. NPV'!#REF!/'4. NPV'!JAZ$8,0)</f>
        <v>0</v>
      </c>
      <c r="JAZ54" s="5">
        <f>-IFERROR('4. NPV'!#REF!/'4. NPV'!JBA$8,0)</f>
        <v>0</v>
      </c>
      <c r="JBA54" s="5">
        <f>-IFERROR('4. NPV'!#REF!/'4. NPV'!JBB$8,0)</f>
        <v>0</v>
      </c>
      <c r="JBB54" s="5">
        <f>-IFERROR('4. NPV'!#REF!/'4. NPV'!JBC$8,0)</f>
        <v>0</v>
      </c>
      <c r="JBC54" s="5">
        <f>-IFERROR('4. NPV'!#REF!/'4. NPV'!JBD$8,0)</f>
        <v>0</v>
      </c>
      <c r="JBD54" s="5">
        <f>-IFERROR('4. NPV'!#REF!/'4. NPV'!JBE$8,0)</f>
        <v>0</v>
      </c>
      <c r="JBE54" s="5">
        <f>-IFERROR('4. NPV'!#REF!/'4. NPV'!JBF$8,0)</f>
        <v>0</v>
      </c>
      <c r="JBF54" s="5">
        <f>-IFERROR('4. NPV'!#REF!/'4. NPV'!JBG$8,0)</f>
        <v>0</v>
      </c>
      <c r="JBG54" s="5">
        <f>-IFERROR('4. NPV'!#REF!/'4. NPV'!JBH$8,0)</f>
        <v>0</v>
      </c>
      <c r="JBH54" s="5">
        <f>-IFERROR('4. NPV'!#REF!/'4. NPV'!JBI$8,0)</f>
        <v>0</v>
      </c>
      <c r="JBI54" s="5">
        <f>-IFERROR('4. NPV'!#REF!/'4. NPV'!JBJ$8,0)</f>
        <v>0</v>
      </c>
      <c r="JBJ54" s="5">
        <f>-IFERROR('4. NPV'!#REF!/'4. NPV'!JBK$8,0)</f>
        <v>0</v>
      </c>
      <c r="JBK54" s="5">
        <f>-IFERROR('4. NPV'!#REF!/'4. NPV'!JBL$8,0)</f>
        <v>0</v>
      </c>
      <c r="JBL54" s="5">
        <f>-IFERROR('4. NPV'!#REF!/'4. NPV'!JBM$8,0)</f>
        <v>0</v>
      </c>
      <c r="JBM54" s="5">
        <f>-IFERROR('4. NPV'!#REF!/'4. NPV'!JBN$8,0)</f>
        <v>0</v>
      </c>
      <c r="JBN54" s="5">
        <f>-IFERROR('4. NPV'!#REF!/'4. NPV'!JBO$8,0)</f>
        <v>0</v>
      </c>
      <c r="JBO54" s="5">
        <f>-IFERROR('4. NPV'!#REF!/'4. NPV'!JBP$8,0)</f>
        <v>0</v>
      </c>
      <c r="JBP54" s="5">
        <f>-IFERROR('4. NPV'!#REF!/'4. NPV'!JBQ$8,0)</f>
        <v>0</v>
      </c>
      <c r="JBQ54" s="5">
        <f>-IFERROR('4. NPV'!#REF!/'4. NPV'!JBR$8,0)</f>
        <v>0</v>
      </c>
      <c r="JBR54" s="5">
        <f>-IFERROR('4. NPV'!#REF!/'4. NPV'!JBS$8,0)</f>
        <v>0</v>
      </c>
      <c r="JBS54" s="5">
        <f>-IFERROR('4. NPV'!#REF!/'4. NPV'!JBT$8,0)</f>
        <v>0</v>
      </c>
      <c r="JBT54" s="5">
        <f>-IFERROR('4. NPV'!#REF!/'4. NPV'!JBU$8,0)</f>
        <v>0</v>
      </c>
      <c r="JBU54" s="5">
        <f>-IFERROR('4. NPV'!#REF!/'4. NPV'!JBV$8,0)</f>
        <v>0</v>
      </c>
      <c r="JBV54" s="5">
        <f>-IFERROR('4. NPV'!#REF!/'4. NPV'!JBW$8,0)</f>
        <v>0</v>
      </c>
      <c r="JBW54" s="5">
        <f>-IFERROR('4. NPV'!#REF!/'4. NPV'!JBX$8,0)</f>
        <v>0</v>
      </c>
      <c r="JBX54" s="5">
        <f>-IFERROR('4. NPV'!#REF!/'4. NPV'!JBY$8,0)</f>
        <v>0</v>
      </c>
      <c r="JBY54" s="5">
        <f>-IFERROR('4. NPV'!#REF!/'4. NPV'!JBZ$8,0)</f>
        <v>0</v>
      </c>
      <c r="JBZ54" s="5">
        <f>-IFERROR('4. NPV'!#REF!/'4. NPV'!JCA$8,0)</f>
        <v>0</v>
      </c>
      <c r="JCA54" s="5">
        <f>-IFERROR('4. NPV'!#REF!/'4. NPV'!JCB$8,0)</f>
        <v>0</v>
      </c>
      <c r="JCB54" s="5">
        <f>-IFERROR('4. NPV'!#REF!/'4. NPV'!JCC$8,0)</f>
        <v>0</v>
      </c>
      <c r="JCC54" s="5">
        <f>-IFERROR('4. NPV'!#REF!/'4. NPV'!JCD$8,0)</f>
        <v>0</v>
      </c>
      <c r="JCD54" s="5">
        <f>-IFERROR('4. NPV'!#REF!/'4. NPV'!JCE$8,0)</f>
        <v>0</v>
      </c>
      <c r="JCE54" s="5">
        <f>-IFERROR('4. NPV'!#REF!/'4. NPV'!JCF$8,0)</f>
        <v>0</v>
      </c>
      <c r="JCF54" s="5">
        <f>-IFERROR('4. NPV'!#REF!/'4. NPV'!JCG$8,0)</f>
        <v>0</v>
      </c>
      <c r="JCG54" s="5">
        <f>-IFERROR('4. NPV'!#REF!/'4. NPV'!JCH$8,0)</f>
        <v>0</v>
      </c>
      <c r="JCH54" s="5">
        <f>-IFERROR('4. NPV'!#REF!/'4. NPV'!JCI$8,0)</f>
        <v>0</v>
      </c>
      <c r="JCI54" s="5">
        <f>-IFERROR('4. NPV'!#REF!/'4. NPV'!JCJ$8,0)</f>
        <v>0</v>
      </c>
      <c r="JCJ54" s="5">
        <f>-IFERROR('4. NPV'!#REF!/'4. NPV'!JCK$8,0)</f>
        <v>0</v>
      </c>
      <c r="JCK54" s="5">
        <f>-IFERROR('4. NPV'!#REF!/'4. NPV'!JCL$8,0)</f>
        <v>0</v>
      </c>
      <c r="JCL54" s="5">
        <f>-IFERROR('4. NPV'!#REF!/'4. NPV'!JCM$8,0)</f>
        <v>0</v>
      </c>
      <c r="JCM54" s="5">
        <f>-IFERROR('4. NPV'!#REF!/'4. NPV'!JCN$8,0)</f>
        <v>0</v>
      </c>
      <c r="JCN54" s="5">
        <f>-IFERROR('4. NPV'!#REF!/'4. NPV'!JCO$8,0)</f>
        <v>0</v>
      </c>
      <c r="JCO54" s="5">
        <f>-IFERROR('4. NPV'!#REF!/'4. NPV'!JCP$8,0)</f>
        <v>0</v>
      </c>
      <c r="JCP54" s="5">
        <f>-IFERROR('4. NPV'!#REF!/'4. NPV'!JCQ$8,0)</f>
        <v>0</v>
      </c>
      <c r="JCQ54" s="5">
        <f>-IFERROR('4. NPV'!#REF!/'4. NPV'!JCR$8,0)</f>
        <v>0</v>
      </c>
      <c r="JCR54" s="5">
        <f>-IFERROR('4. NPV'!#REF!/'4. NPV'!JCS$8,0)</f>
        <v>0</v>
      </c>
      <c r="JCS54" s="5">
        <f>-IFERROR('4. NPV'!#REF!/'4. NPV'!JCT$8,0)</f>
        <v>0</v>
      </c>
      <c r="JCT54" s="5">
        <f>-IFERROR('4. NPV'!#REF!/'4. NPV'!JCU$8,0)</f>
        <v>0</v>
      </c>
      <c r="JCU54" s="5">
        <f>-IFERROR('4. NPV'!#REF!/'4. NPV'!JCV$8,0)</f>
        <v>0</v>
      </c>
      <c r="JCV54" s="5">
        <f>-IFERROR('4. NPV'!#REF!/'4. NPV'!JCW$8,0)</f>
        <v>0</v>
      </c>
      <c r="JCW54" s="5">
        <f>-IFERROR('4. NPV'!#REF!/'4. NPV'!JCX$8,0)</f>
        <v>0</v>
      </c>
      <c r="JCX54" s="5">
        <f>-IFERROR('4. NPV'!#REF!/'4. NPV'!JCY$8,0)</f>
        <v>0</v>
      </c>
      <c r="JCY54" s="5">
        <f>-IFERROR('4. NPV'!#REF!/'4. NPV'!JCZ$8,0)</f>
        <v>0</v>
      </c>
      <c r="JCZ54" s="5">
        <f>-IFERROR('4. NPV'!#REF!/'4. NPV'!JDA$8,0)</f>
        <v>0</v>
      </c>
      <c r="JDA54" s="5">
        <f>-IFERROR('4. NPV'!#REF!/'4. NPV'!JDB$8,0)</f>
        <v>0</v>
      </c>
      <c r="JDB54" s="5">
        <f>-IFERROR('4. NPV'!#REF!/'4. NPV'!JDC$8,0)</f>
        <v>0</v>
      </c>
      <c r="JDC54" s="5">
        <f>-IFERROR('4. NPV'!#REF!/'4. NPV'!JDD$8,0)</f>
        <v>0</v>
      </c>
      <c r="JDD54" s="5">
        <f>-IFERROR('4. NPV'!#REF!/'4. NPV'!JDE$8,0)</f>
        <v>0</v>
      </c>
      <c r="JDE54" s="5">
        <f>-IFERROR('4. NPV'!#REF!/'4. NPV'!JDF$8,0)</f>
        <v>0</v>
      </c>
      <c r="JDF54" s="5">
        <f>-IFERROR('4. NPV'!#REF!/'4. NPV'!JDG$8,0)</f>
        <v>0</v>
      </c>
      <c r="JDG54" s="5">
        <f>-IFERROR('4. NPV'!#REF!/'4. NPV'!JDH$8,0)</f>
        <v>0</v>
      </c>
      <c r="JDH54" s="5">
        <f>-IFERROR('4. NPV'!#REF!/'4. NPV'!JDI$8,0)</f>
        <v>0</v>
      </c>
      <c r="JDI54" s="5">
        <f>-IFERROR('4. NPV'!#REF!/'4. NPV'!JDJ$8,0)</f>
        <v>0</v>
      </c>
      <c r="JDJ54" s="5">
        <f>-IFERROR('4. NPV'!#REF!/'4. NPV'!JDK$8,0)</f>
        <v>0</v>
      </c>
      <c r="JDK54" s="5">
        <f>-IFERROR('4. NPV'!#REF!/'4. NPV'!JDL$8,0)</f>
        <v>0</v>
      </c>
      <c r="JDL54" s="5">
        <f>-IFERROR('4. NPV'!#REF!/'4. NPV'!JDM$8,0)</f>
        <v>0</v>
      </c>
      <c r="JDM54" s="5">
        <f>-IFERROR('4. NPV'!#REF!/'4. NPV'!JDN$8,0)</f>
        <v>0</v>
      </c>
      <c r="JDN54" s="5">
        <f>-IFERROR('4. NPV'!#REF!/'4. NPV'!JDO$8,0)</f>
        <v>0</v>
      </c>
      <c r="JDO54" s="5">
        <f>-IFERROR('4. NPV'!#REF!/'4. NPV'!JDP$8,0)</f>
        <v>0</v>
      </c>
      <c r="JDP54" s="5">
        <f>-IFERROR('4. NPV'!#REF!/'4. NPV'!JDQ$8,0)</f>
        <v>0</v>
      </c>
      <c r="JDQ54" s="5">
        <f>-IFERROR('4. NPV'!#REF!/'4. NPV'!JDR$8,0)</f>
        <v>0</v>
      </c>
      <c r="JDR54" s="5">
        <f>-IFERROR('4. NPV'!#REF!/'4. NPV'!JDS$8,0)</f>
        <v>0</v>
      </c>
      <c r="JDS54" s="5">
        <f>-IFERROR('4. NPV'!#REF!/'4. NPV'!JDT$8,0)</f>
        <v>0</v>
      </c>
      <c r="JDT54" s="5">
        <f>-IFERROR('4. NPV'!#REF!/'4. NPV'!JDU$8,0)</f>
        <v>0</v>
      </c>
      <c r="JDU54" s="5">
        <f>-IFERROR('4. NPV'!#REF!/'4. NPV'!JDV$8,0)</f>
        <v>0</v>
      </c>
      <c r="JDV54" s="5">
        <f>-IFERROR('4. NPV'!#REF!/'4. NPV'!JDW$8,0)</f>
        <v>0</v>
      </c>
      <c r="JDW54" s="5">
        <f>-IFERROR('4. NPV'!#REF!/'4. NPV'!JDX$8,0)</f>
        <v>0</v>
      </c>
      <c r="JDX54" s="5">
        <f>-IFERROR('4. NPV'!#REF!/'4. NPV'!JDY$8,0)</f>
        <v>0</v>
      </c>
      <c r="JDY54" s="5">
        <f>-IFERROR('4. NPV'!#REF!/'4. NPV'!JDZ$8,0)</f>
        <v>0</v>
      </c>
      <c r="JDZ54" s="5">
        <f>-IFERROR('4. NPV'!#REF!/'4. NPV'!JEA$8,0)</f>
        <v>0</v>
      </c>
      <c r="JEA54" s="5">
        <f>-IFERROR('4. NPV'!#REF!/'4. NPV'!JEB$8,0)</f>
        <v>0</v>
      </c>
      <c r="JEB54" s="5">
        <f>-IFERROR('4. NPV'!#REF!/'4. NPV'!JEC$8,0)</f>
        <v>0</v>
      </c>
      <c r="JEC54" s="5">
        <f>-IFERROR('4. NPV'!#REF!/'4. NPV'!JED$8,0)</f>
        <v>0</v>
      </c>
      <c r="JED54" s="5">
        <f>-IFERROR('4. NPV'!#REF!/'4. NPV'!JEE$8,0)</f>
        <v>0</v>
      </c>
      <c r="JEE54" s="5">
        <f>-IFERROR('4. NPV'!#REF!/'4. NPV'!JEF$8,0)</f>
        <v>0</v>
      </c>
      <c r="JEF54" s="5">
        <f>-IFERROR('4. NPV'!#REF!/'4. NPV'!JEG$8,0)</f>
        <v>0</v>
      </c>
      <c r="JEG54" s="5">
        <f>-IFERROR('4. NPV'!#REF!/'4. NPV'!JEH$8,0)</f>
        <v>0</v>
      </c>
      <c r="JEH54" s="5">
        <f>-IFERROR('4. NPV'!#REF!/'4. NPV'!JEI$8,0)</f>
        <v>0</v>
      </c>
      <c r="JEI54" s="5">
        <f>-IFERROR('4. NPV'!#REF!/'4. NPV'!JEJ$8,0)</f>
        <v>0</v>
      </c>
      <c r="JEJ54" s="5">
        <f>-IFERROR('4. NPV'!#REF!/'4. NPV'!JEK$8,0)</f>
        <v>0</v>
      </c>
      <c r="JEK54" s="5">
        <f>-IFERROR('4. NPV'!#REF!/'4. NPV'!JEL$8,0)</f>
        <v>0</v>
      </c>
      <c r="JEL54" s="5">
        <f>-IFERROR('4. NPV'!#REF!/'4. NPV'!JEM$8,0)</f>
        <v>0</v>
      </c>
      <c r="JEM54" s="5">
        <f>-IFERROR('4. NPV'!#REF!/'4. NPV'!JEN$8,0)</f>
        <v>0</v>
      </c>
      <c r="JEN54" s="5">
        <f>-IFERROR('4. NPV'!#REF!/'4. NPV'!JEO$8,0)</f>
        <v>0</v>
      </c>
      <c r="JEO54" s="5">
        <f>-IFERROR('4. NPV'!#REF!/'4. NPV'!JEP$8,0)</f>
        <v>0</v>
      </c>
      <c r="JEP54" s="5">
        <f>-IFERROR('4. NPV'!#REF!/'4. NPV'!JEQ$8,0)</f>
        <v>0</v>
      </c>
      <c r="JEQ54" s="5">
        <f>-IFERROR('4. NPV'!#REF!/'4. NPV'!JER$8,0)</f>
        <v>0</v>
      </c>
      <c r="JER54" s="5">
        <f>-IFERROR('4. NPV'!#REF!/'4. NPV'!JES$8,0)</f>
        <v>0</v>
      </c>
      <c r="JES54" s="5">
        <f>-IFERROR('4. NPV'!#REF!/'4. NPV'!JET$8,0)</f>
        <v>0</v>
      </c>
      <c r="JET54" s="5">
        <f>-IFERROR('4. NPV'!#REF!/'4. NPV'!JEU$8,0)</f>
        <v>0</v>
      </c>
      <c r="JEU54" s="5">
        <f>-IFERROR('4. NPV'!#REF!/'4. NPV'!JEV$8,0)</f>
        <v>0</v>
      </c>
      <c r="JEV54" s="5">
        <f>-IFERROR('4. NPV'!#REF!/'4. NPV'!JEW$8,0)</f>
        <v>0</v>
      </c>
      <c r="JEW54" s="5">
        <f>-IFERROR('4. NPV'!#REF!/'4. NPV'!JEX$8,0)</f>
        <v>0</v>
      </c>
      <c r="JEX54" s="5">
        <f>-IFERROR('4. NPV'!#REF!/'4. NPV'!JEY$8,0)</f>
        <v>0</v>
      </c>
      <c r="JEY54" s="5">
        <f>-IFERROR('4. NPV'!#REF!/'4. NPV'!JEZ$8,0)</f>
        <v>0</v>
      </c>
      <c r="JEZ54" s="5">
        <f>-IFERROR('4. NPV'!#REF!/'4. NPV'!JFA$8,0)</f>
        <v>0</v>
      </c>
      <c r="JFA54" s="5">
        <f>-IFERROR('4. NPV'!#REF!/'4. NPV'!JFB$8,0)</f>
        <v>0</v>
      </c>
      <c r="JFB54" s="5">
        <f>-IFERROR('4. NPV'!#REF!/'4. NPV'!JFC$8,0)</f>
        <v>0</v>
      </c>
      <c r="JFC54" s="5">
        <f>-IFERROR('4. NPV'!#REF!/'4. NPV'!JFD$8,0)</f>
        <v>0</v>
      </c>
      <c r="JFD54" s="5">
        <f>-IFERROR('4. NPV'!#REF!/'4. NPV'!JFE$8,0)</f>
        <v>0</v>
      </c>
      <c r="JFE54" s="5">
        <f>-IFERROR('4. NPV'!#REF!/'4. NPV'!JFF$8,0)</f>
        <v>0</v>
      </c>
      <c r="JFF54" s="5">
        <f>-IFERROR('4. NPV'!#REF!/'4. NPV'!JFG$8,0)</f>
        <v>0</v>
      </c>
      <c r="JFG54" s="5">
        <f>-IFERROR('4. NPV'!#REF!/'4. NPV'!JFH$8,0)</f>
        <v>0</v>
      </c>
      <c r="JFH54" s="5">
        <f>-IFERROR('4. NPV'!#REF!/'4. NPV'!JFI$8,0)</f>
        <v>0</v>
      </c>
      <c r="JFI54" s="5">
        <f>-IFERROR('4. NPV'!#REF!/'4. NPV'!JFJ$8,0)</f>
        <v>0</v>
      </c>
      <c r="JFJ54" s="5">
        <f>-IFERROR('4. NPV'!#REF!/'4. NPV'!JFK$8,0)</f>
        <v>0</v>
      </c>
      <c r="JFK54" s="5">
        <f>-IFERROR('4. NPV'!#REF!/'4. NPV'!JFL$8,0)</f>
        <v>0</v>
      </c>
      <c r="JFL54" s="5">
        <f>-IFERROR('4. NPV'!#REF!/'4. NPV'!JFM$8,0)</f>
        <v>0</v>
      </c>
      <c r="JFM54" s="5">
        <f>-IFERROR('4. NPV'!#REF!/'4. NPV'!JFN$8,0)</f>
        <v>0</v>
      </c>
      <c r="JFN54" s="5">
        <f>-IFERROR('4. NPV'!#REF!/'4. NPV'!JFO$8,0)</f>
        <v>0</v>
      </c>
      <c r="JFO54" s="5">
        <f>-IFERROR('4. NPV'!#REF!/'4. NPV'!JFP$8,0)</f>
        <v>0</v>
      </c>
      <c r="JFP54" s="5">
        <f>-IFERROR('4. NPV'!#REF!/'4. NPV'!JFQ$8,0)</f>
        <v>0</v>
      </c>
      <c r="JFQ54" s="5">
        <f>-IFERROR('4. NPV'!#REF!/'4. NPV'!JFR$8,0)</f>
        <v>0</v>
      </c>
      <c r="JFR54" s="5">
        <f>-IFERROR('4. NPV'!#REF!/'4. NPV'!JFS$8,0)</f>
        <v>0</v>
      </c>
      <c r="JFS54" s="5">
        <f>-IFERROR('4. NPV'!#REF!/'4. NPV'!JFT$8,0)</f>
        <v>0</v>
      </c>
      <c r="JFT54" s="5">
        <f>-IFERROR('4. NPV'!#REF!/'4. NPV'!JFU$8,0)</f>
        <v>0</v>
      </c>
      <c r="JFU54" s="5">
        <f>-IFERROR('4. NPV'!#REF!/'4. NPV'!JFV$8,0)</f>
        <v>0</v>
      </c>
      <c r="JFV54" s="5">
        <f>-IFERROR('4. NPV'!#REF!/'4. NPV'!JFW$8,0)</f>
        <v>0</v>
      </c>
      <c r="JFW54" s="5">
        <f>-IFERROR('4. NPV'!#REF!/'4. NPV'!JFX$8,0)</f>
        <v>0</v>
      </c>
      <c r="JFX54" s="5">
        <f>-IFERROR('4. NPV'!#REF!/'4. NPV'!JFY$8,0)</f>
        <v>0</v>
      </c>
      <c r="JFY54" s="5">
        <f>-IFERROR('4. NPV'!#REF!/'4. NPV'!JFZ$8,0)</f>
        <v>0</v>
      </c>
      <c r="JFZ54" s="5">
        <f>-IFERROR('4. NPV'!#REF!/'4. NPV'!JGA$8,0)</f>
        <v>0</v>
      </c>
      <c r="JGA54" s="5">
        <f>-IFERROR('4. NPV'!#REF!/'4. NPV'!JGB$8,0)</f>
        <v>0</v>
      </c>
      <c r="JGB54" s="5">
        <f>-IFERROR('4. NPV'!#REF!/'4. NPV'!JGC$8,0)</f>
        <v>0</v>
      </c>
      <c r="JGC54" s="5">
        <f>-IFERROR('4. NPV'!#REF!/'4. NPV'!JGD$8,0)</f>
        <v>0</v>
      </c>
      <c r="JGD54" s="5">
        <f>-IFERROR('4. NPV'!#REF!/'4. NPV'!JGE$8,0)</f>
        <v>0</v>
      </c>
      <c r="JGE54" s="5">
        <f>-IFERROR('4. NPV'!#REF!/'4. NPV'!JGF$8,0)</f>
        <v>0</v>
      </c>
      <c r="JGF54" s="5">
        <f>-IFERROR('4. NPV'!#REF!/'4. NPV'!JGG$8,0)</f>
        <v>0</v>
      </c>
      <c r="JGG54" s="5">
        <f>-IFERROR('4. NPV'!#REF!/'4. NPV'!JGH$8,0)</f>
        <v>0</v>
      </c>
      <c r="JGH54" s="5">
        <f>-IFERROR('4. NPV'!#REF!/'4. NPV'!JGI$8,0)</f>
        <v>0</v>
      </c>
      <c r="JGI54" s="5">
        <f>-IFERROR('4. NPV'!#REF!/'4. NPV'!JGJ$8,0)</f>
        <v>0</v>
      </c>
      <c r="JGJ54" s="5">
        <f>-IFERROR('4. NPV'!#REF!/'4. NPV'!JGK$8,0)</f>
        <v>0</v>
      </c>
      <c r="JGK54" s="5">
        <f>-IFERROR('4. NPV'!#REF!/'4. NPV'!JGL$8,0)</f>
        <v>0</v>
      </c>
      <c r="JGL54" s="5">
        <f>-IFERROR('4. NPV'!#REF!/'4. NPV'!JGM$8,0)</f>
        <v>0</v>
      </c>
      <c r="JGM54" s="5">
        <f>-IFERROR('4. NPV'!#REF!/'4. NPV'!JGN$8,0)</f>
        <v>0</v>
      </c>
      <c r="JGN54" s="5">
        <f>-IFERROR('4. NPV'!#REF!/'4. NPV'!JGO$8,0)</f>
        <v>0</v>
      </c>
      <c r="JGO54" s="5">
        <f>-IFERROR('4. NPV'!#REF!/'4. NPV'!JGP$8,0)</f>
        <v>0</v>
      </c>
      <c r="JGP54" s="5">
        <f>-IFERROR('4. NPV'!#REF!/'4. NPV'!JGQ$8,0)</f>
        <v>0</v>
      </c>
      <c r="JGQ54" s="5">
        <f>-IFERROR('4. NPV'!#REF!/'4. NPV'!JGR$8,0)</f>
        <v>0</v>
      </c>
      <c r="JGR54" s="5">
        <f>-IFERROR('4. NPV'!#REF!/'4. NPV'!JGS$8,0)</f>
        <v>0</v>
      </c>
      <c r="JGS54" s="5">
        <f>-IFERROR('4. NPV'!#REF!/'4. NPV'!JGT$8,0)</f>
        <v>0</v>
      </c>
      <c r="JGT54" s="5">
        <f>-IFERROR('4. NPV'!#REF!/'4. NPV'!JGU$8,0)</f>
        <v>0</v>
      </c>
      <c r="JGU54" s="5">
        <f>-IFERROR('4. NPV'!#REF!/'4. NPV'!JGV$8,0)</f>
        <v>0</v>
      </c>
      <c r="JGV54" s="5">
        <f>-IFERROR('4. NPV'!#REF!/'4. NPV'!JGW$8,0)</f>
        <v>0</v>
      </c>
      <c r="JGW54" s="5">
        <f>-IFERROR('4. NPV'!#REF!/'4. NPV'!JGX$8,0)</f>
        <v>0</v>
      </c>
      <c r="JGX54" s="5">
        <f>-IFERROR('4. NPV'!#REF!/'4. NPV'!JGY$8,0)</f>
        <v>0</v>
      </c>
      <c r="JGY54" s="5">
        <f>-IFERROR('4. NPV'!#REF!/'4. NPV'!JGZ$8,0)</f>
        <v>0</v>
      </c>
      <c r="JGZ54" s="5">
        <f>-IFERROR('4. NPV'!#REF!/'4. NPV'!JHA$8,0)</f>
        <v>0</v>
      </c>
      <c r="JHA54" s="5">
        <f>-IFERROR('4. NPV'!#REF!/'4. NPV'!JHB$8,0)</f>
        <v>0</v>
      </c>
      <c r="JHB54" s="5">
        <f>-IFERROR('4. NPV'!#REF!/'4. NPV'!JHC$8,0)</f>
        <v>0</v>
      </c>
      <c r="JHC54" s="5">
        <f>-IFERROR('4. NPV'!#REF!/'4. NPV'!JHD$8,0)</f>
        <v>0</v>
      </c>
      <c r="JHD54" s="5">
        <f>-IFERROR('4. NPV'!#REF!/'4. NPV'!JHE$8,0)</f>
        <v>0</v>
      </c>
      <c r="JHE54" s="5">
        <f>-IFERROR('4. NPV'!#REF!/'4. NPV'!JHF$8,0)</f>
        <v>0</v>
      </c>
      <c r="JHF54" s="5">
        <f>-IFERROR('4. NPV'!#REF!/'4. NPV'!JHG$8,0)</f>
        <v>0</v>
      </c>
      <c r="JHG54" s="5">
        <f>-IFERROR('4. NPV'!#REF!/'4. NPV'!JHH$8,0)</f>
        <v>0</v>
      </c>
      <c r="JHH54" s="5">
        <f>-IFERROR('4. NPV'!#REF!/'4. NPV'!JHI$8,0)</f>
        <v>0</v>
      </c>
      <c r="JHI54" s="5">
        <f>-IFERROR('4. NPV'!#REF!/'4. NPV'!JHJ$8,0)</f>
        <v>0</v>
      </c>
      <c r="JHJ54" s="5">
        <f>-IFERROR('4. NPV'!#REF!/'4. NPV'!JHK$8,0)</f>
        <v>0</v>
      </c>
      <c r="JHK54" s="5">
        <f>-IFERROR('4. NPV'!#REF!/'4. NPV'!JHL$8,0)</f>
        <v>0</v>
      </c>
      <c r="JHL54" s="5">
        <f>-IFERROR('4. NPV'!#REF!/'4. NPV'!JHM$8,0)</f>
        <v>0</v>
      </c>
      <c r="JHM54" s="5">
        <f>-IFERROR('4. NPV'!#REF!/'4. NPV'!JHN$8,0)</f>
        <v>0</v>
      </c>
      <c r="JHN54" s="5">
        <f>-IFERROR('4. NPV'!#REF!/'4. NPV'!JHO$8,0)</f>
        <v>0</v>
      </c>
      <c r="JHO54" s="5">
        <f>-IFERROR('4. NPV'!#REF!/'4. NPV'!JHP$8,0)</f>
        <v>0</v>
      </c>
      <c r="JHP54" s="5">
        <f>-IFERROR('4. NPV'!#REF!/'4. NPV'!JHQ$8,0)</f>
        <v>0</v>
      </c>
      <c r="JHQ54" s="5">
        <f>-IFERROR('4. NPV'!#REF!/'4. NPV'!JHR$8,0)</f>
        <v>0</v>
      </c>
      <c r="JHR54" s="5">
        <f>-IFERROR('4. NPV'!#REF!/'4. NPV'!JHS$8,0)</f>
        <v>0</v>
      </c>
      <c r="JHS54" s="5">
        <f>-IFERROR('4. NPV'!#REF!/'4. NPV'!JHT$8,0)</f>
        <v>0</v>
      </c>
      <c r="JHT54" s="5">
        <f>-IFERROR('4. NPV'!#REF!/'4. NPV'!JHU$8,0)</f>
        <v>0</v>
      </c>
      <c r="JHU54" s="5">
        <f>-IFERROR('4. NPV'!#REF!/'4. NPV'!JHV$8,0)</f>
        <v>0</v>
      </c>
      <c r="JHV54" s="5">
        <f>-IFERROR('4. NPV'!#REF!/'4. NPV'!JHW$8,0)</f>
        <v>0</v>
      </c>
      <c r="JHW54" s="5">
        <f>-IFERROR('4. NPV'!#REF!/'4. NPV'!JHX$8,0)</f>
        <v>0</v>
      </c>
      <c r="JHX54" s="5">
        <f>-IFERROR('4. NPV'!#REF!/'4. NPV'!JHY$8,0)</f>
        <v>0</v>
      </c>
      <c r="JHY54" s="5">
        <f>-IFERROR('4. NPV'!#REF!/'4. NPV'!JHZ$8,0)</f>
        <v>0</v>
      </c>
      <c r="JHZ54" s="5">
        <f>-IFERROR('4. NPV'!#REF!/'4. NPV'!JIA$8,0)</f>
        <v>0</v>
      </c>
      <c r="JIA54" s="5">
        <f>-IFERROR('4. NPV'!#REF!/'4. NPV'!JIB$8,0)</f>
        <v>0</v>
      </c>
      <c r="JIB54" s="5">
        <f>-IFERROR('4. NPV'!#REF!/'4. NPV'!JIC$8,0)</f>
        <v>0</v>
      </c>
      <c r="JIC54" s="5">
        <f>-IFERROR('4. NPV'!#REF!/'4. NPV'!JID$8,0)</f>
        <v>0</v>
      </c>
      <c r="JID54" s="5">
        <f>-IFERROR('4. NPV'!#REF!/'4. NPV'!JIE$8,0)</f>
        <v>0</v>
      </c>
      <c r="JIE54" s="5">
        <f>-IFERROR('4. NPV'!#REF!/'4. NPV'!JIF$8,0)</f>
        <v>0</v>
      </c>
      <c r="JIF54" s="5">
        <f>-IFERROR('4. NPV'!#REF!/'4. NPV'!JIG$8,0)</f>
        <v>0</v>
      </c>
      <c r="JIG54" s="5">
        <f>-IFERROR('4. NPV'!#REF!/'4. NPV'!JIH$8,0)</f>
        <v>0</v>
      </c>
      <c r="JIH54" s="5">
        <f>-IFERROR('4. NPV'!#REF!/'4. NPV'!JII$8,0)</f>
        <v>0</v>
      </c>
      <c r="JII54" s="5">
        <f>-IFERROR('4. NPV'!#REF!/'4. NPV'!JIJ$8,0)</f>
        <v>0</v>
      </c>
      <c r="JIJ54" s="5">
        <f>-IFERROR('4. NPV'!#REF!/'4. NPV'!JIK$8,0)</f>
        <v>0</v>
      </c>
      <c r="JIK54" s="5">
        <f>-IFERROR('4. NPV'!#REF!/'4. NPV'!JIL$8,0)</f>
        <v>0</v>
      </c>
      <c r="JIL54" s="5">
        <f>-IFERROR('4. NPV'!#REF!/'4. NPV'!JIM$8,0)</f>
        <v>0</v>
      </c>
      <c r="JIM54" s="5">
        <f>-IFERROR('4. NPV'!#REF!/'4. NPV'!JIN$8,0)</f>
        <v>0</v>
      </c>
      <c r="JIN54" s="5">
        <f>-IFERROR('4. NPV'!#REF!/'4. NPV'!JIO$8,0)</f>
        <v>0</v>
      </c>
      <c r="JIO54" s="5">
        <f>-IFERROR('4. NPV'!#REF!/'4. NPV'!JIP$8,0)</f>
        <v>0</v>
      </c>
      <c r="JIP54" s="5">
        <f>-IFERROR('4. NPV'!#REF!/'4. NPV'!JIQ$8,0)</f>
        <v>0</v>
      </c>
      <c r="JIQ54" s="5">
        <f>-IFERROR('4. NPV'!#REF!/'4. NPV'!JIR$8,0)</f>
        <v>0</v>
      </c>
      <c r="JIR54" s="5">
        <f>-IFERROR('4. NPV'!#REF!/'4. NPV'!JIS$8,0)</f>
        <v>0</v>
      </c>
      <c r="JIS54" s="5">
        <f>-IFERROR('4. NPV'!#REF!/'4. NPV'!JIT$8,0)</f>
        <v>0</v>
      </c>
      <c r="JIT54" s="5">
        <f>-IFERROR('4. NPV'!#REF!/'4. NPV'!JIU$8,0)</f>
        <v>0</v>
      </c>
      <c r="JIU54" s="5">
        <f>-IFERROR('4. NPV'!#REF!/'4. NPV'!JIV$8,0)</f>
        <v>0</v>
      </c>
      <c r="JIV54" s="5">
        <f>-IFERROR('4. NPV'!#REF!/'4. NPV'!JIW$8,0)</f>
        <v>0</v>
      </c>
      <c r="JIW54" s="5">
        <f>-IFERROR('4. NPV'!#REF!/'4. NPV'!JIX$8,0)</f>
        <v>0</v>
      </c>
      <c r="JIX54" s="5">
        <f>-IFERROR('4. NPV'!#REF!/'4. NPV'!JIY$8,0)</f>
        <v>0</v>
      </c>
      <c r="JIY54" s="5">
        <f>-IFERROR('4. NPV'!#REF!/'4. NPV'!JIZ$8,0)</f>
        <v>0</v>
      </c>
      <c r="JIZ54" s="5">
        <f>-IFERROR('4. NPV'!#REF!/'4. NPV'!JJA$8,0)</f>
        <v>0</v>
      </c>
      <c r="JJA54" s="5">
        <f>-IFERROR('4. NPV'!#REF!/'4. NPV'!JJB$8,0)</f>
        <v>0</v>
      </c>
      <c r="JJB54" s="5">
        <f>-IFERROR('4. NPV'!#REF!/'4. NPV'!JJC$8,0)</f>
        <v>0</v>
      </c>
      <c r="JJC54" s="5">
        <f>-IFERROR('4. NPV'!#REF!/'4. NPV'!JJD$8,0)</f>
        <v>0</v>
      </c>
      <c r="JJD54" s="5">
        <f>-IFERROR('4. NPV'!#REF!/'4. NPV'!JJE$8,0)</f>
        <v>0</v>
      </c>
      <c r="JJE54" s="5">
        <f>-IFERROR('4. NPV'!#REF!/'4. NPV'!JJF$8,0)</f>
        <v>0</v>
      </c>
      <c r="JJF54" s="5">
        <f>-IFERROR('4. NPV'!#REF!/'4. NPV'!JJG$8,0)</f>
        <v>0</v>
      </c>
      <c r="JJG54" s="5">
        <f>-IFERROR('4. NPV'!#REF!/'4. NPV'!JJH$8,0)</f>
        <v>0</v>
      </c>
      <c r="JJH54" s="5">
        <f>-IFERROR('4. NPV'!#REF!/'4. NPV'!JJI$8,0)</f>
        <v>0</v>
      </c>
      <c r="JJI54" s="5">
        <f>-IFERROR('4. NPV'!#REF!/'4. NPV'!JJJ$8,0)</f>
        <v>0</v>
      </c>
      <c r="JJJ54" s="5">
        <f>-IFERROR('4. NPV'!#REF!/'4. NPV'!JJK$8,0)</f>
        <v>0</v>
      </c>
      <c r="JJK54" s="5">
        <f>-IFERROR('4. NPV'!#REF!/'4. NPV'!JJL$8,0)</f>
        <v>0</v>
      </c>
      <c r="JJL54" s="5">
        <f>-IFERROR('4. NPV'!#REF!/'4. NPV'!JJM$8,0)</f>
        <v>0</v>
      </c>
      <c r="JJM54" s="5">
        <f>-IFERROR('4. NPV'!#REF!/'4. NPV'!JJN$8,0)</f>
        <v>0</v>
      </c>
      <c r="JJN54" s="5">
        <f>-IFERROR('4. NPV'!#REF!/'4. NPV'!JJO$8,0)</f>
        <v>0</v>
      </c>
      <c r="JJO54" s="5">
        <f>-IFERROR('4. NPV'!#REF!/'4. NPV'!JJP$8,0)</f>
        <v>0</v>
      </c>
      <c r="JJP54" s="5">
        <f>-IFERROR('4. NPV'!#REF!/'4. NPV'!JJQ$8,0)</f>
        <v>0</v>
      </c>
      <c r="JJQ54" s="5">
        <f>-IFERROR('4. NPV'!#REF!/'4. NPV'!JJR$8,0)</f>
        <v>0</v>
      </c>
      <c r="JJR54" s="5">
        <f>-IFERROR('4. NPV'!#REF!/'4. NPV'!JJS$8,0)</f>
        <v>0</v>
      </c>
      <c r="JJS54" s="5">
        <f>-IFERROR('4. NPV'!#REF!/'4. NPV'!JJT$8,0)</f>
        <v>0</v>
      </c>
      <c r="JJT54" s="5">
        <f>-IFERROR('4. NPV'!#REF!/'4. NPV'!JJU$8,0)</f>
        <v>0</v>
      </c>
      <c r="JJU54" s="5">
        <f>-IFERROR('4. NPV'!#REF!/'4. NPV'!JJV$8,0)</f>
        <v>0</v>
      </c>
      <c r="JJV54" s="5">
        <f>-IFERROR('4. NPV'!#REF!/'4. NPV'!JJW$8,0)</f>
        <v>0</v>
      </c>
      <c r="JJW54" s="5">
        <f>-IFERROR('4. NPV'!#REF!/'4. NPV'!JJX$8,0)</f>
        <v>0</v>
      </c>
      <c r="JJX54" s="5">
        <f>-IFERROR('4. NPV'!#REF!/'4. NPV'!JJY$8,0)</f>
        <v>0</v>
      </c>
      <c r="JJY54" s="5">
        <f>-IFERROR('4. NPV'!#REF!/'4. NPV'!JJZ$8,0)</f>
        <v>0</v>
      </c>
      <c r="JJZ54" s="5">
        <f>-IFERROR('4. NPV'!#REF!/'4. NPV'!JKA$8,0)</f>
        <v>0</v>
      </c>
      <c r="JKA54" s="5">
        <f>-IFERROR('4. NPV'!#REF!/'4. NPV'!JKB$8,0)</f>
        <v>0</v>
      </c>
      <c r="JKB54" s="5">
        <f>-IFERROR('4. NPV'!#REF!/'4. NPV'!JKC$8,0)</f>
        <v>0</v>
      </c>
      <c r="JKC54" s="5">
        <f>-IFERROR('4. NPV'!#REF!/'4. NPV'!JKD$8,0)</f>
        <v>0</v>
      </c>
      <c r="JKD54" s="5">
        <f>-IFERROR('4. NPV'!#REF!/'4. NPV'!JKE$8,0)</f>
        <v>0</v>
      </c>
      <c r="JKE54" s="5">
        <f>-IFERROR('4. NPV'!#REF!/'4. NPV'!JKF$8,0)</f>
        <v>0</v>
      </c>
      <c r="JKF54" s="5">
        <f>-IFERROR('4. NPV'!#REF!/'4. NPV'!JKG$8,0)</f>
        <v>0</v>
      </c>
      <c r="JKG54" s="5">
        <f>-IFERROR('4. NPV'!#REF!/'4. NPV'!JKH$8,0)</f>
        <v>0</v>
      </c>
      <c r="JKH54" s="5">
        <f>-IFERROR('4. NPV'!#REF!/'4. NPV'!JKI$8,0)</f>
        <v>0</v>
      </c>
      <c r="JKI54" s="5">
        <f>-IFERROR('4. NPV'!#REF!/'4. NPV'!JKJ$8,0)</f>
        <v>0</v>
      </c>
      <c r="JKJ54" s="5">
        <f>-IFERROR('4. NPV'!#REF!/'4. NPV'!JKK$8,0)</f>
        <v>0</v>
      </c>
      <c r="JKK54" s="5">
        <f>-IFERROR('4. NPV'!#REF!/'4. NPV'!JKL$8,0)</f>
        <v>0</v>
      </c>
      <c r="JKL54" s="5">
        <f>-IFERROR('4. NPV'!#REF!/'4. NPV'!JKM$8,0)</f>
        <v>0</v>
      </c>
      <c r="JKM54" s="5">
        <f>-IFERROR('4. NPV'!#REF!/'4. NPV'!JKN$8,0)</f>
        <v>0</v>
      </c>
      <c r="JKN54" s="5">
        <f>-IFERROR('4. NPV'!#REF!/'4. NPV'!JKO$8,0)</f>
        <v>0</v>
      </c>
      <c r="JKO54" s="5">
        <f>-IFERROR('4. NPV'!#REF!/'4. NPV'!JKP$8,0)</f>
        <v>0</v>
      </c>
      <c r="JKP54" s="5">
        <f>-IFERROR('4. NPV'!#REF!/'4. NPV'!JKQ$8,0)</f>
        <v>0</v>
      </c>
      <c r="JKQ54" s="5">
        <f>-IFERROR('4. NPV'!#REF!/'4. NPV'!JKR$8,0)</f>
        <v>0</v>
      </c>
      <c r="JKR54" s="5">
        <f>-IFERROR('4. NPV'!#REF!/'4. NPV'!JKS$8,0)</f>
        <v>0</v>
      </c>
      <c r="JKS54" s="5">
        <f>-IFERROR('4. NPV'!#REF!/'4. NPV'!JKT$8,0)</f>
        <v>0</v>
      </c>
      <c r="JKT54" s="5">
        <f>-IFERROR('4. NPV'!#REF!/'4. NPV'!JKU$8,0)</f>
        <v>0</v>
      </c>
      <c r="JKU54" s="5">
        <f>-IFERROR('4. NPV'!#REF!/'4. NPV'!JKV$8,0)</f>
        <v>0</v>
      </c>
      <c r="JKV54" s="5">
        <f>-IFERROR('4. NPV'!#REF!/'4. NPV'!JKW$8,0)</f>
        <v>0</v>
      </c>
      <c r="JKW54" s="5">
        <f>-IFERROR('4. NPV'!#REF!/'4. NPV'!JKX$8,0)</f>
        <v>0</v>
      </c>
      <c r="JKX54" s="5">
        <f>-IFERROR('4. NPV'!#REF!/'4. NPV'!JKY$8,0)</f>
        <v>0</v>
      </c>
      <c r="JKY54" s="5">
        <f>-IFERROR('4. NPV'!#REF!/'4. NPV'!JKZ$8,0)</f>
        <v>0</v>
      </c>
      <c r="JKZ54" s="5">
        <f>-IFERROR('4. NPV'!#REF!/'4. NPV'!JLA$8,0)</f>
        <v>0</v>
      </c>
      <c r="JLA54" s="5">
        <f>-IFERROR('4. NPV'!#REF!/'4. NPV'!JLB$8,0)</f>
        <v>0</v>
      </c>
      <c r="JLB54" s="5">
        <f>-IFERROR('4. NPV'!#REF!/'4. NPV'!JLC$8,0)</f>
        <v>0</v>
      </c>
      <c r="JLC54" s="5">
        <f>-IFERROR('4. NPV'!#REF!/'4. NPV'!JLD$8,0)</f>
        <v>0</v>
      </c>
      <c r="JLD54" s="5">
        <f>-IFERROR('4. NPV'!#REF!/'4. NPV'!JLE$8,0)</f>
        <v>0</v>
      </c>
      <c r="JLE54" s="5">
        <f>-IFERROR('4. NPV'!#REF!/'4. NPV'!JLF$8,0)</f>
        <v>0</v>
      </c>
      <c r="JLF54" s="5">
        <f>-IFERROR('4. NPV'!#REF!/'4. NPV'!JLG$8,0)</f>
        <v>0</v>
      </c>
      <c r="JLG54" s="5">
        <f>-IFERROR('4. NPV'!#REF!/'4. NPV'!JLH$8,0)</f>
        <v>0</v>
      </c>
      <c r="JLH54" s="5">
        <f>-IFERROR('4. NPV'!#REF!/'4. NPV'!JLI$8,0)</f>
        <v>0</v>
      </c>
      <c r="JLI54" s="5">
        <f>-IFERROR('4. NPV'!#REF!/'4. NPV'!JLJ$8,0)</f>
        <v>0</v>
      </c>
      <c r="JLJ54" s="5">
        <f>-IFERROR('4. NPV'!#REF!/'4. NPV'!JLK$8,0)</f>
        <v>0</v>
      </c>
      <c r="JLK54" s="5">
        <f>-IFERROR('4. NPV'!#REF!/'4. NPV'!JLL$8,0)</f>
        <v>0</v>
      </c>
      <c r="JLL54" s="5">
        <f>-IFERROR('4. NPV'!#REF!/'4. NPV'!JLM$8,0)</f>
        <v>0</v>
      </c>
      <c r="JLM54" s="5">
        <f>-IFERROR('4. NPV'!#REF!/'4. NPV'!JLN$8,0)</f>
        <v>0</v>
      </c>
      <c r="JLN54" s="5">
        <f>-IFERROR('4. NPV'!#REF!/'4. NPV'!JLO$8,0)</f>
        <v>0</v>
      </c>
      <c r="JLO54" s="5">
        <f>-IFERROR('4. NPV'!#REF!/'4. NPV'!JLP$8,0)</f>
        <v>0</v>
      </c>
      <c r="JLP54" s="5">
        <f>-IFERROR('4. NPV'!#REF!/'4. NPV'!JLQ$8,0)</f>
        <v>0</v>
      </c>
      <c r="JLQ54" s="5">
        <f>-IFERROR('4. NPV'!#REF!/'4. NPV'!JLR$8,0)</f>
        <v>0</v>
      </c>
      <c r="JLR54" s="5">
        <f>-IFERROR('4. NPV'!#REF!/'4. NPV'!JLS$8,0)</f>
        <v>0</v>
      </c>
      <c r="JLS54" s="5">
        <f>-IFERROR('4. NPV'!#REF!/'4. NPV'!JLT$8,0)</f>
        <v>0</v>
      </c>
      <c r="JLT54" s="5">
        <f>-IFERROR('4. NPV'!#REF!/'4. NPV'!JLU$8,0)</f>
        <v>0</v>
      </c>
      <c r="JLU54" s="5">
        <f>-IFERROR('4. NPV'!#REF!/'4. NPV'!JLV$8,0)</f>
        <v>0</v>
      </c>
      <c r="JLV54" s="5">
        <f>-IFERROR('4. NPV'!#REF!/'4. NPV'!JLW$8,0)</f>
        <v>0</v>
      </c>
      <c r="JLW54" s="5">
        <f>-IFERROR('4. NPV'!#REF!/'4. NPV'!JLX$8,0)</f>
        <v>0</v>
      </c>
      <c r="JLX54" s="5">
        <f>-IFERROR('4. NPV'!#REF!/'4. NPV'!JLY$8,0)</f>
        <v>0</v>
      </c>
      <c r="JLY54" s="5">
        <f>-IFERROR('4. NPV'!#REF!/'4. NPV'!JLZ$8,0)</f>
        <v>0</v>
      </c>
      <c r="JLZ54" s="5">
        <f>-IFERROR('4. NPV'!#REF!/'4. NPV'!JMA$8,0)</f>
        <v>0</v>
      </c>
      <c r="JMA54" s="5">
        <f>-IFERROR('4. NPV'!#REF!/'4. NPV'!JMB$8,0)</f>
        <v>0</v>
      </c>
      <c r="JMB54" s="5">
        <f>-IFERROR('4. NPV'!#REF!/'4. NPV'!JMC$8,0)</f>
        <v>0</v>
      </c>
      <c r="JMC54" s="5">
        <f>-IFERROR('4. NPV'!#REF!/'4. NPV'!JMD$8,0)</f>
        <v>0</v>
      </c>
      <c r="JMD54" s="5">
        <f>-IFERROR('4. NPV'!#REF!/'4. NPV'!JME$8,0)</f>
        <v>0</v>
      </c>
      <c r="JME54" s="5">
        <f>-IFERROR('4. NPV'!#REF!/'4. NPV'!JMF$8,0)</f>
        <v>0</v>
      </c>
      <c r="JMF54" s="5">
        <f>-IFERROR('4. NPV'!#REF!/'4. NPV'!JMG$8,0)</f>
        <v>0</v>
      </c>
      <c r="JMG54" s="5">
        <f>-IFERROR('4. NPV'!#REF!/'4. NPV'!JMH$8,0)</f>
        <v>0</v>
      </c>
      <c r="JMH54" s="5">
        <f>-IFERROR('4. NPV'!#REF!/'4. NPV'!JMI$8,0)</f>
        <v>0</v>
      </c>
      <c r="JMI54" s="5">
        <f>-IFERROR('4. NPV'!#REF!/'4. NPV'!JMJ$8,0)</f>
        <v>0</v>
      </c>
      <c r="JMJ54" s="5">
        <f>-IFERROR('4. NPV'!#REF!/'4. NPV'!JMK$8,0)</f>
        <v>0</v>
      </c>
      <c r="JMK54" s="5">
        <f>-IFERROR('4. NPV'!#REF!/'4. NPV'!JML$8,0)</f>
        <v>0</v>
      </c>
      <c r="JML54" s="5">
        <f>-IFERROR('4. NPV'!#REF!/'4. NPV'!JMM$8,0)</f>
        <v>0</v>
      </c>
      <c r="JMM54" s="5">
        <f>-IFERROR('4. NPV'!#REF!/'4. NPV'!JMN$8,0)</f>
        <v>0</v>
      </c>
      <c r="JMN54" s="5">
        <f>-IFERROR('4. NPV'!#REF!/'4. NPV'!JMO$8,0)</f>
        <v>0</v>
      </c>
      <c r="JMO54" s="5">
        <f>-IFERROR('4. NPV'!#REF!/'4. NPV'!JMP$8,0)</f>
        <v>0</v>
      </c>
      <c r="JMP54" s="5">
        <f>-IFERROR('4. NPV'!#REF!/'4. NPV'!JMQ$8,0)</f>
        <v>0</v>
      </c>
      <c r="JMQ54" s="5">
        <f>-IFERROR('4. NPV'!#REF!/'4. NPV'!JMR$8,0)</f>
        <v>0</v>
      </c>
      <c r="JMR54" s="5">
        <f>-IFERROR('4. NPV'!#REF!/'4. NPV'!JMS$8,0)</f>
        <v>0</v>
      </c>
      <c r="JMS54" s="5">
        <f>-IFERROR('4. NPV'!#REF!/'4. NPV'!JMT$8,0)</f>
        <v>0</v>
      </c>
      <c r="JMT54" s="5">
        <f>-IFERROR('4. NPV'!#REF!/'4. NPV'!JMU$8,0)</f>
        <v>0</v>
      </c>
      <c r="JMU54" s="5">
        <f>-IFERROR('4. NPV'!#REF!/'4. NPV'!JMV$8,0)</f>
        <v>0</v>
      </c>
      <c r="JMV54" s="5">
        <f>-IFERROR('4. NPV'!#REF!/'4. NPV'!JMW$8,0)</f>
        <v>0</v>
      </c>
      <c r="JMW54" s="5">
        <f>-IFERROR('4. NPV'!#REF!/'4. NPV'!JMX$8,0)</f>
        <v>0</v>
      </c>
      <c r="JMX54" s="5">
        <f>-IFERROR('4. NPV'!#REF!/'4. NPV'!JMY$8,0)</f>
        <v>0</v>
      </c>
      <c r="JMY54" s="5">
        <f>-IFERROR('4. NPV'!#REF!/'4. NPV'!JMZ$8,0)</f>
        <v>0</v>
      </c>
      <c r="JMZ54" s="5">
        <f>-IFERROR('4. NPV'!#REF!/'4. NPV'!JNA$8,0)</f>
        <v>0</v>
      </c>
      <c r="JNA54" s="5">
        <f>-IFERROR('4. NPV'!#REF!/'4. NPV'!JNB$8,0)</f>
        <v>0</v>
      </c>
      <c r="JNB54" s="5">
        <f>-IFERROR('4. NPV'!#REF!/'4. NPV'!JNC$8,0)</f>
        <v>0</v>
      </c>
      <c r="JNC54" s="5">
        <f>-IFERROR('4. NPV'!#REF!/'4. NPV'!JND$8,0)</f>
        <v>0</v>
      </c>
      <c r="JND54" s="5">
        <f>-IFERROR('4. NPV'!#REF!/'4. NPV'!JNE$8,0)</f>
        <v>0</v>
      </c>
      <c r="JNE54" s="5">
        <f>-IFERROR('4. NPV'!#REF!/'4. NPV'!JNF$8,0)</f>
        <v>0</v>
      </c>
      <c r="JNF54" s="5">
        <f>-IFERROR('4. NPV'!#REF!/'4. NPV'!JNG$8,0)</f>
        <v>0</v>
      </c>
      <c r="JNG54" s="5">
        <f>-IFERROR('4. NPV'!#REF!/'4. NPV'!JNH$8,0)</f>
        <v>0</v>
      </c>
      <c r="JNH54" s="5">
        <f>-IFERROR('4. NPV'!#REF!/'4. NPV'!JNI$8,0)</f>
        <v>0</v>
      </c>
      <c r="JNI54" s="5">
        <f>-IFERROR('4. NPV'!#REF!/'4. NPV'!JNJ$8,0)</f>
        <v>0</v>
      </c>
      <c r="JNJ54" s="5">
        <f>-IFERROR('4. NPV'!#REF!/'4. NPV'!JNK$8,0)</f>
        <v>0</v>
      </c>
      <c r="JNK54" s="5">
        <f>-IFERROR('4. NPV'!#REF!/'4. NPV'!JNL$8,0)</f>
        <v>0</v>
      </c>
      <c r="JNL54" s="5">
        <f>-IFERROR('4. NPV'!#REF!/'4. NPV'!JNM$8,0)</f>
        <v>0</v>
      </c>
      <c r="JNM54" s="5">
        <f>-IFERROR('4. NPV'!#REF!/'4. NPV'!JNN$8,0)</f>
        <v>0</v>
      </c>
      <c r="JNN54" s="5">
        <f>-IFERROR('4. NPV'!#REF!/'4. NPV'!JNO$8,0)</f>
        <v>0</v>
      </c>
      <c r="JNO54" s="5">
        <f>-IFERROR('4. NPV'!#REF!/'4. NPV'!JNP$8,0)</f>
        <v>0</v>
      </c>
      <c r="JNP54" s="5">
        <f>-IFERROR('4. NPV'!#REF!/'4. NPV'!JNQ$8,0)</f>
        <v>0</v>
      </c>
      <c r="JNQ54" s="5">
        <f>-IFERROR('4. NPV'!#REF!/'4. NPV'!JNR$8,0)</f>
        <v>0</v>
      </c>
      <c r="JNR54" s="5">
        <f>-IFERROR('4. NPV'!#REF!/'4. NPV'!JNS$8,0)</f>
        <v>0</v>
      </c>
      <c r="JNS54" s="5">
        <f>-IFERROR('4. NPV'!#REF!/'4. NPV'!JNT$8,0)</f>
        <v>0</v>
      </c>
      <c r="JNT54" s="5">
        <f>-IFERROR('4. NPV'!#REF!/'4. NPV'!JNU$8,0)</f>
        <v>0</v>
      </c>
      <c r="JNU54" s="5">
        <f>-IFERROR('4. NPV'!#REF!/'4. NPV'!JNV$8,0)</f>
        <v>0</v>
      </c>
      <c r="JNV54" s="5">
        <f>-IFERROR('4. NPV'!#REF!/'4. NPV'!JNW$8,0)</f>
        <v>0</v>
      </c>
      <c r="JNW54" s="5">
        <f>-IFERROR('4. NPV'!#REF!/'4. NPV'!JNX$8,0)</f>
        <v>0</v>
      </c>
      <c r="JNX54" s="5">
        <f>-IFERROR('4. NPV'!#REF!/'4. NPV'!JNY$8,0)</f>
        <v>0</v>
      </c>
      <c r="JNY54" s="5">
        <f>-IFERROR('4. NPV'!#REF!/'4. NPV'!JNZ$8,0)</f>
        <v>0</v>
      </c>
      <c r="JNZ54" s="5">
        <f>-IFERROR('4. NPV'!#REF!/'4. NPV'!JOA$8,0)</f>
        <v>0</v>
      </c>
      <c r="JOA54" s="5">
        <f>-IFERROR('4. NPV'!#REF!/'4. NPV'!JOB$8,0)</f>
        <v>0</v>
      </c>
      <c r="JOB54" s="5">
        <f>-IFERROR('4. NPV'!#REF!/'4. NPV'!JOC$8,0)</f>
        <v>0</v>
      </c>
      <c r="JOC54" s="5">
        <f>-IFERROR('4. NPV'!#REF!/'4. NPV'!JOD$8,0)</f>
        <v>0</v>
      </c>
      <c r="JOD54" s="5">
        <f>-IFERROR('4. NPV'!#REF!/'4. NPV'!JOE$8,0)</f>
        <v>0</v>
      </c>
      <c r="JOE54" s="5">
        <f>-IFERROR('4. NPV'!#REF!/'4. NPV'!JOF$8,0)</f>
        <v>0</v>
      </c>
      <c r="JOF54" s="5">
        <f>-IFERROR('4. NPV'!#REF!/'4. NPV'!JOG$8,0)</f>
        <v>0</v>
      </c>
      <c r="JOG54" s="5">
        <f>-IFERROR('4. NPV'!#REF!/'4. NPV'!JOH$8,0)</f>
        <v>0</v>
      </c>
      <c r="JOH54" s="5">
        <f>-IFERROR('4. NPV'!#REF!/'4. NPV'!JOI$8,0)</f>
        <v>0</v>
      </c>
      <c r="JOI54" s="5">
        <f>-IFERROR('4. NPV'!#REF!/'4. NPV'!JOJ$8,0)</f>
        <v>0</v>
      </c>
      <c r="JOJ54" s="5">
        <f>-IFERROR('4. NPV'!#REF!/'4. NPV'!JOK$8,0)</f>
        <v>0</v>
      </c>
      <c r="JOK54" s="5">
        <f>-IFERROR('4. NPV'!#REF!/'4. NPV'!JOL$8,0)</f>
        <v>0</v>
      </c>
      <c r="JOL54" s="5">
        <f>-IFERROR('4. NPV'!#REF!/'4. NPV'!JOM$8,0)</f>
        <v>0</v>
      </c>
      <c r="JOM54" s="5">
        <f>-IFERROR('4. NPV'!#REF!/'4. NPV'!JON$8,0)</f>
        <v>0</v>
      </c>
      <c r="JON54" s="5">
        <f>-IFERROR('4. NPV'!#REF!/'4. NPV'!JOO$8,0)</f>
        <v>0</v>
      </c>
      <c r="JOO54" s="5">
        <f>-IFERROR('4. NPV'!#REF!/'4. NPV'!JOP$8,0)</f>
        <v>0</v>
      </c>
      <c r="JOP54" s="5">
        <f>-IFERROR('4. NPV'!#REF!/'4. NPV'!JOQ$8,0)</f>
        <v>0</v>
      </c>
      <c r="JOQ54" s="5">
        <f>-IFERROR('4. NPV'!#REF!/'4. NPV'!JOR$8,0)</f>
        <v>0</v>
      </c>
      <c r="JOR54" s="5">
        <f>-IFERROR('4. NPV'!#REF!/'4. NPV'!JOS$8,0)</f>
        <v>0</v>
      </c>
      <c r="JOS54" s="5">
        <f>-IFERROR('4. NPV'!#REF!/'4. NPV'!JOT$8,0)</f>
        <v>0</v>
      </c>
      <c r="JOT54" s="5">
        <f>-IFERROR('4. NPV'!#REF!/'4. NPV'!JOU$8,0)</f>
        <v>0</v>
      </c>
      <c r="JOU54" s="5">
        <f>-IFERROR('4. NPV'!#REF!/'4. NPV'!JOV$8,0)</f>
        <v>0</v>
      </c>
      <c r="JOV54" s="5">
        <f>-IFERROR('4. NPV'!#REF!/'4. NPV'!JOW$8,0)</f>
        <v>0</v>
      </c>
      <c r="JOW54" s="5">
        <f>-IFERROR('4. NPV'!#REF!/'4. NPV'!JOX$8,0)</f>
        <v>0</v>
      </c>
      <c r="JOX54" s="5">
        <f>-IFERROR('4. NPV'!#REF!/'4. NPV'!JOY$8,0)</f>
        <v>0</v>
      </c>
      <c r="JOY54" s="5">
        <f>-IFERROR('4. NPV'!#REF!/'4. NPV'!JOZ$8,0)</f>
        <v>0</v>
      </c>
      <c r="JOZ54" s="5">
        <f>-IFERROR('4. NPV'!#REF!/'4. NPV'!JPA$8,0)</f>
        <v>0</v>
      </c>
      <c r="JPA54" s="5">
        <f>-IFERROR('4. NPV'!#REF!/'4. NPV'!JPB$8,0)</f>
        <v>0</v>
      </c>
      <c r="JPB54" s="5">
        <f>-IFERROR('4. NPV'!#REF!/'4. NPV'!JPC$8,0)</f>
        <v>0</v>
      </c>
      <c r="JPC54" s="5">
        <f>-IFERROR('4. NPV'!#REF!/'4. NPV'!JPD$8,0)</f>
        <v>0</v>
      </c>
      <c r="JPD54" s="5">
        <f>-IFERROR('4. NPV'!#REF!/'4. NPV'!JPE$8,0)</f>
        <v>0</v>
      </c>
      <c r="JPE54" s="5">
        <f>-IFERROR('4. NPV'!#REF!/'4. NPV'!JPF$8,0)</f>
        <v>0</v>
      </c>
      <c r="JPF54" s="5">
        <f>-IFERROR('4. NPV'!#REF!/'4. NPV'!JPG$8,0)</f>
        <v>0</v>
      </c>
      <c r="JPG54" s="5">
        <f>-IFERROR('4. NPV'!#REF!/'4. NPV'!JPH$8,0)</f>
        <v>0</v>
      </c>
      <c r="JPH54" s="5">
        <f>-IFERROR('4. NPV'!#REF!/'4. NPV'!JPI$8,0)</f>
        <v>0</v>
      </c>
      <c r="JPI54" s="5">
        <f>-IFERROR('4. NPV'!#REF!/'4. NPV'!JPJ$8,0)</f>
        <v>0</v>
      </c>
      <c r="JPJ54" s="5">
        <f>-IFERROR('4. NPV'!#REF!/'4. NPV'!JPK$8,0)</f>
        <v>0</v>
      </c>
      <c r="JPK54" s="5">
        <f>-IFERROR('4. NPV'!#REF!/'4. NPV'!JPL$8,0)</f>
        <v>0</v>
      </c>
      <c r="JPL54" s="5">
        <f>-IFERROR('4. NPV'!#REF!/'4. NPV'!JPM$8,0)</f>
        <v>0</v>
      </c>
      <c r="JPM54" s="5">
        <f>-IFERROR('4. NPV'!#REF!/'4. NPV'!JPN$8,0)</f>
        <v>0</v>
      </c>
      <c r="JPN54" s="5">
        <f>-IFERROR('4. NPV'!#REF!/'4. NPV'!JPO$8,0)</f>
        <v>0</v>
      </c>
      <c r="JPO54" s="5">
        <f>-IFERROR('4. NPV'!#REF!/'4. NPV'!JPP$8,0)</f>
        <v>0</v>
      </c>
      <c r="JPP54" s="5">
        <f>-IFERROR('4. NPV'!#REF!/'4. NPV'!JPQ$8,0)</f>
        <v>0</v>
      </c>
      <c r="JPQ54" s="5">
        <f>-IFERROR('4. NPV'!#REF!/'4. NPV'!JPR$8,0)</f>
        <v>0</v>
      </c>
      <c r="JPR54" s="5">
        <f>-IFERROR('4. NPV'!#REF!/'4. NPV'!JPS$8,0)</f>
        <v>0</v>
      </c>
      <c r="JPS54" s="5">
        <f>-IFERROR('4. NPV'!#REF!/'4. NPV'!JPT$8,0)</f>
        <v>0</v>
      </c>
      <c r="JPT54" s="5">
        <f>-IFERROR('4. NPV'!#REF!/'4. NPV'!JPU$8,0)</f>
        <v>0</v>
      </c>
      <c r="JPU54" s="5">
        <f>-IFERROR('4. NPV'!#REF!/'4. NPV'!JPV$8,0)</f>
        <v>0</v>
      </c>
      <c r="JPV54" s="5">
        <f>-IFERROR('4. NPV'!#REF!/'4. NPV'!JPW$8,0)</f>
        <v>0</v>
      </c>
      <c r="JPW54" s="5">
        <f>-IFERROR('4. NPV'!#REF!/'4. NPV'!JPX$8,0)</f>
        <v>0</v>
      </c>
      <c r="JPX54" s="5">
        <f>-IFERROR('4. NPV'!#REF!/'4. NPV'!JPY$8,0)</f>
        <v>0</v>
      </c>
      <c r="JPY54" s="5">
        <f>-IFERROR('4. NPV'!#REF!/'4. NPV'!JPZ$8,0)</f>
        <v>0</v>
      </c>
      <c r="JPZ54" s="5">
        <f>-IFERROR('4. NPV'!#REF!/'4. NPV'!JQA$8,0)</f>
        <v>0</v>
      </c>
      <c r="JQA54" s="5">
        <f>-IFERROR('4. NPV'!#REF!/'4. NPV'!JQB$8,0)</f>
        <v>0</v>
      </c>
      <c r="JQB54" s="5">
        <f>-IFERROR('4. NPV'!#REF!/'4. NPV'!JQC$8,0)</f>
        <v>0</v>
      </c>
      <c r="JQC54" s="5">
        <f>-IFERROR('4. NPV'!#REF!/'4. NPV'!JQD$8,0)</f>
        <v>0</v>
      </c>
      <c r="JQD54" s="5">
        <f>-IFERROR('4. NPV'!#REF!/'4. NPV'!JQE$8,0)</f>
        <v>0</v>
      </c>
      <c r="JQE54" s="5">
        <f>-IFERROR('4. NPV'!#REF!/'4. NPV'!JQF$8,0)</f>
        <v>0</v>
      </c>
      <c r="JQF54" s="5">
        <f>-IFERROR('4. NPV'!#REF!/'4. NPV'!JQG$8,0)</f>
        <v>0</v>
      </c>
      <c r="JQG54" s="5">
        <f>-IFERROR('4. NPV'!#REF!/'4. NPV'!JQH$8,0)</f>
        <v>0</v>
      </c>
      <c r="JQH54" s="5">
        <f>-IFERROR('4. NPV'!#REF!/'4. NPV'!JQI$8,0)</f>
        <v>0</v>
      </c>
      <c r="JQI54" s="5">
        <f>-IFERROR('4. NPV'!#REF!/'4. NPV'!JQJ$8,0)</f>
        <v>0</v>
      </c>
      <c r="JQJ54" s="5">
        <f>-IFERROR('4. NPV'!#REF!/'4. NPV'!JQK$8,0)</f>
        <v>0</v>
      </c>
      <c r="JQK54" s="5">
        <f>-IFERROR('4. NPV'!#REF!/'4. NPV'!JQL$8,0)</f>
        <v>0</v>
      </c>
      <c r="JQL54" s="5">
        <f>-IFERROR('4. NPV'!#REF!/'4. NPV'!JQM$8,0)</f>
        <v>0</v>
      </c>
      <c r="JQM54" s="5">
        <f>-IFERROR('4. NPV'!#REF!/'4. NPV'!JQN$8,0)</f>
        <v>0</v>
      </c>
      <c r="JQN54" s="5">
        <f>-IFERROR('4. NPV'!#REF!/'4. NPV'!JQO$8,0)</f>
        <v>0</v>
      </c>
      <c r="JQO54" s="5">
        <f>-IFERROR('4. NPV'!#REF!/'4. NPV'!JQP$8,0)</f>
        <v>0</v>
      </c>
      <c r="JQP54" s="5">
        <f>-IFERROR('4. NPV'!#REF!/'4. NPV'!JQQ$8,0)</f>
        <v>0</v>
      </c>
      <c r="JQQ54" s="5">
        <f>-IFERROR('4. NPV'!#REF!/'4. NPV'!JQR$8,0)</f>
        <v>0</v>
      </c>
      <c r="JQR54" s="5">
        <f>-IFERROR('4. NPV'!#REF!/'4. NPV'!JQS$8,0)</f>
        <v>0</v>
      </c>
      <c r="JQS54" s="5">
        <f>-IFERROR('4. NPV'!#REF!/'4. NPV'!JQT$8,0)</f>
        <v>0</v>
      </c>
      <c r="JQT54" s="5">
        <f>-IFERROR('4. NPV'!#REF!/'4. NPV'!JQU$8,0)</f>
        <v>0</v>
      </c>
      <c r="JQU54" s="5">
        <f>-IFERROR('4. NPV'!#REF!/'4. NPV'!JQV$8,0)</f>
        <v>0</v>
      </c>
      <c r="JQV54" s="5">
        <f>-IFERROR('4. NPV'!#REF!/'4. NPV'!JQW$8,0)</f>
        <v>0</v>
      </c>
      <c r="JQW54" s="5">
        <f>-IFERROR('4. NPV'!#REF!/'4. NPV'!JQX$8,0)</f>
        <v>0</v>
      </c>
      <c r="JQX54" s="5">
        <f>-IFERROR('4. NPV'!#REF!/'4. NPV'!JQY$8,0)</f>
        <v>0</v>
      </c>
      <c r="JQY54" s="5">
        <f>-IFERROR('4. NPV'!#REF!/'4. NPV'!JQZ$8,0)</f>
        <v>0</v>
      </c>
      <c r="JQZ54" s="5">
        <f>-IFERROR('4. NPV'!#REF!/'4. NPV'!JRA$8,0)</f>
        <v>0</v>
      </c>
      <c r="JRA54" s="5">
        <f>-IFERROR('4. NPV'!#REF!/'4. NPV'!JRB$8,0)</f>
        <v>0</v>
      </c>
      <c r="JRB54" s="5">
        <f>-IFERROR('4. NPV'!#REF!/'4. NPV'!JRC$8,0)</f>
        <v>0</v>
      </c>
      <c r="JRC54" s="5">
        <f>-IFERROR('4. NPV'!#REF!/'4. NPV'!JRD$8,0)</f>
        <v>0</v>
      </c>
      <c r="JRD54" s="5">
        <f>-IFERROR('4. NPV'!#REF!/'4. NPV'!JRE$8,0)</f>
        <v>0</v>
      </c>
      <c r="JRE54" s="5">
        <f>-IFERROR('4. NPV'!#REF!/'4. NPV'!JRF$8,0)</f>
        <v>0</v>
      </c>
      <c r="JRF54" s="5">
        <f>-IFERROR('4. NPV'!#REF!/'4. NPV'!JRG$8,0)</f>
        <v>0</v>
      </c>
      <c r="JRG54" s="5">
        <f>-IFERROR('4. NPV'!#REF!/'4. NPV'!JRH$8,0)</f>
        <v>0</v>
      </c>
      <c r="JRH54" s="5">
        <f>-IFERROR('4. NPV'!#REF!/'4. NPV'!JRI$8,0)</f>
        <v>0</v>
      </c>
      <c r="JRI54" s="5">
        <f>-IFERROR('4. NPV'!#REF!/'4. NPV'!JRJ$8,0)</f>
        <v>0</v>
      </c>
      <c r="JRJ54" s="5">
        <f>-IFERROR('4. NPV'!#REF!/'4. NPV'!JRK$8,0)</f>
        <v>0</v>
      </c>
      <c r="JRK54" s="5">
        <f>-IFERROR('4. NPV'!#REF!/'4. NPV'!JRL$8,0)</f>
        <v>0</v>
      </c>
      <c r="JRL54" s="5">
        <f>-IFERROR('4. NPV'!#REF!/'4. NPV'!JRM$8,0)</f>
        <v>0</v>
      </c>
      <c r="JRM54" s="5">
        <f>-IFERROR('4. NPV'!#REF!/'4. NPV'!JRN$8,0)</f>
        <v>0</v>
      </c>
      <c r="JRN54" s="5">
        <f>-IFERROR('4. NPV'!#REF!/'4. NPV'!JRO$8,0)</f>
        <v>0</v>
      </c>
      <c r="JRO54" s="5">
        <f>-IFERROR('4. NPV'!#REF!/'4. NPV'!JRP$8,0)</f>
        <v>0</v>
      </c>
      <c r="JRP54" s="5">
        <f>-IFERROR('4. NPV'!#REF!/'4. NPV'!JRQ$8,0)</f>
        <v>0</v>
      </c>
      <c r="JRQ54" s="5">
        <f>-IFERROR('4. NPV'!#REF!/'4. NPV'!JRR$8,0)</f>
        <v>0</v>
      </c>
      <c r="JRR54" s="5">
        <f>-IFERROR('4. NPV'!#REF!/'4. NPV'!JRS$8,0)</f>
        <v>0</v>
      </c>
      <c r="JRS54" s="5">
        <f>-IFERROR('4. NPV'!#REF!/'4. NPV'!JRT$8,0)</f>
        <v>0</v>
      </c>
      <c r="JRT54" s="5">
        <f>-IFERROR('4. NPV'!#REF!/'4. NPV'!JRU$8,0)</f>
        <v>0</v>
      </c>
      <c r="JRU54" s="5">
        <f>-IFERROR('4. NPV'!#REF!/'4. NPV'!JRV$8,0)</f>
        <v>0</v>
      </c>
      <c r="JRV54" s="5">
        <f>-IFERROR('4. NPV'!#REF!/'4. NPV'!JRW$8,0)</f>
        <v>0</v>
      </c>
      <c r="JRW54" s="5">
        <f>-IFERROR('4. NPV'!#REF!/'4. NPV'!JRX$8,0)</f>
        <v>0</v>
      </c>
      <c r="JRX54" s="5">
        <f>-IFERROR('4. NPV'!#REF!/'4. NPV'!JRY$8,0)</f>
        <v>0</v>
      </c>
      <c r="JRY54" s="5">
        <f>-IFERROR('4. NPV'!#REF!/'4. NPV'!JRZ$8,0)</f>
        <v>0</v>
      </c>
      <c r="JRZ54" s="5">
        <f>-IFERROR('4. NPV'!#REF!/'4. NPV'!JSA$8,0)</f>
        <v>0</v>
      </c>
      <c r="JSA54" s="5">
        <f>-IFERROR('4. NPV'!#REF!/'4. NPV'!JSB$8,0)</f>
        <v>0</v>
      </c>
      <c r="JSB54" s="5">
        <f>-IFERROR('4. NPV'!#REF!/'4. NPV'!JSC$8,0)</f>
        <v>0</v>
      </c>
      <c r="JSC54" s="5">
        <f>-IFERROR('4. NPV'!#REF!/'4. NPV'!JSD$8,0)</f>
        <v>0</v>
      </c>
      <c r="JSD54" s="5">
        <f>-IFERROR('4. NPV'!#REF!/'4. NPV'!JSE$8,0)</f>
        <v>0</v>
      </c>
      <c r="JSE54" s="5">
        <f>-IFERROR('4. NPV'!#REF!/'4. NPV'!JSF$8,0)</f>
        <v>0</v>
      </c>
      <c r="JSF54" s="5">
        <f>-IFERROR('4. NPV'!#REF!/'4. NPV'!JSG$8,0)</f>
        <v>0</v>
      </c>
      <c r="JSG54" s="5">
        <f>-IFERROR('4. NPV'!#REF!/'4. NPV'!JSH$8,0)</f>
        <v>0</v>
      </c>
      <c r="JSH54" s="5">
        <f>-IFERROR('4. NPV'!#REF!/'4. NPV'!JSI$8,0)</f>
        <v>0</v>
      </c>
      <c r="JSI54" s="5">
        <f>-IFERROR('4. NPV'!#REF!/'4. NPV'!JSJ$8,0)</f>
        <v>0</v>
      </c>
      <c r="JSJ54" s="5">
        <f>-IFERROR('4. NPV'!#REF!/'4. NPV'!JSK$8,0)</f>
        <v>0</v>
      </c>
      <c r="JSK54" s="5">
        <f>-IFERROR('4. NPV'!#REF!/'4. NPV'!JSL$8,0)</f>
        <v>0</v>
      </c>
      <c r="JSL54" s="5">
        <f>-IFERROR('4. NPV'!#REF!/'4. NPV'!JSM$8,0)</f>
        <v>0</v>
      </c>
      <c r="JSM54" s="5">
        <f>-IFERROR('4. NPV'!#REF!/'4. NPV'!JSN$8,0)</f>
        <v>0</v>
      </c>
      <c r="JSN54" s="5">
        <f>-IFERROR('4. NPV'!#REF!/'4. NPV'!JSO$8,0)</f>
        <v>0</v>
      </c>
      <c r="JSO54" s="5">
        <f>-IFERROR('4. NPV'!#REF!/'4. NPV'!JSP$8,0)</f>
        <v>0</v>
      </c>
      <c r="JSP54" s="5">
        <f>-IFERROR('4. NPV'!#REF!/'4. NPV'!JSQ$8,0)</f>
        <v>0</v>
      </c>
      <c r="JSQ54" s="5">
        <f>-IFERROR('4. NPV'!#REF!/'4. NPV'!JSR$8,0)</f>
        <v>0</v>
      </c>
      <c r="JSR54" s="5">
        <f>-IFERROR('4. NPV'!#REF!/'4. NPV'!JSS$8,0)</f>
        <v>0</v>
      </c>
      <c r="JSS54" s="5">
        <f>-IFERROR('4. NPV'!#REF!/'4. NPV'!JST$8,0)</f>
        <v>0</v>
      </c>
      <c r="JST54" s="5">
        <f>-IFERROR('4. NPV'!#REF!/'4. NPV'!JSU$8,0)</f>
        <v>0</v>
      </c>
      <c r="JSU54" s="5">
        <f>-IFERROR('4. NPV'!#REF!/'4. NPV'!JSV$8,0)</f>
        <v>0</v>
      </c>
      <c r="JSV54" s="5">
        <f>-IFERROR('4. NPV'!#REF!/'4. NPV'!JSW$8,0)</f>
        <v>0</v>
      </c>
      <c r="JSW54" s="5">
        <f>-IFERROR('4. NPV'!#REF!/'4. NPV'!JSX$8,0)</f>
        <v>0</v>
      </c>
      <c r="JSX54" s="5">
        <f>-IFERROR('4. NPV'!#REF!/'4. NPV'!JSY$8,0)</f>
        <v>0</v>
      </c>
      <c r="JSY54" s="5">
        <f>-IFERROR('4. NPV'!#REF!/'4. NPV'!JSZ$8,0)</f>
        <v>0</v>
      </c>
      <c r="JSZ54" s="5">
        <f>-IFERROR('4. NPV'!#REF!/'4. NPV'!JTA$8,0)</f>
        <v>0</v>
      </c>
      <c r="JTA54" s="5">
        <f>-IFERROR('4. NPV'!#REF!/'4. NPV'!JTB$8,0)</f>
        <v>0</v>
      </c>
      <c r="JTB54" s="5">
        <f>-IFERROR('4. NPV'!#REF!/'4. NPV'!JTC$8,0)</f>
        <v>0</v>
      </c>
      <c r="JTC54" s="5">
        <f>-IFERROR('4. NPV'!#REF!/'4. NPV'!JTD$8,0)</f>
        <v>0</v>
      </c>
      <c r="JTD54" s="5">
        <f>-IFERROR('4. NPV'!#REF!/'4. NPV'!JTE$8,0)</f>
        <v>0</v>
      </c>
      <c r="JTE54" s="5">
        <f>-IFERROR('4. NPV'!#REF!/'4. NPV'!JTF$8,0)</f>
        <v>0</v>
      </c>
      <c r="JTF54" s="5">
        <f>-IFERROR('4. NPV'!#REF!/'4. NPV'!JTG$8,0)</f>
        <v>0</v>
      </c>
      <c r="JTG54" s="5">
        <f>-IFERROR('4. NPV'!#REF!/'4. NPV'!JTH$8,0)</f>
        <v>0</v>
      </c>
      <c r="JTH54" s="5">
        <f>-IFERROR('4. NPV'!#REF!/'4. NPV'!JTI$8,0)</f>
        <v>0</v>
      </c>
      <c r="JTI54" s="5">
        <f>-IFERROR('4. NPV'!#REF!/'4. NPV'!JTJ$8,0)</f>
        <v>0</v>
      </c>
      <c r="JTJ54" s="5">
        <f>-IFERROR('4. NPV'!#REF!/'4. NPV'!JTK$8,0)</f>
        <v>0</v>
      </c>
      <c r="JTK54" s="5">
        <f>-IFERROR('4. NPV'!#REF!/'4. NPV'!JTL$8,0)</f>
        <v>0</v>
      </c>
      <c r="JTL54" s="5">
        <f>-IFERROR('4. NPV'!#REF!/'4. NPV'!JTM$8,0)</f>
        <v>0</v>
      </c>
      <c r="JTM54" s="5">
        <f>-IFERROR('4. NPV'!#REF!/'4. NPV'!JTN$8,0)</f>
        <v>0</v>
      </c>
      <c r="JTN54" s="5">
        <f>-IFERROR('4. NPV'!#REF!/'4. NPV'!JTO$8,0)</f>
        <v>0</v>
      </c>
      <c r="JTO54" s="5">
        <f>-IFERROR('4. NPV'!#REF!/'4. NPV'!JTP$8,0)</f>
        <v>0</v>
      </c>
      <c r="JTP54" s="5">
        <f>-IFERROR('4. NPV'!#REF!/'4. NPV'!JTQ$8,0)</f>
        <v>0</v>
      </c>
      <c r="JTQ54" s="5">
        <f>-IFERROR('4. NPV'!#REF!/'4. NPV'!JTR$8,0)</f>
        <v>0</v>
      </c>
      <c r="JTR54" s="5">
        <f>-IFERROR('4. NPV'!#REF!/'4. NPV'!JTS$8,0)</f>
        <v>0</v>
      </c>
      <c r="JTS54" s="5">
        <f>-IFERROR('4. NPV'!#REF!/'4. NPV'!JTT$8,0)</f>
        <v>0</v>
      </c>
      <c r="JTT54" s="5">
        <f>-IFERROR('4. NPV'!#REF!/'4. NPV'!JTU$8,0)</f>
        <v>0</v>
      </c>
      <c r="JTU54" s="5">
        <f>-IFERROR('4. NPV'!#REF!/'4. NPV'!JTV$8,0)</f>
        <v>0</v>
      </c>
      <c r="JTV54" s="5">
        <f>-IFERROR('4. NPV'!#REF!/'4. NPV'!JTW$8,0)</f>
        <v>0</v>
      </c>
      <c r="JTW54" s="5">
        <f>-IFERROR('4. NPV'!#REF!/'4. NPV'!JTX$8,0)</f>
        <v>0</v>
      </c>
      <c r="JTX54" s="5">
        <f>-IFERROR('4. NPV'!#REF!/'4. NPV'!JTY$8,0)</f>
        <v>0</v>
      </c>
      <c r="JTY54" s="5">
        <f>-IFERROR('4. NPV'!#REF!/'4. NPV'!JTZ$8,0)</f>
        <v>0</v>
      </c>
      <c r="JTZ54" s="5">
        <f>-IFERROR('4. NPV'!#REF!/'4. NPV'!JUA$8,0)</f>
        <v>0</v>
      </c>
      <c r="JUA54" s="5">
        <f>-IFERROR('4. NPV'!#REF!/'4. NPV'!JUB$8,0)</f>
        <v>0</v>
      </c>
      <c r="JUB54" s="5">
        <f>-IFERROR('4. NPV'!#REF!/'4. NPV'!JUC$8,0)</f>
        <v>0</v>
      </c>
      <c r="JUC54" s="5">
        <f>-IFERROR('4. NPV'!#REF!/'4. NPV'!JUD$8,0)</f>
        <v>0</v>
      </c>
      <c r="JUD54" s="5">
        <f>-IFERROR('4. NPV'!#REF!/'4. NPV'!JUE$8,0)</f>
        <v>0</v>
      </c>
      <c r="JUE54" s="5">
        <f>-IFERROR('4. NPV'!#REF!/'4. NPV'!JUF$8,0)</f>
        <v>0</v>
      </c>
      <c r="JUF54" s="5">
        <f>-IFERROR('4. NPV'!#REF!/'4. NPV'!JUG$8,0)</f>
        <v>0</v>
      </c>
      <c r="JUG54" s="5">
        <f>-IFERROR('4. NPV'!#REF!/'4. NPV'!JUH$8,0)</f>
        <v>0</v>
      </c>
      <c r="JUH54" s="5">
        <f>-IFERROR('4. NPV'!#REF!/'4. NPV'!JUI$8,0)</f>
        <v>0</v>
      </c>
      <c r="JUI54" s="5">
        <f>-IFERROR('4. NPV'!#REF!/'4. NPV'!JUJ$8,0)</f>
        <v>0</v>
      </c>
      <c r="JUJ54" s="5">
        <f>-IFERROR('4. NPV'!#REF!/'4. NPV'!JUK$8,0)</f>
        <v>0</v>
      </c>
      <c r="JUK54" s="5">
        <f>-IFERROR('4. NPV'!#REF!/'4. NPV'!JUL$8,0)</f>
        <v>0</v>
      </c>
      <c r="JUL54" s="5">
        <f>-IFERROR('4. NPV'!#REF!/'4. NPV'!JUM$8,0)</f>
        <v>0</v>
      </c>
      <c r="JUM54" s="5">
        <f>-IFERROR('4. NPV'!#REF!/'4. NPV'!JUN$8,0)</f>
        <v>0</v>
      </c>
      <c r="JUN54" s="5">
        <f>-IFERROR('4. NPV'!#REF!/'4. NPV'!JUO$8,0)</f>
        <v>0</v>
      </c>
      <c r="JUO54" s="5">
        <f>-IFERROR('4. NPV'!#REF!/'4. NPV'!JUP$8,0)</f>
        <v>0</v>
      </c>
      <c r="JUP54" s="5">
        <f>-IFERROR('4. NPV'!#REF!/'4. NPV'!JUQ$8,0)</f>
        <v>0</v>
      </c>
      <c r="JUQ54" s="5">
        <f>-IFERROR('4. NPV'!#REF!/'4. NPV'!JUR$8,0)</f>
        <v>0</v>
      </c>
      <c r="JUR54" s="5">
        <f>-IFERROR('4. NPV'!#REF!/'4. NPV'!JUS$8,0)</f>
        <v>0</v>
      </c>
      <c r="JUS54" s="5">
        <f>-IFERROR('4. NPV'!#REF!/'4. NPV'!JUT$8,0)</f>
        <v>0</v>
      </c>
      <c r="JUT54" s="5">
        <f>-IFERROR('4. NPV'!#REF!/'4. NPV'!JUU$8,0)</f>
        <v>0</v>
      </c>
      <c r="JUU54" s="5">
        <f>-IFERROR('4. NPV'!#REF!/'4. NPV'!JUV$8,0)</f>
        <v>0</v>
      </c>
      <c r="JUV54" s="5">
        <f>-IFERROR('4. NPV'!#REF!/'4. NPV'!JUW$8,0)</f>
        <v>0</v>
      </c>
      <c r="JUW54" s="5">
        <f>-IFERROR('4. NPV'!#REF!/'4. NPV'!JUX$8,0)</f>
        <v>0</v>
      </c>
      <c r="JUX54" s="5">
        <f>-IFERROR('4. NPV'!#REF!/'4. NPV'!JUY$8,0)</f>
        <v>0</v>
      </c>
      <c r="JUY54" s="5">
        <f>-IFERROR('4. NPV'!#REF!/'4. NPV'!JUZ$8,0)</f>
        <v>0</v>
      </c>
      <c r="JUZ54" s="5">
        <f>-IFERROR('4. NPV'!#REF!/'4. NPV'!JVA$8,0)</f>
        <v>0</v>
      </c>
      <c r="JVA54" s="5">
        <f>-IFERROR('4. NPV'!#REF!/'4. NPV'!JVB$8,0)</f>
        <v>0</v>
      </c>
      <c r="JVB54" s="5">
        <f>-IFERROR('4. NPV'!#REF!/'4. NPV'!JVC$8,0)</f>
        <v>0</v>
      </c>
      <c r="JVC54" s="5">
        <f>-IFERROR('4. NPV'!#REF!/'4. NPV'!JVD$8,0)</f>
        <v>0</v>
      </c>
      <c r="JVD54" s="5">
        <f>-IFERROR('4. NPV'!#REF!/'4. NPV'!JVE$8,0)</f>
        <v>0</v>
      </c>
      <c r="JVE54" s="5">
        <f>-IFERROR('4. NPV'!#REF!/'4. NPV'!JVF$8,0)</f>
        <v>0</v>
      </c>
      <c r="JVF54" s="5">
        <f>-IFERROR('4. NPV'!#REF!/'4. NPV'!JVG$8,0)</f>
        <v>0</v>
      </c>
      <c r="JVG54" s="5">
        <f>-IFERROR('4. NPV'!#REF!/'4. NPV'!JVH$8,0)</f>
        <v>0</v>
      </c>
      <c r="JVH54" s="5">
        <f>-IFERROR('4. NPV'!#REF!/'4. NPV'!JVI$8,0)</f>
        <v>0</v>
      </c>
      <c r="JVI54" s="5">
        <f>-IFERROR('4. NPV'!#REF!/'4. NPV'!JVJ$8,0)</f>
        <v>0</v>
      </c>
      <c r="JVJ54" s="5">
        <f>-IFERROR('4. NPV'!#REF!/'4. NPV'!JVK$8,0)</f>
        <v>0</v>
      </c>
      <c r="JVK54" s="5">
        <f>-IFERROR('4. NPV'!#REF!/'4. NPV'!JVL$8,0)</f>
        <v>0</v>
      </c>
      <c r="JVL54" s="5">
        <f>-IFERROR('4. NPV'!#REF!/'4. NPV'!JVM$8,0)</f>
        <v>0</v>
      </c>
      <c r="JVM54" s="5">
        <f>-IFERROR('4. NPV'!#REF!/'4. NPV'!JVN$8,0)</f>
        <v>0</v>
      </c>
      <c r="JVN54" s="5">
        <f>-IFERROR('4. NPV'!#REF!/'4. NPV'!JVO$8,0)</f>
        <v>0</v>
      </c>
      <c r="JVO54" s="5">
        <f>-IFERROR('4. NPV'!#REF!/'4. NPV'!JVP$8,0)</f>
        <v>0</v>
      </c>
      <c r="JVP54" s="5">
        <f>-IFERROR('4. NPV'!#REF!/'4. NPV'!JVQ$8,0)</f>
        <v>0</v>
      </c>
      <c r="JVQ54" s="5">
        <f>-IFERROR('4. NPV'!#REF!/'4. NPV'!JVR$8,0)</f>
        <v>0</v>
      </c>
      <c r="JVR54" s="5">
        <f>-IFERROR('4. NPV'!#REF!/'4. NPV'!JVS$8,0)</f>
        <v>0</v>
      </c>
      <c r="JVS54" s="5">
        <f>-IFERROR('4. NPV'!#REF!/'4. NPV'!JVT$8,0)</f>
        <v>0</v>
      </c>
      <c r="JVT54" s="5">
        <f>-IFERROR('4. NPV'!#REF!/'4. NPV'!JVU$8,0)</f>
        <v>0</v>
      </c>
      <c r="JVU54" s="5">
        <f>-IFERROR('4. NPV'!#REF!/'4. NPV'!JVV$8,0)</f>
        <v>0</v>
      </c>
      <c r="JVV54" s="5">
        <f>-IFERROR('4. NPV'!#REF!/'4. NPV'!JVW$8,0)</f>
        <v>0</v>
      </c>
      <c r="JVW54" s="5">
        <f>-IFERROR('4. NPV'!#REF!/'4. NPV'!JVX$8,0)</f>
        <v>0</v>
      </c>
      <c r="JVX54" s="5">
        <f>-IFERROR('4. NPV'!#REF!/'4. NPV'!JVY$8,0)</f>
        <v>0</v>
      </c>
      <c r="JVY54" s="5">
        <f>-IFERROR('4. NPV'!#REF!/'4. NPV'!JVZ$8,0)</f>
        <v>0</v>
      </c>
      <c r="JVZ54" s="5">
        <f>-IFERROR('4. NPV'!#REF!/'4. NPV'!JWA$8,0)</f>
        <v>0</v>
      </c>
      <c r="JWA54" s="5">
        <f>-IFERROR('4. NPV'!#REF!/'4. NPV'!JWB$8,0)</f>
        <v>0</v>
      </c>
      <c r="JWB54" s="5">
        <f>-IFERROR('4. NPV'!#REF!/'4. NPV'!JWC$8,0)</f>
        <v>0</v>
      </c>
      <c r="JWC54" s="5">
        <f>-IFERROR('4. NPV'!#REF!/'4. NPV'!JWD$8,0)</f>
        <v>0</v>
      </c>
      <c r="JWD54" s="5">
        <f>-IFERROR('4. NPV'!#REF!/'4. NPV'!JWE$8,0)</f>
        <v>0</v>
      </c>
      <c r="JWE54" s="5">
        <f>-IFERROR('4. NPV'!#REF!/'4. NPV'!JWF$8,0)</f>
        <v>0</v>
      </c>
      <c r="JWF54" s="5">
        <f>-IFERROR('4. NPV'!#REF!/'4. NPV'!JWG$8,0)</f>
        <v>0</v>
      </c>
      <c r="JWG54" s="5">
        <f>-IFERROR('4. NPV'!#REF!/'4. NPV'!JWH$8,0)</f>
        <v>0</v>
      </c>
      <c r="JWH54" s="5">
        <f>-IFERROR('4. NPV'!#REF!/'4. NPV'!JWI$8,0)</f>
        <v>0</v>
      </c>
      <c r="JWI54" s="5">
        <f>-IFERROR('4. NPV'!#REF!/'4. NPV'!JWJ$8,0)</f>
        <v>0</v>
      </c>
      <c r="JWJ54" s="5">
        <f>-IFERROR('4. NPV'!#REF!/'4. NPV'!JWK$8,0)</f>
        <v>0</v>
      </c>
      <c r="JWK54" s="5">
        <f>-IFERROR('4. NPV'!#REF!/'4. NPV'!JWL$8,0)</f>
        <v>0</v>
      </c>
      <c r="JWL54" s="5">
        <f>-IFERROR('4. NPV'!#REF!/'4. NPV'!JWM$8,0)</f>
        <v>0</v>
      </c>
      <c r="JWM54" s="5">
        <f>-IFERROR('4. NPV'!#REF!/'4. NPV'!JWN$8,0)</f>
        <v>0</v>
      </c>
      <c r="JWN54" s="5">
        <f>-IFERROR('4. NPV'!#REF!/'4. NPV'!JWO$8,0)</f>
        <v>0</v>
      </c>
      <c r="JWO54" s="5">
        <f>-IFERROR('4. NPV'!#REF!/'4. NPV'!JWP$8,0)</f>
        <v>0</v>
      </c>
      <c r="JWP54" s="5">
        <f>-IFERROR('4. NPV'!#REF!/'4. NPV'!JWQ$8,0)</f>
        <v>0</v>
      </c>
      <c r="JWQ54" s="5">
        <f>-IFERROR('4. NPV'!#REF!/'4. NPV'!JWR$8,0)</f>
        <v>0</v>
      </c>
      <c r="JWR54" s="5">
        <f>-IFERROR('4. NPV'!#REF!/'4. NPV'!JWS$8,0)</f>
        <v>0</v>
      </c>
      <c r="JWS54" s="5">
        <f>-IFERROR('4. NPV'!#REF!/'4. NPV'!JWT$8,0)</f>
        <v>0</v>
      </c>
      <c r="JWT54" s="5">
        <f>-IFERROR('4. NPV'!#REF!/'4. NPV'!JWU$8,0)</f>
        <v>0</v>
      </c>
      <c r="JWU54" s="5">
        <f>-IFERROR('4. NPV'!#REF!/'4. NPV'!JWV$8,0)</f>
        <v>0</v>
      </c>
      <c r="JWV54" s="5">
        <f>-IFERROR('4. NPV'!#REF!/'4. NPV'!JWW$8,0)</f>
        <v>0</v>
      </c>
      <c r="JWW54" s="5">
        <f>-IFERROR('4. NPV'!#REF!/'4. NPV'!JWX$8,0)</f>
        <v>0</v>
      </c>
      <c r="JWX54" s="5">
        <f>-IFERROR('4. NPV'!#REF!/'4. NPV'!JWY$8,0)</f>
        <v>0</v>
      </c>
      <c r="JWY54" s="5">
        <f>-IFERROR('4. NPV'!#REF!/'4. NPV'!JWZ$8,0)</f>
        <v>0</v>
      </c>
      <c r="JWZ54" s="5">
        <f>-IFERROR('4. NPV'!#REF!/'4. NPV'!JXA$8,0)</f>
        <v>0</v>
      </c>
      <c r="JXA54" s="5">
        <f>-IFERROR('4. NPV'!#REF!/'4. NPV'!JXB$8,0)</f>
        <v>0</v>
      </c>
      <c r="JXB54" s="5">
        <f>-IFERROR('4. NPV'!#REF!/'4. NPV'!JXC$8,0)</f>
        <v>0</v>
      </c>
      <c r="JXC54" s="5">
        <f>-IFERROR('4. NPV'!#REF!/'4. NPV'!JXD$8,0)</f>
        <v>0</v>
      </c>
      <c r="JXD54" s="5">
        <f>-IFERROR('4. NPV'!#REF!/'4. NPV'!JXE$8,0)</f>
        <v>0</v>
      </c>
      <c r="JXE54" s="5">
        <f>-IFERROR('4. NPV'!#REF!/'4. NPV'!JXF$8,0)</f>
        <v>0</v>
      </c>
      <c r="JXF54" s="5">
        <f>-IFERROR('4. NPV'!#REF!/'4. NPV'!JXG$8,0)</f>
        <v>0</v>
      </c>
      <c r="JXG54" s="5">
        <f>-IFERROR('4. NPV'!#REF!/'4. NPV'!JXH$8,0)</f>
        <v>0</v>
      </c>
      <c r="JXH54" s="5">
        <f>-IFERROR('4. NPV'!#REF!/'4. NPV'!JXI$8,0)</f>
        <v>0</v>
      </c>
      <c r="JXI54" s="5">
        <f>-IFERROR('4. NPV'!#REF!/'4. NPV'!JXJ$8,0)</f>
        <v>0</v>
      </c>
      <c r="JXJ54" s="5">
        <f>-IFERROR('4. NPV'!#REF!/'4. NPV'!JXK$8,0)</f>
        <v>0</v>
      </c>
      <c r="JXK54" s="5">
        <f>-IFERROR('4. NPV'!#REF!/'4. NPV'!JXL$8,0)</f>
        <v>0</v>
      </c>
      <c r="JXL54" s="5">
        <f>-IFERROR('4. NPV'!#REF!/'4. NPV'!JXM$8,0)</f>
        <v>0</v>
      </c>
      <c r="JXM54" s="5">
        <f>-IFERROR('4. NPV'!#REF!/'4. NPV'!JXN$8,0)</f>
        <v>0</v>
      </c>
      <c r="JXN54" s="5">
        <f>-IFERROR('4. NPV'!#REF!/'4. NPV'!JXO$8,0)</f>
        <v>0</v>
      </c>
      <c r="JXO54" s="5">
        <f>-IFERROR('4. NPV'!#REF!/'4. NPV'!JXP$8,0)</f>
        <v>0</v>
      </c>
      <c r="JXP54" s="5">
        <f>-IFERROR('4. NPV'!#REF!/'4. NPV'!JXQ$8,0)</f>
        <v>0</v>
      </c>
      <c r="JXQ54" s="5">
        <f>-IFERROR('4. NPV'!#REF!/'4. NPV'!JXR$8,0)</f>
        <v>0</v>
      </c>
      <c r="JXR54" s="5">
        <f>-IFERROR('4. NPV'!#REF!/'4. NPV'!JXS$8,0)</f>
        <v>0</v>
      </c>
      <c r="JXS54" s="5">
        <f>-IFERROR('4. NPV'!#REF!/'4. NPV'!JXT$8,0)</f>
        <v>0</v>
      </c>
      <c r="JXT54" s="5">
        <f>-IFERROR('4. NPV'!#REF!/'4. NPV'!JXU$8,0)</f>
        <v>0</v>
      </c>
      <c r="JXU54" s="5">
        <f>-IFERROR('4. NPV'!#REF!/'4. NPV'!JXV$8,0)</f>
        <v>0</v>
      </c>
      <c r="JXV54" s="5">
        <f>-IFERROR('4. NPV'!#REF!/'4. NPV'!JXW$8,0)</f>
        <v>0</v>
      </c>
      <c r="JXW54" s="5">
        <f>-IFERROR('4. NPV'!#REF!/'4. NPV'!JXX$8,0)</f>
        <v>0</v>
      </c>
      <c r="JXX54" s="5">
        <f>-IFERROR('4. NPV'!#REF!/'4. NPV'!JXY$8,0)</f>
        <v>0</v>
      </c>
      <c r="JXY54" s="5">
        <f>-IFERROR('4. NPV'!#REF!/'4. NPV'!JXZ$8,0)</f>
        <v>0</v>
      </c>
      <c r="JXZ54" s="5">
        <f>-IFERROR('4. NPV'!#REF!/'4. NPV'!JYA$8,0)</f>
        <v>0</v>
      </c>
      <c r="JYA54" s="5">
        <f>-IFERROR('4. NPV'!#REF!/'4. NPV'!JYB$8,0)</f>
        <v>0</v>
      </c>
      <c r="JYB54" s="5">
        <f>-IFERROR('4. NPV'!#REF!/'4. NPV'!JYC$8,0)</f>
        <v>0</v>
      </c>
      <c r="JYC54" s="5">
        <f>-IFERROR('4. NPV'!#REF!/'4. NPV'!JYD$8,0)</f>
        <v>0</v>
      </c>
      <c r="JYD54" s="5">
        <f>-IFERROR('4. NPV'!#REF!/'4. NPV'!JYE$8,0)</f>
        <v>0</v>
      </c>
      <c r="JYE54" s="5">
        <f>-IFERROR('4. NPV'!#REF!/'4. NPV'!JYF$8,0)</f>
        <v>0</v>
      </c>
      <c r="JYF54" s="5">
        <f>-IFERROR('4. NPV'!#REF!/'4. NPV'!JYG$8,0)</f>
        <v>0</v>
      </c>
      <c r="JYG54" s="5">
        <f>-IFERROR('4. NPV'!#REF!/'4. NPV'!JYH$8,0)</f>
        <v>0</v>
      </c>
      <c r="JYH54" s="5">
        <f>-IFERROR('4. NPV'!#REF!/'4. NPV'!JYI$8,0)</f>
        <v>0</v>
      </c>
      <c r="JYI54" s="5">
        <f>-IFERROR('4. NPV'!#REF!/'4. NPV'!JYJ$8,0)</f>
        <v>0</v>
      </c>
      <c r="JYJ54" s="5">
        <f>-IFERROR('4. NPV'!#REF!/'4. NPV'!JYK$8,0)</f>
        <v>0</v>
      </c>
      <c r="JYK54" s="5">
        <f>-IFERROR('4. NPV'!#REF!/'4. NPV'!JYL$8,0)</f>
        <v>0</v>
      </c>
      <c r="JYL54" s="5">
        <f>-IFERROR('4. NPV'!#REF!/'4. NPV'!JYM$8,0)</f>
        <v>0</v>
      </c>
      <c r="JYM54" s="5">
        <f>-IFERROR('4. NPV'!#REF!/'4. NPV'!JYN$8,0)</f>
        <v>0</v>
      </c>
      <c r="JYN54" s="5">
        <f>-IFERROR('4. NPV'!#REF!/'4. NPV'!JYO$8,0)</f>
        <v>0</v>
      </c>
      <c r="JYO54" s="5">
        <f>-IFERROR('4. NPV'!#REF!/'4. NPV'!JYP$8,0)</f>
        <v>0</v>
      </c>
      <c r="JYP54" s="5">
        <f>-IFERROR('4. NPV'!#REF!/'4. NPV'!JYQ$8,0)</f>
        <v>0</v>
      </c>
      <c r="JYQ54" s="5">
        <f>-IFERROR('4. NPV'!#REF!/'4. NPV'!JYR$8,0)</f>
        <v>0</v>
      </c>
      <c r="JYR54" s="5">
        <f>-IFERROR('4. NPV'!#REF!/'4. NPV'!JYS$8,0)</f>
        <v>0</v>
      </c>
      <c r="JYS54" s="5">
        <f>-IFERROR('4. NPV'!#REF!/'4. NPV'!JYT$8,0)</f>
        <v>0</v>
      </c>
      <c r="JYT54" s="5">
        <f>-IFERROR('4. NPV'!#REF!/'4. NPV'!JYU$8,0)</f>
        <v>0</v>
      </c>
      <c r="JYU54" s="5">
        <f>-IFERROR('4. NPV'!#REF!/'4. NPV'!JYV$8,0)</f>
        <v>0</v>
      </c>
      <c r="JYV54" s="5">
        <f>-IFERROR('4. NPV'!#REF!/'4. NPV'!JYW$8,0)</f>
        <v>0</v>
      </c>
      <c r="JYW54" s="5">
        <f>-IFERROR('4. NPV'!#REF!/'4. NPV'!JYX$8,0)</f>
        <v>0</v>
      </c>
      <c r="JYX54" s="5">
        <f>-IFERROR('4. NPV'!#REF!/'4. NPV'!JYY$8,0)</f>
        <v>0</v>
      </c>
      <c r="JYY54" s="5">
        <f>-IFERROR('4. NPV'!#REF!/'4. NPV'!JYZ$8,0)</f>
        <v>0</v>
      </c>
      <c r="JYZ54" s="5">
        <f>-IFERROR('4. NPV'!#REF!/'4. NPV'!JZA$8,0)</f>
        <v>0</v>
      </c>
      <c r="JZA54" s="5">
        <f>-IFERROR('4. NPV'!#REF!/'4. NPV'!JZB$8,0)</f>
        <v>0</v>
      </c>
      <c r="JZB54" s="5">
        <f>-IFERROR('4. NPV'!#REF!/'4. NPV'!JZC$8,0)</f>
        <v>0</v>
      </c>
      <c r="JZC54" s="5">
        <f>-IFERROR('4. NPV'!#REF!/'4. NPV'!JZD$8,0)</f>
        <v>0</v>
      </c>
      <c r="JZD54" s="5">
        <f>-IFERROR('4. NPV'!#REF!/'4. NPV'!JZE$8,0)</f>
        <v>0</v>
      </c>
      <c r="JZE54" s="5">
        <f>-IFERROR('4. NPV'!#REF!/'4. NPV'!JZF$8,0)</f>
        <v>0</v>
      </c>
      <c r="JZF54" s="5">
        <f>-IFERROR('4. NPV'!#REF!/'4. NPV'!JZG$8,0)</f>
        <v>0</v>
      </c>
      <c r="JZG54" s="5">
        <f>-IFERROR('4. NPV'!#REF!/'4. NPV'!JZH$8,0)</f>
        <v>0</v>
      </c>
      <c r="JZH54" s="5">
        <f>-IFERROR('4. NPV'!#REF!/'4. NPV'!JZI$8,0)</f>
        <v>0</v>
      </c>
      <c r="JZI54" s="5">
        <f>-IFERROR('4. NPV'!#REF!/'4. NPV'!JZJ$8,0)</f>
        <v>0</v>
      </c>
      <c r="JZJ54" s="5">
        <f>-IFERROR('4. NPV'!#REF!/'4. NPV'!JZK$8,0)</f>
        <v>0</v>
      </c>
      <c r="JZK54" s="5">
        <f>-IFERROR('4. NPV'!#REF!/'4. NPV'!JZL$8,0)</f>
        <v>0</v>
      </c>
      <c r="JZL54" s="5">
        <f>-IFERROR('4. NPV'!#REF!/'4. NPV'!JZM$8,0)</f>
        <v>0</v>
      </c>
      <c r="JZM54" s="5">
        <f>-IFERROR('4. NPV'!#REF!/'4. NPV'!JZN$8,0)</f>
        <v>0</v>
      </c>
      <c r="JZN54" s="5">
        <f>-IFERROR('4. NPV'!#REF!/'4. NPV'!JZO$8,0)</f>
        <v>0</v>
      </c>
      <c r="JZO54" s="5">
        <f>-IFERROR('4. NPV'!#REF!/'4. NPV'!JZP$8,0)</f>
        <v>0</v>
      </c>
      <c r="JZP54" s="5">
        <f>-IFERROR('4. NPV'!#REF!/'4. NPV'!JZQ$8,0)</f>
        <v>0</v>
      </c>
      <c r="JZQ54" s="5">
        <f>-IFERROR('4. NPV'!#REF!/'4. NPV'!JZR$8,0)</f>
        <v>0</v>
      </c>
      <c r="JZR54" s="5">
        <f>-IFERROR('4. NPV'!#REF!/'4. NPV'!JZS$8,0)</f>
        <v>0</v>
      </c>
      <c r="JZS54" s="5">
        <f>-IFERROR('4. NPV'!#REF!/'4. NPV'!JZT$8,0)</f>
        <v>0</v>
      </c>
      <c r="JZT54" s="5">
        <f>-IFERROR('4. NPV'!#REF!/'4. NPV'!JZU$8,0)</f>
        <v>0</v>
      </c>
      <c r="JZU54" s="5">
        <f>-IFERROR('4. NPV'!#REF!/'4. NPV'!JZV$8,0)</f>
        <v>0</v>
      </c>
      <c r="JZV54" s="5">
        <f>-IFERROR('4. NPV'!#REF!/'4. NPV'!JZW$8,0)</f>
        <v>0</v>
      </c>
      <c r="JZW54" s="5">
        <f>-IFERROR('4. NPV'!#REF!/'4. NPV'!JZX$8,0)</f>
        <v>0</v>
      </c>
      <c r="JZX54" s="5">
        <f>-IFERROR('4. NPV'!#REF!/'4. NPV'!JZY$8,0)</f>
        <v>0</v>
      </c>
      <c r="JZY54" s="5">
        <f>-IFERROR('4. NPV'!#REF!/'4. NPV'!JZZ$8,0)</f>
        <v>0</v>
      </c>
      <c r="JZZ54" s="5">
        <f>-IFERROR('4. NPV'!#REF!/'4. NPV'!KAA$8,0)</f>
        <v>0</v>
      </c>
      <c r="KAA54" s="5">
        <f>-IFERROR('4. NPV'!#REF!/'4. NPV'!KAB$8,0)</f>
        <v>0</v>
      </c>
      <c r="KAB54" s="5">
        <f>-IFERROR('4. NPV'!#REF!/'4. NPV'!KAC$8,0)</f>
        <v>0</v>
      </c>
      <c r="KAC54" s="5">
        <f>-IFERROR('4. NPV'!#REF!/'4. NPV'!KAD$8,0)</f>
        <v>0</v>
      </c>
      <c r="KAD54" s="5">
        <f>-IFERROR('4. NPV'!#REF!/'4. NPV'!KAE$8,0)</f>
        <v>0</v>
      </c>
      <c r="KAE54" s="5">
        <f>-IFERROR('4. NPV'!#REF!/'4. NPV'!KAF$8,0)</f>
        <v>0</v>
      </c>
      <c r="KAF54" s="5">
        <f>-IFERROR('4. NPV'!#REF!/'4. NPV'!KAG$8,0)</f>
        <v>0</v>
      </c>
      <c r="KAG54" s="5">
        <f>-IFERROR('4. NPV'!#REF!/'4. NPV'!KAH$8,0)</f>
        <v>0</v>
      </c>
      <c r="KAH54" s="5">
        <f>-IFERROR('4. NPV'!#REF!/'4. NPV'!KAI$8,0)</f>
        <v>0</v>
      </c>
      <c r="KAI54" s="5">
        <f>-IFERROR('4. NPV'!#REF!/'4. NPV'!KAJ$8,0)</f>
        <v>0</v>
      </c>
      <c r="KAJ54" s="5">
        <f>-IFERROR('4. NPV'!#REF!/'4. NPV'!KAK$8,0)</f>
        <v>0</v>
      </c>
      <c r="KAK54" s="5">
        <f>-IFERROR('4. NPV'!#REF!/'4. NPV'!KAL$8,0)</f>
        <v>0</v>
      </c>
      <c r="KAL54" s="5">
        <f>-IFERROR('4. NPV'!#REF!/'4. NPV'!KAM$8,0)</f>
        <v>0</v>
      </c>
      <c r="KAM54" s="5">
        <f>-IFERROR('4. NPV'!#REF!/'4. NPV'!KAN$8,0)</f>
        <v>0</v>
      </c>
      <c r="KAN54" s="5">
        <f>-IFERROR('4. NPV'!#REF!/'4. NPV'!KAO$8,0)</f>
        <v>0</v>
      </c>
      <c r="KAO54" s="5">
        <f>-IFERROR('4. NPV'!#REF!/'4. NPV'!KAP$8,0)</f>
        <v>0</v>
      </c>
      <c r="KAP54" s="5">
        <f>-IFERROR('4. NPV'!#REF!/'4. NPV'!KAQ$8,0)</f>
        <v>0</v>
      </c>
      <c r="KAQ54" s="5">
        <f>-IFERROR('4. NPV'!#REF!/'4. NPV'!KAR$8,0)</f>
        <v>0</v>
      </c>
      <c r="KAR54" s="5">
        <f>-IFERROR('4. NPV'!#REF!/'4. NPV'!KAS$8,0)</f>
        <v>0</v>
      </c>
      <c r="KAS54" s="5">
        <f>-IFERROR('4. NPV'!#REF!/'4. NPV'!KAT$8,0)</f>
        <v>0</v>
      </c>
      <c r="KAT54" s="5">
        <f>-IFERROR('4. NPV'!#REF!/'4. NPV'!KAU$8,0)</f>
        <v>0</v>
      </c>
      <c r="KAU54" s="5">
        <f>-IFERROR('4. NPV'!#REF!/'4. NPV'!KAV$8,0)</f>
        <v>0</v>
      </c>
      <c r="KAV54" s="5">
        <f>-IFERROR('4. NPV'!#REF!/'4. NPV'!KAW$8,0)</f>
        <v>0</v>
      </c>
      <c r="KAW54" s="5">
        <f>-IFERROR('4. NPV'!#REF!/'4. NPV'!KAX$8,0)</f>
        <v>0</v>
      </c>
      <c r="KAX54" s="5">
        <f>-IFERROR('4. NPV'!#REF!/'4. NPV'!KAY$8,0)</f>
        <v>0</v>
      </c>
      <c r="KAY54" s="5">
        <f>-IFERROR('4. NPV'!#REF!/'4. NPV'!KAZ$8,0)</f>
        <v>0</v>
      </c>
      <c r="KAZ54" s="5">
        <f>-IFERROR('4. NPV'!#REF!/'4. NPV'!KBA$8,0)</f>
        <v>0</v>
      </c>
      <c r="KBA54" s="5">
        <f>-IFERROR('4. NPV'!#REF!/'4. NPV'!KBB$8,0)</f>
        <v>0</v>
      </c>
      <c r="KBB54" s="5">
        <f>-IFERROR('4. NPV'!#REF!/'4. NPV'!KBC$8,0)</f>
        <v>0</v>
      </c>
      <c r="KBC54" s="5">
        <f>-IFERROR('4. NPV'!#REF!/'4. NPV'!KBD$8,0)</f>
        <v>0</v>
      </c>
      <c r="KBD54" s="5">
        <f>-IFERROR('4. NPV'!#REF!/'4. NPV'!KBE$8,0)</f>
        <v>0</v>
      </c>
      <c r="KBE54" s="5">
        <f>-IFERROR('4. NPV'!#REF!/'4. NPV'!KBF$8,0)</f>
        <v>0</v>
      </c>
      <c r="KBF54" s="5">
        <f>-IFERROR('4. NPV'!#REF!/'4. NPV'!KBG$8,0)</f>
        <v>0</v>
      </c>
      <c r="KBG54" s="5">
        <f>-IFERROR('4. NPV'!#REF!/'4. NPV'!KBH$8,0)</f>
        <v>0</v>
      </c>
      <c r="KBH54" s="5">
        <f>-IFERROR('4. NPV'!#REF!/'4. NPV'!KBI$8,0)</f>
        <v>0</v>
      </c>
      <c r="KBI54" s="5">
        <f>-IFERROR('4. NPV'!#REF!/'4. NPV'!KBJ$8,0)</f>
        <v>0</v>
      </c>
      <c r="KBJ54" s="5">
        <f>-IFERROR('4. NPV'!#REF!/'4. NPV'!KBK$8,0)</f>
        <v>0</v>
      </c>
      <c r="KBK54" s="5">
        <f>-IFERROR('4. NPV'!#REF!/'4. NPV'!KBL$8,0)</f>
        <v>0</v>
      </c>
      <c r="KBL54" s="5">
        <f>-IFERROR('4. NPV'!#REF!/'4. NPV'!KBM$8,0)</f>
        <v>0</v>
      </c>
      <c r="KBM54" s="5">
        <f>-IFERROR('4. NPV'!#REF!/'4. NPV'!KBN$8,0)</f>
        <v>0</v>
      </c>
      <c r="KBN54" s="5">
        <f>-IFERROR('4. NPV'!#REF!/'4. NPV'!KBO$8,0)</f>
        <v>0</v>
      </c>
      <c r="KBO54" s="5">
        <f>-IFERROR('4. NPV'!#REF!/'4. NPV'!KBP$8,0)</f>
        <v>0</v>
      </c>
      <c r="KBP54" s="5">
        <f>-IFERROR('4. NPV'!#REF!/'4. NPV'!KBQ$8,0)</f>
        <v>0</v>
      </c>
      <c r="KBQ54" s="5">
        <f>-IFERROR('4. NPV'!#REF!/'4. NPV'!KBR$8,0)</f>
        <v>0</v>
      </c>
      <c r="KBR54" s="5">
        <f>-IFERROR('4. NPV'!#REF!/'4. NPV'!KBS$8,0)</f>
        <v>0</v>
      </c>
      <c r="KBS54" s="5">
        <f>-IFERROR('4. NPV'!#REF!/'4. NPV'!KBT$8,0)</f>
        <v>0</v>
      </c>
      <c r="KBT54" s="5">
        <f>-IFERROR('4. NPV'!#REF!/'4. NPV'!KBU$8,0)</f>
        <v>0</v>
      </c>
      <c r="KBU54" s="5">
        <f>-IFERROR('4. NPV'!#REF!/'4. NPV'!KBV$8,0)</f>
        <v>0</v>
      </c>
      <c r="KBV54" s="5">
        <f>-IFERROR('4. NPV'!#REF!/'4. NPV'!KBW$8,0)</f>
        <v>0</v>
      </c>
      <c r="KBW54" s="5">
        <f>-IFERROR('4. NPV'!#REF!/'4. NPV'!KBX$8,0)</f>
        <v>0</v>
      </c>
      <c r="KBX54" s="5">
        <f>-IFERROR('4. NPV'!#REF!/'4. NPV'!KBY$8,0)</f>
        <v>0</v>
      </c>
      <c r="KBY54" s="5">
        <f>-IFERROR('4. NPV'!#REF!/'4. NPV'!KBZ$8,0)</f>
        <v>0</v>
      </c>
      <c r="KBZ54" s="5">
        <f>-IFERROR('4. NPV'!#REF!/'4. NPV'!KCA$8,0)</f>
        <v>0</v>
      </c>
      <c r="KCA54" s="5">
        <f>-IFERROR('4. NPV'!#REF!/'4. NPV'!KCB$8,0)</f>
        <v>0</v>
      </c>
      <c r="KCB54" s="5">
        <f>-IFERROR('4. NPV'!#REF!/'4. NPV'!KCC$8,0)</f>
        <v>0</v>
      </c>
      <c r="KCC54" s="5">
        <f>-IFERROR('4. NPV'!#REF!/'4. NPV'!KCD$8,0)</f>
        <v>0</v>
      </c>
      <c r="KCD54" s="5">
        <f>-IFERROR('4. NPV'!#REF!/'4. NPV'!KCE$8,0)</f>
        <v>0</v>
      </c>
      <c r="KCE54" s="5">
        <f>-IFERROR('4. NPV'!#REF!/'4. NPV'!KCF$8,0)</f>
        <v>0</v>
      </c>
      <c r="KCF54" s="5">
        <f>-IFERROR('4. NPV'!#REF!/'4. NPV'!KCG$8,0)</f>
        <v>0</v>
      </c>
      <c r="KCG54" s="5">
        <f>-IFERROR('4. NPV'!#REF!/'4. NPV'!KCH$8,0)</f>
        <v>0</v>
      </c>
      <c r="KCH54" s="5">
        <f>-IFERROR('4. NPV'!#REF!/'4. NPV'!KCI$8,0)</f>
        <v>0</v>
      </c>
      <c r="KCI54" s="5">
        <f>-IFERROR('4. NPV'!#REF!/'4. NPV'!KCJ$8,0)</f>
        <v>0</v>
      </c>
      <c r="KCJ54" s="5">
        <f>-IFERROR('4. NPV'!#REF!/'4. NPV'!KCK$8,0)</f>
        <v>0</v>
      </c>
      <c r="KCK54" s="5">
        <f>-IFERROR('4. NPV'!#REF!/'4. NPV'!KCL$8,0)</f>
        <v>0</v>
      </c>
      <c r="KCL54" s="5">
        <f>-IFERROR('4. NPV'!#REF!/'4. NPV'!KCM$8,0)</f>
        <v>0</v>
      </c>
      <c r="KCM54" s="5">
        <f>-IFERROR('4. NPV'!#REF!/'4. NPV'!KCN$8,0)</f>
        <v>0</v>
      </c>
      <c r="KCN54" s="5">
        <f>-IFERROR('4. NPV'!#REF!/'4. NPV'!KCO$8,0)</f>
        <v>0</v>
      </c>
      <c r="KCO54" s="5">
        <f>-IFERROR('4. NPV'!#REF!/'4. NPV'!KCP$8,0)</f>
        <v>0</v>
      </c>
      <c r="KCP54" s="5">
        <f>-IFERROR('4. NPV'!#REF!/'4. NPV'!KCQ$8,0)</f>
        <v>0</v>
      </c>
      <c r="KCQ54" s="5">
        <f>-IFERROR('4. NPV'!#REF!/'4. NPV'!KCR$8,0)</f>
        <v>0</v>
      </c>
      <c r="KCR54" s="5">
        <f>-IFERROR('4. NPV'!#REF!/'4. NPV'!KCS$8,0)</f>
        <v>0</v>
      </c>
      <c r="KCS54" s="5">
        <f>-IFERROR('4. NPV'!#REF!/'4. NPV'!KCT$8,0)</f>
        <v>0</v>
      </c>
      <c r="KCT54" s="5">
        <f>-IFERROR('4. NPV'!#REF!/'4. NPV'!KCU$8,0)</f>
        <v>0</v>
      </c>
      <c r="KCU54" s="5">
        <f>-IFERROR('4. NPV'!#REF!/'4. NPV'!KCV$8,0)</f>
        <v>0</v>
      </c>
      <c r="KCV54" s="5">
        <f>-IFERROR('4. NPV'!#REF!/'4. NPV'!KCW$8,0)</f>
        <v>0</v>
      </c>
      <c r="KCW54" s="5">
        <f>-IFERROR('4. NPV'!#REF!/'4. NPV'!KCX$8,0)</f>
        <v>0</v>
      </c>
      <c r="KCX54" s="5">
        <f>-IFERROR('4. NPV'!#REF!/'4. NPV'!KCY$8,0)</f>
        <v>0</v>
      </c>
      <c r="KCY54" s="5">
        <f>-IFERROR('4. NPV'!#REF!/'4. NPV'!KCZ$8,0)</f>
        <v>0</v>
      </c>
      <c r="KCZ54" s="5">
        <f>-IFERROR('4. NPV'!#REF!/'4. NPV'!KDA$8,0)</f>
        <v>0</v>
      </c>
      <c r="KDA54" s="5">
        <f>-IFERROR('4. NPV'!#REF!/'4. NPV'!KDB$8,0)</f>
        <v>0</v>
      </c>
      <c r="KDB54" s="5">
        <f>-IFERROR('4. NPV'!#REF!/'4. NPV'!KDC$8,0)</f>
        <v>0</v>
      </c>
      <c r="KDC54" s="5">
        <f>-IFERROR('4. NPV'!#REF!/'4. NPV'!KDD$8,0)</f>
        <v>0</v>
      </c>
      <c r="KDD54" s="5">
        <f>-IFERROR('4. NPV'!#REF!/'4. NPV'!KDE$8,0)</f>
        <v>0</v>
      </c>
      <c r="KDE54" s="5">
        <f>-IFERROR('4. NPV'!#REF!/'4. NPV'!KDF$8,0)</f>
        <v>0</v>
      </c>
      <c r="KDF54" s="5">
        <f>-IFERROR('4. NPV'!#REF!/'4. NPV'!KDG$8,0)</f>
        <v>0</v>
      </c>
      <c r="KDG54" s="5">
        <f>-IFERROR('4. NPV'!#REF!/'4. NPV'!KDH$8,0)</f>
        <v>0</v>
      </c>
      <c r="KDH54" s="5">
        <f>-IFERROR('4. NPV'!#REF!/'4. NPV'!KDI$8,0)</f>
        <v>0</v>
      </c>
      <c r="KDI54" s="5">
        <f>-IFERROR('4. NPV'!#REF!/'4. NPV'!KDJ$8,0)</f>
        <v>0</v>
      </c>
      <c r="KDJ54" s="5">
        <f>-IFERROR('4. NPV'!#REF!/'4. NPV'!KDK$8,0)</f>
        <v>0</v>
      </c>
      <c r="KDK54" s="5">
        <f>-IFERROR('4. NPV'!#REF!/'4. NPV'!KDL$8,0)</f>
        <v>0</v>
      </c>
      <c r="KDL54" s="5">
        <f>-IFERROR('4. NPV'!#REF!/'4. NPV'!KDM$8,0)</f>
        <v>0</v>
      </c>
      <c r="KDM54" s="5">
        <f>-IFERROR('4. NPV'!#REF!/'4. NPV'!KDN$8,0)</f>
        <v>0</v>
      </c>
      <c r="KDN54" s="5">
        <f>-IFERROR('4. NPV'!#REF!/'4. NPV'!KDO$8,0)</f>
        <v>0</v>
      </c>
      <c r="KDO54" s="5">
        <f>-IFERROR('4. NPV'!#REF!/'4. NPV'!KDP$8,0)</f>
        <v>0</v>
      </c>
      <c r="KDP54" s="5">
        <f>-IFERROR('4. NPV'!#REF!/'4. NPV'!KDQ$8,0)</f>
        <v>0</v>
      </c>
      <c r="KDQ54" s="5">
        <f>-IFERROR('4. NPV'!#REF!/'4. NPV'!KDR$8,0)</f>
        <v>0</v>
      </c>
      <c r="KDR54" s="5">
        <f>-IFERROR('4. NPV'!#REF!/'4. NPV'!KDS$8,0)</f>
        <v>0</v>
      </c>
      <c r="KDS54" s="5">
        <f>-IFERROR('4. NPV'!#REF!/'4. NPV'!KDT$8,0)</f>
        <v>0</v>
      </c>
      <c r="KDT54" s="5">
        <f>-IFERROR('4. NPV'!#REF!/'4. NPV'!KDU$8,0)</f>
        <v>0</v>
      </c>
      <c r="KDU54" s="5">
        <f>-IFERROR('4. NPV'!#REF!/'4. NPV'!KDV$8,0)</f>
        <v>0</v>
      </c>
      <c r="KDV54" s="5">
        <f>-IFERROR('4. NPV'!#REF!/'4. NPV'!KDW$8,0)</f>
        <v>0</v>
      </c>
      <c r="KDW54" s="5">
        <f>-IFERROR('4. NPV'!#REF!/'4. NPV'!KDX$8,0)</f>
        <v>0</v>
      </c>
      <c r="KDX54" s="5">
        <f>-IFERROR('4. NPV'!#REF!/'4. NPV'!KDY$8,0)</f>
        <v>0</v>
      </c>
      <c r="KDY54" s="5">
        <f>-IFERROR('4. NPV'!#REF!/'4. NPV'!KDZ$8,0)</f>
        <v>0</v>
      </c>
      <c r="KDZ54" s="5">
        <f>-IFERROR('4. NPV'!#REF!/'4. NPV'!KEA$8,0)</f>
        <v>0</v>
      </c>
      <c r="KEA54" s="5">
        <f>-IFERROR('4. NPV'!#REF!/'4. NPV'!KEB$8,0)</f>
        <v>0</v>
      </c>
      <c r="KEB54" s="5">
        <f>-IFERROR('4. NPV'!#REF!/'4. NPV'!KEC$8,0)</f>
        <v>0</v>
      </c>
      <c r="KEC54" s="5">
        <f>-IFERROR('4. NPV'!#REF!/'4. NPV'!KED$8,0)</f>
        <v>0</v>
      </c>
      <c r="KED54" s="5">
        <f>-IFERROR('4. NPV'!#REF!/'4. NPV'!KEE$8,0)</f>
        <v>0</v>
      </c>
      <c r="KEE54" s="5">
        <f>-IFERROR('4. NPV'!#REF!/'4. NPV'!KEF$8,0)</f>
        <v>0</v>
      </c>
      <c r="KEF54" s="5">
        <f>-IFERROR('4. NPV'!#REF!/'4. NPV'!KEG$8,0)</f>
        <v>0</v>
      </c>
      <c r="KEG54" s="5">
        <f>-IFERROR('4. NPV'!#REF!/'4. NPV'!KEH$8,0)</f>
        <v>0</v>
      </c>
      <c r="KEH54" s="5">
        <f>-IFERROR('4. NPV'!#REF!/'4. NPV'!KEI$8,0)</f>
        <v>0</v>
      </c>
      <c r="KEI54" s="5">
        <f>-IFERROR('4. NPV'!#REF!/'4. NPV'!KEJ$8,0)</f>
        <v>0</v>
      </c>
      <c r="KEJ54" s="5">
        <f>-IFERROR('4. NPV'!#REF!/'4. NPV'!KEK$8,0)</f>
        <v>0</v>
      </c>
      <c r="KEK54" s="5">
        <f>-IFERROR('4. NPV'!#REF!/'4. NPV'!KEL$8,0)</f>
        <v>0</v>
      </c>
      <c r="KEL54" s="5">
        <f>-IFERROR('4. NPV'!#REF!/'4. NPV'!KEM$8,0)</f>
        <v>0</v>
      </c>
      <c r="KEM54" s="5">
        <f>-IFERROR('4. NPV'!#REF!/'4. NPV'!KEN$8,0)</f>
        <v>0</v>
      </c>
      <c r="KEN54" s="5">
        <f>-IFERROR('4. NPV'!#REF!/'4. NPV'!KEO$8,0)</f>
        <v>0</v>
      </c>
      <c r="KEO54" s="5">
        <f>-IFERROR('4. NPV'!#REF!/'4. NPV'!KEP$8,0)</f>
        <v>0</v>
      </c>
      <c r="KEP54" s="5">
        <f>-IFERROR('4. NPV'!#REF!/'4. NPV'!KEQ$8,0)</f>
        <v>0</v>
      </c>
      <c r="KEQ54" s="5">
        <f>-IFERROR('4. NPV'!#REF!/'4. NPV'!KER$8,0)</f>
        <v>0</v>
      </c>
      <c r="KER54" s="5">
        <f>-IFERROR('4. NPV'!#REF!/'4. NPV'!KES$8,0)</f>
        <v>0</v>
      </c>
      <c r="KES54" s="5">
        <f>-IFERROR('4. NPV'!#REF!/'4. NPV'!KET$8,0)</f>
        <v>0</v>
      </c>
      <c r="KET54" s="5">
        <f>-IFERROR('4. NPV'!#REF!/'4. NPV'!KEU$8,0)</f>
        <v>0</v>
      </c>
      <c r="KEU54" s="5">
        <f>-IFERROR('4. NPV'!#REF!/'4. NPV'!KEV$8,0)</f>
        <v>0</v>
      </c>
      <c r="KEV54" s="5">
        <f>-IFERROR('4. NPV'!#REF!/'4. NPV'!KEW$8,0)</f>
        <v>0</v>
      </c>
      <c r="KEW54" s="5">
        <f>-IFERROR('4. NPV'!#REF!/'4. NPV'!KEX$8,0)</f>
        <v>0</v>
      </c>
      <c r="KEX54" s="5">
        <f>-IFERROR('4. NPV'!#REF!/'4. NPV'!KEY$8,0)</f>
        <v>0</v>
      </c>
      <c r="KEY54" s="5">
        <f>-IFERROR('4. NPV'!#REF!/'4. NPV'!KEZ$8,0)</f>
        <v>0</v>
      </c>
      <c r="KEZ54" s="5">
        <f>-IFERROR('4. NPV'!#REF!/'4. NPV'!KFA$8,0)</f>
        <v>0</v>
      </c>
      <c r="KFA54" s="5">
        <f>-IFERROR('4. NPV'!#REF!/'4. NPV'!KFB$8,0)</f>
        <v>0</v>
      </c>
      <c r="KFB54" s="5">
        <f>-IFERROR('4. NPV'!#REF!/'4. NPV'!KFC$8,0)</f>
        <v>0</v>
      </c>
      <c r="KFC54" s="5">
        <f>-IFERROR('4. NPV'!#REF!/'4. NPV'!KFD$8,0)</f>
        <v>0</v>
      </c>
      <c r="KFD54" s="5">
        <f>-IFERROR('4. NPV'!#REF!/'4. NPV'!KFE$8,0)</f>
        <v>0</v>
      </c>
      <c r="KFE54" s="5">
        <f>-IFERROR('4. NPV'!#REF!/'4. NPV'!KFF$8,0)</f>
        <v>0</v>
      </c>
      <c r="KFF54" s="5">
        <f>-IFERROR('4. NPV'!#REF!/'4. NPV'!KFG$8,0)</f>
        <v>0</v>
      </c>
      <c r="KFG54" s="5">
        <f>-IFERROR('4. NPV'!#REF!/'4. NPV'!KFH$8,0)</f>
        <v>0</v>
      </c>
      <c r="KFH54" s="5">
        <f>-IFERROR('4. NPV'!#REF!/'4. NPV'!KFI$8,0)</f>
        <v>0</v>
      </c>
      <c r="KFI54" s="5">
        <f>-IFERROR('4. NPV'!#REF!/'4. NPV'!KFJ$8,0)</f>
        <v>0</v>
      </c>
      <c r="KFJ54" s="5">
        <f>-IFERROR('4. NPV'!#REF!/'4. NPV'!KFK$8,0)</f>
        <v>0</v>
      </c>
      <c r="KFK54" s="5">
        <f>-IFERROR('4. NPV'!#REF!/'4. NPV'!KFL$8,0)</f>
        <v>0</v>
      </c>
      <c r="KFL54" s="5">
        <f>-IFERROR('4. NPV'!#REF!/'4. NPV'!KFM$8,0)</f>
        <v>0</v>
      </c>
      <c r="KFM54" s="5">
        <f>-IFERROR('4. NPV'!#REF!/'4. NPV'!KFN$8,0)</f>
        <v>0</v>
      </c>
      <c r="KFN54" s="5">
        <f>-IFERROR('4. NPV'!#REF!/'4. NPV'!KFO$8,0)</f>
        <v>0</v>
      </c>
      <c r="KFO54" s="5">
        <f>-IFERROR('4. NPV'!#REF!/'4. NPV'!KFP$8,0)</f>
        <v>0</v>
      </c>
      <c r="KFP54" s="5">
        <f>-IFERROR('4. NPV'!#REF!/'4. NPV'!KFQ$8,0)</f>
        <v>0</v>
      </c>
      <c r="KFQ54" s="5">
        <f>-IFERROR('4. NPV'!#REF!/'4. NPV'!KFR$8,0)</f>
        <v>0</v>
      </c>
      <c r="KFR54" s="5">
        <f>-IFERROR('4. NPV'!#REF!/'4. NPV'!KFS$8,0)</f>
        <v>0</v>
      </c>
      <c r="KFS54" s="5">
        <f>-IFERROR('4. NPV'!#REF!/'4. NPV'!KFT$8,0)</f>
        <v>0</v>
      </c>
      <c r="KFT54" s="5">
        <f>-IFERROR('4. NPV'!#REF!/'4. NPV'!KFU$8,0)</f>
        <v>0</v>
      </c>
      <c r="KFU54" s="5">
        <f>-IFERROR('4. NPV'!#REF!/'4. NPV'!KFV$8,0)</f>
        <v>0</v>
      </c>
      <c r="KFV54" s="5">
        <f>-IFERROR('4. NPV'!#REF!/'4. NPV'!KFW$8,0)</f>
        <v>0</v>
      </c>
      <c r="KFW54" s="5">
        <f>-IFERROR('4. NPV'!#REF!/'4. NPV'!KFX$8,0)</f>
        <v>0</v>
      </c>
      <c r="KFX54" s="5">
        <f>-IFERROR('4. NPV'!#REF!/'4. NPV'!KFY$8,0)</f>
        <v>0</v>
      </c>
      <c r="KFY54" s="5">
        <f>-IFERROR('4. NPV'!#REF!/'4. NPV'!KFZ$8,0)</f>
        <v>0</v>
      </c>
      <c r="KFZ54" s="5">
        <f>-IFERROR('4. NPV'!#REF!/'4. NPV'!KGA$8,0)</f>
        <v>0</v>
      </c>
      <c r="KGA54" s="5">
        <f>-IFERROR('4. NPV'!#REF!/'4. NPV'!KGB$8,0)</f>
        <v>0</v>
      </c>
      <c r="KGB54" s="5">
        <f>-IFERROR('4. NPV'!#REF!/'4. NPV'!KGC$8,0)</f>
        <v>0</v>
      </c>
      <c r="KGC54" s="5">
        <f>-IFERROR('4. NPV'!#REF!/'4. NPV'!KGD$8,0)</f>
        <v>0</v>
      </c>
      <c r="KGD54" s="5">
        <f>-IFERROR('4. NPV'!#REF!/'4. NPV'!KGE$8,0)</f>
        <v>0</v>
      </c>
      <c r="KGE54" s="5">
        <f>-IFERROR('4. NPV'!#REF!/'4. NPV'!KGF$8,0)</f>
        <v>0</v>
      </c>
      <c r="KGF54" s="5">
        <f>-IFERROR('4. NPV'!#REF!/'4. NPV'!KGG$8,0)</f>
        <v>0</v>
      </c>
      <c r="KGG54" s="5">
        <f>-IFERROR('4. NPV'!#REF!/'4. NPV'!KGH$8,0)</f>
        <v>0</v>
      </c>
      <c r="KGH54" s="5">
        <f>-IFERROR('4. NPV'!#REF!/'4. NPV'!KGI$8,0)</f>
        <v>0</v>
      </c>
      <c r="KGI54" s="5">
        <f>-IFERROR('4. NPV'!#REF!/'4. NPV'!KGJ$8,0)</f>
        <v>0</v>
      </c>
      <c r="KGJ54" s="5">
        <f>-IFERROR('4. NPV'!#REF!/'4. NPV'!KGK$8,0)</f>
        <v>0</v>
      </c>
      <c r="KGK54" s="5">
        <f>-IFERROR('4. NPV'!#REF!/'4. NPV'!KGL$8,0)</f>
        <v>0</v>
      </c>
      <c r="KGL54" s="5">
        <f>-IFERROR('4. NPV'!#REF!/'4. NPV'!KGM$8,0)</f>
        <v>0</v>
      </c>
      <c r="KGM54" s="5">
        <f>-IFERROR('4. NPV'!#REF!/'4. NPV'!KGN$8,0)</f>
        <v>0</v>
      </c>
      <c r="KGN54" s="5">
        <f>-IFERROR('4. NPV'!#REF!/'4. NPV'!KGO$8,0)</f>
        <v>0</v>
      </c>
      <c r="KGO54" s="5">
        <f>-IFERROR('4. NPV'!#REF!/'4. NPV'!KGP$8,0)</f>
        <v>0</v>
      </c>
      <c r="KGP54" s="5">
        <f>-IFERROR('4. NPV'!#REF!/'4. NPV'!KGQ$8,0)</f>
        <v>0</v>
      </c>
      <c r="KGQ54" s="5">
        <f>-IFERROR('4. NPV'!#REF!/'4. NPV'!KGR$8,0)</f>
        <v>0</v>
      </c>
      <c r="KGR54" s="5">
        <f>-IFERROR('4. NPV'!#REF!/'4. NPV'!KGS$8,0)</f>
        <v>0</v>
      </c>
      <c r="KGS54" s="5">
        <f>-IFERROR('4. NPV'!#REF!/'4. NPV'!KGT$8,0)</f>
        <v>0</v>
      </c>
      <c r="KGT54" s="5">
        <f>-IFERROR('4. NPV'!#REF!/'4. NPV'!KGU$8,0)</f>
        <v>0</v>
      </c>
      <c r="KGU54" s="5">
        <f>-IFERROR('4. NPV'!#REF!/'4. NPV'!KGV$8,0)</f>
        <v>0</v>
      </c>
      <c r="KGV54" s="5">
        <f>-IFERROR('4. NPV'!#REF!/'4. NPV'!KGW$8,0)</f>
        <v>0</v>
      </c>
      <c r="KGW54" s="5">
        <f>-IFERROR('4. NPV'!#REF!/'4. NPV'!KGX$8,0)</f>
        <v>0</v>
      </c>
      <c r="KGX54" s="5">
        <f>-IFERROR('4. NPV'!#REF!/'4. NPV'!KGY$8,0)</f>
        <v>0</v>
      </c>
      <c r="KGY54" s="5">
        <f>-IFERROR('4. NPV'!#REF!/'4. NPV'!KGZ$8,0)</f>
        <v>0</v>
      </c>
      <c r="KGZ54" s="5">
        <f>-IFERROR('4. NPV'!#REF!/'4. NPV'!KHA$8,0)</f>
        <v>0</v>
      </c>
      <c r="KHA54" s="5">
        <f>-IFERROR('4. NPV'!#REF!/'4. NPV'!KHB$8,0)</f>
        <v>0</v>
      </c>
      <c r="KHB54" s="5">
        <f>-IFERROR('4. NPV'!#REF!/'4. NPV'!KHC$8,0)</f>
        <v>0</v>
      </c>
      <c r="KHC54" s="5">
        <f>-IFERROR('4. NPV'!#REF!/'4. NPV'!KHD$8,0)</f>
        <v>0</v>
      </c>
      <c r="KHD54" s="5">
        <f>-IFERROR('4. NPV'!#REF!/'4. NPV'!KHE$8,0)</f>
        <v>0</v>
      </c>
      <c r="KHE54" s="5">
        <f>-IFERROR('4. NPV'!#REF!/'4. NPV'!KHF$8,0)</f>
        <v>0</v>
      </c>
      <c r="KHF54" s="5">
        <f>-IFERROR('4. NPV'!#REF!/'4. NPV'!KHG$8,0)</f>
        <v>0</v>
      </c>
      <c r="KHG54" s="5">
        <f>-IFERROR('4. NPV'!#REF!/'4. NPV'!KHH$8,0)</f>
        <v>0</v>
      </c>
      <c r="KHH54" s="5">
        <f>-IFERROR('4. NPV'!#REF!/'4. NPV'!KHI$8,0)</f>
        <v>0</v>
      </c>
      <c r="KHI54" s="5">
        <f>-IFERROR('4. NPV'!#REF!/'4. NPV'!KHJ$8,0)</f>
        <v>0</v>
      </c>
      <c r="KHJ54" s="5">
        <f>-IFERROR('4. NPV'!#REF!/'4. NPV'!KHK$8,0)</f>
        <v>0</v>
      </c>
      <c r="KHK54" s="5">
        <f>-IFERROR('4. NPV'!#REF!/'4. NPV'!KHL$8,0)</f>
        <v>0</v>
      </c>
      <c r="KHL54" s="5">
        <f>-IFERROR('4. NPV'!#REF!/'4. NPV'!KHM$8,0)</f>
        <v>0</v>
      </c>
      <c r="KHM54" s="5">
        <f>-IFERROR('4. NPV'!#REF!/'4. NPV'!KHN$8,0)</f>
        <v>0</v>
      </c>
      <c r="KHN54" s="5">
        <f>-IFERROR('4. NPV'!#REF!/'4. NPV'!KHO$8,0)</f>
        <v>0</v>
      </c>
      <c r="KHO54" s="5">
        <f>-IFERROR('4. NPV'!#REF!/'4. NPV'!KHP$8,0)</f>
        <v>0</v>
      </c>
      <c r="KHP54" s="5">
        <f>-IFERROR('4. NPV'!#REF!/'4. NPV'!KHQ$8,0)</f>
        <v>0</v>
      </c>
      <c r="KHQ54" s="5">
        <f>-IFERROR('4. NPV'!#REF!/'4. NPV'!KHR$8,0)</f>
        <v>0</v>
      </c>
      <c r="KHR54" s="5">
        <f>-IFERROR('4. NPV'!#REF!/'4. NPV'!KHS$8,0)</f>
        <v>0</v>
      </c>
      <c r="KHS54" s="5">
        <f>-IFERROR('4. NPV'!#REF!/'4. NPV'!KHT$8,0)</f>
        <v>0</v>
      </c>
      <c r="KHT54" s="5">
        <f>-IFERROR('4. NPV'!#REF!/'4. NPV'!KHU$8,0)</f>
        <v>0</v>
      </c>
      <c r="KHU54" s="5">
        <f>-IFERROR('4. NPV'!#REF!/'4. NPV'!KHV$8,0)</f>
        <v>0</v>
      </c>
      <c r="KHV54" s="5">
        <f>-IFERROR('4. NPV'!#REF!/'4. NPV'!KHW$8,0)</f>
        <v>0</v>
      </c>
      <c r="KHW54" s="5">
        <f>-IFERROR('4. NPV'!#REF!/'4. NPV'!KHX$8,0)</f>
        <v>0</v>
      </c>
      <c r="KHX54" s="5">
        <f>-IFERROR('4. NPV'!#REF!/'4. NPV'!KHY$8,0)</f>
        <v>0</v>
      </c>
      <c r="KHY54" s="5">
        <f>-IFERROR('4. NPV'!#REF!/'4. NPV'!KHZ$8,0)</f>
        <v>0</v>
      </c>
      <c r="KHZ54" s="5">
        <f>-IFERROR('4. NPV'!#REF!/'4. NPV'!KIA$8,0)</f>
        <v>0</v>
      </c>
      <c r="KIA54" s="5">
        <f>-IFERROR('4. NPV'!#REF!/'4. NPV'!KIB$8,0)</f>
        <v>0</v>
      </c>
      <c r="KIB54" s="5">
        <f>-IFERROR('4. NPV'!#REF!/'4. NPV'!KIC$8,0)</f>
        <v>0</v>
      </c>
      <c r="KIC54" s="5">
        <f>-IFERROR('4. NPV'!#REF!/'4. NPV'!KID$8,0)</f>
        <v>0</v>
      </c>
      <c r="KID54" s="5">
        <f>-IFERROR('4. NPV'!#REF!/'4. NPV'!KIE$8,0)</f>
        <v>0</v>
      </c>
      <c r="KIE54" s="5">
        <f>-IFERROR('4. NPV'!#REF!/'4. NPV'!KIF$8,0)</f>
        <v>0</v>
      </c>
      <c r="KIF54" s="5">
        <f>-IFERROR('4. NPV'!#REF!/'4. NPV'!KIG$8,0)</f>
        <v>0</v>
      </c>
      <c r="KIG54" s="5">
        <f>-IFERROR('4. NPV'!#REF!/'4. NPV'!KIH$8,0)</f>
        <v>0</v>
      </c>
      <c r="KIH54" s="5">
        <f>-IFERROR('4. NPV'!#REF!/'4. NPV'!KII$8,0)</f>
        <v>0</v>
      </c>
      <c r="KII54" s="5">
        <f>-IFERROR('4. NPV'!#REF!/'4. NPV'!KIJ$8,0)</f>
        <v>0</v>
      </c>
      <c r="KIJ54" s="5">
        <f>-IFERROR('4. NPV'!#REF!/'4. NPV'!KIK$8,0)</f>
        <v>0</v>
      </c>
      <c r="KIK54" s="5">
        <f>-IFERROR('4. NPV'!#REF!/'4. NPV'!KIL$8,0)</f>
        <v>0</v>
      </c>
      <c r="KIL54" s="5">
        <f>-IFERROR('4. NPV'!#REF!/'4. NPV'!KIM$8,0)</f>
        <v>0</v>
      </c>
      <c r="KIM54" s="5">
        <f>-IFERROR('4. NPV'!#REF!/'4. NPV'!KIN$8,0)</f>
        <v>0</v>
      </c>
      <c r="KIN54" s="5">
        <f>-IFERROR('4. NPV'!#REF!/'4. NPV'!KIO$8,0)</f>
        <v>0</v>
      </c>
      <c r="KIO54" s="5">
        <f>-IFERROR('4. NPV'!#REF!/'4. NPV'!KIP$8,0)</f>
        <v>0</v>
      </c>
      <c r="KIP54" s="5">
        <f>-IFERROR('4. NPV'!#REF!/'4. NPV'!KIQ$8,0)</f>
        <v>0</v>
      </c>
      <c r="KIQ54" s="5">
        <f>-IFERROR('4. NPV'!#REF!/'4. NPV'!KIR$8,0)</f>
        <v>0</v>
      </c>
      <c r="KIR54" s="5">
        <f>-IFERROR('4. NPV'!#REF!/'4. NPV'!KIS$8,0)</f>
        <v>0</v>
      </c>
      <c r="KIS54" s="5">
        <f>-IFERROR('4. NPV'!#REF!/'4. NPV'!KIT$8,0)</f>
        <v>0</v>
      </c>
      <c r="KIT54" s="5">
        <f>-IFERROR('4. NPV'!#REF!/'4. NPV'!KIU$8,0)</f>
        <v>0</v>
      </c>
      <c r="KIU54" s="5">
        <f>-IFERROR('4. NPV'!#REF!/'4. NPV'!KIV$8,0)</f>
        <v>0</v>
      </c>
      <c r="KIV54" s="5">
        <f>-IFERROR('4. NPV'!#REF!/'4. NPV'!KIW$8,0)</f>
        <v>0</v>
      </c>
      <c r="KIW54" s="5">
        <f>-IFERROR('4. NPV'!#REF!/'4. NPV'!KIX$8,0)</f>
        <v>0</v>
      </c>
      <c r="KIX54" s="5">
        <f>-IFERROR('4. NPV'!#REF!/'4. NPV'!KIY$8,0)</f>
        <v>0</v>
      </c>
      <c r="KIY54" s="5">
        <f>-IFERROR('4. NPV'!#REF!/'4. NPV'!KIZ$8,0)</f>
        <v>0</v>
      </c>
      <c r="KIZ54" s="5">
        <f>-IFERROR('4. NPV'!#REF!/'4. NPV'!KJA$8,0)</f>
        <v>0</v>
      </c>
      <c r="KJA54" s="5">
        <f>-IFERROR('4. NPV'!#REF!/'4. NPV'!KJB$8,0)</f>
        <v>0</v>
      </c>
      <c r="KJB54" s="5">
        <f>-IFERROR('4. NPV'!#REF!/'4. NPV'!KJC$8,0)</f>
        <v>0</v>
      </c>
      <c r="KJC54" s="5">
        <f>-IFERROR('4. NPV'!#REF!/'4. NPV'!KJD$8,0)</f>
        <v>0</v>
      </c>
      <c r="KJD54" s="5">
        <f>-IFERROR('4. NPV'!#REF!/'4. NPV'!KJE$8,0)</f>
        <v>0</v>
      </c>
      <c r="KJE54" s="5">
        <f>-IFERROR('4. NPV'!#REF!/'4. NPV'!KJF$8,0)</f>
        <v>0</v>
      </c>
      <c r="KJF54" s="5">
        <f>-IFERROR('4. NPV'!#REF!/'4. NPV'!KJG$8,0)</f>
        <v>0</v>
      </c>
      <c r="KJG54" s="5">
        <f>-IFERROR('4. NPV'!#REF!/'4. NPV'!KJH$8,0)</f>
        <v>0</v>
      </c>
      <c r="KJH54" s="5">
        <f>-IFERROR('4. NPV'!#REF!/'4. NPV'!KJI$8,0)</f>
        <v>0</v>
      </c>
      <c r="KJI54" s="5">
        <f>-IFERROR('4. NPV'!#REF!/'4. NPV'!KJJ$8,0)</f>
        <v>0</v>
      </c>
      <c r="KJJ54" s="5">
        <f>-IFERROR('4. NPV'!#REF!/'4. NPV'!KJK$8,0)</f>
        <v>0</v>
      </c>
      <c r="KJK54" s="5">
        <f>-IFERROR('4. NPV'!#REF!/'4. NPV'!KJL$8,0)</f>
        <v>0</v>
      </c>
      <c r="KJL54" s="5">
        <f>-IFERROR('4. NPV'!#REF!/'4. NPV'!KJM$8,0)</f>
        <v>0</v>
      </c>
      <c r="KJM54" s="5">
        <f>-IFERROR('4. NPV'!#REF!/'4. NPV'!KJN$8,0)</f>
        <v>0</v>
      </c>
      <c r="KJN54" s="5">
        <f>-IFERROR('4. NPV'!#REF!/'4. NPV'!KJO$8,0)</f>
        <v>0</v>
      </c>
      <c r="KJO54" s="5">
        <f>-IFERROR('4. NPV'!#REF!/'4. NPV'!KJP$8,0)</f>
        <v>0</v>
      </c>
      <c r="KJP54" s="5">
        <f>-IFERROR('4. NPV'!#REF!/'4. NPV'!KJQ$8,0)</f>
        <v>0</v>
      </c>
      <c r="KJQ54" s="5">
        <f>-IFERROR('4. NPV'!#REF!/'4. NPV'!KJR$8,0)</f>
        <v>0</v>
      </c>
      <c r="KJR54" s="5">
        <f>-IFERROR('4. NPV'!#REF!/'4. NPV'!KJS$8,0)</f>
        <v>0</v>
      </c>
      <c r="KJS54" s="5">
        <f>-IFERROR('4. NPV'!#REF!/'4. NPV'!KJT$8,0)</f>
        <v>0</v>
      </c>
      <c r="KJT54" s="5">
        <f>-IFERROR('4. NPV'!#REF!/'4. NPV'!KJU$8,0)</f>
        <v>0</v>
      </c>
      <c r="KJU54" s="5">
        <f>-IFERROR('4. NPV'!#REF!/'4. NPV'!KJV$8,0)</f>
        <v>0</v>
      </c>
      <c r="KJV54" s="5">
        <f>-IFERROR('4. NPV'!#REF!/'4. NPV'!KJW$8,0)</f>
        <v>0</v>
      </c>
      <c r="KJW54" s="5">
        <f>-IFERROR('4. NPV'!#REF!/'4. NPV'!KJX$8,0)</f>
        <v>0</v>
      </c>
      <c r="KJX54" s="5">
        <f>-IFERROR('4. NPV'!#REF!/'4. NPV'!KJY$8,0)</f>
        <v>0</v>
      </c>
      <c r="KJY54" s="5">
        <f>-IFERROR('4. NPV'!#REF!/'4. NPV'!KJZ$8,0)</f>
        <v>0</v>
      </c>
      <c r="KJZ54" s="5">
        <f>-IFERROR('4. NPV'!#REF!/'4. NPV'!KKA$8,0)</f>
        <v>0</v>
      </c>
      <c r="KKA54" s="5">
        <f>-IFERROR('4. NPV'!#REF!/'4. NPV'!KKB$8,0)</f>
        <v>0</v>
      </c>
      <c r="KKB54" s="5">
        <f>-IFERROR('4. NPV'!#REF!/'4. NPV'!KKC$8,0)</f>
        <v>0</v>
      </c>
      <c r="KKC54" s="5">
        <f>-IFERROR('4. NPV'!#REF!/'4. NPV'!KKD$8,0)</f>
        <v>0</v>
      </c>
      <c r="KKD54" s="5">
        <f>-IFERROR('4. NPV'!#REF!/'4. NPV'!KKE$8,0)</f>
        <v>0</v>
      </c>
      <c r="KKE54" s="5">
        <f>-IFERROR('4. NPV'!#REF!/'4. NPV'!KKF$8,0)</f>
        <v>0</v>
      </c>
      <c r="KKF54" s="5">
        <f>-IFERROR('4. NPV'!#REF!/'4. NPV'!KKG$8,0)</f>
        <v>0</v>
      </c>
      <c r="KKG54" s="5">
        <f>-IFERROR('4. NPV'!#REF!/'4. NPV'!KKH$8,0)</f>
        <v>0</v>
      </c>
      <c r="KKH54" s="5">
        <f>-IFERROR('4. NPV'!#REF!/'4. NPV'!KKI$8,0)</f>
        <v>0</v>
      </c>
      <c r="KKI54" s="5">
        <f>-IFERROR('4. NPV'!#REF!/'4. NPV'!KKJ$8,0)</f>
        <v>0</v>
      </c>
      <c r="KKJ54" s="5">
        <f>-IFERROR('4. NPV'!#REF!/'4. NPV'!KKK$8,0)</f>
        <v>0</v>
      </c>
      <c r="KKK54" s="5">
        <f>-IFERROR('4. NPV'!#REF!/'4. NPV'!KKL$8,0)</f>
        <v>0</v>
      </c>
      <c r="KKL54" s="5">
        <f>-IFERROR('4. NPV'!#REF!/'4. NPV'!KKM$8,0)</f>
        <v>0</v>
      </c>
      <c r="KKM54" s="5">
        <f>-IFERROR('4. NPV'!#REF!/'4. NPV'!KKN$8,0)</f>
        <v>0</v>
      </c>
      <c r="KKN54" s="5">
        <f>-IFERROR('4. NPV'!#REF!/'4. NPV'!KKO$8,0)</f>
        <v>0</v>
      </c>
      <c r="KKO54" s="5">
        <f>-IFERROR('4. NPV'!#REF!/'4. NPV'!KKP$8,0)</f>
        <v>0</v>
      </c>
      <c r="KKP54" s="5">
        <f>-IFERROR('4. NPV'!#REF!/'4. NPV'!KKQ$8,0)</f>
        <v>0</v>
      </c>
      <c r="KKQ54" s="5">
        <f>-IFERROR('4. NPV'!#REF!/'4. NPV'!KKR$8,0)</f>
        <v>0</v>
      </c>
      <c r="KKR54" s="5">
        <f>-IFERROR('4. NPV'!#REF!/'4. NPV'!KKS$8,0)</f>
        <v>0</v>
      </c>
      <c r="KKS54" s="5">
        <f>-IFERROR('4. NPV'!#REF!/'4. NPV'!KKT$8,0)</f>
        <v>0</v>
      </c>
      <c r="KKT54" s="5">
        <f>-IFERROR('4. NPV'!#REF!/'4. NPV'!KKU$8,0)</f>
        <v>0</v>
      </c>
      <c r="KKU54" s="5">
        <f>-IFERROR('4. NPV'!#REF!/'4. NPV'!KKV$8,0)</f>
        <v>0</v>
      </c>
      <c r="KKV54" s="5">
        <f>-IFERROR('4. NPV'!#REF!/'4. NPV'!KKW$8,0)</f>
        <v>0</v>
      </c>
      <c r="KKW54" s="5">
        <f>-IFERROR('4. NPV'!#REF!/'4. NPV'!KKX$8,0)</f>
        <v>0</v>
      </c>
      <c r="KKX54" s="5">
        <f>-IFERROR('4. NPV'!#REF!/'4. NPV'!KKY$8,0)</f>
        <v>0</v>
      </c>
      <c r="KKY54" s="5">
        <f>-IFERROR('4. NPV'!#REF!/'4. NPV'!KKZ$8,0)</f>
        <v>0</v>
      </c>
      <c r="KKZ54" s="5">
        <f>-IFERROR('4. NPV'!#REF!/'4. NPV'!KLA$8,0)</f>
        <v>0</v>
      </c>
      <c r="KLA54" s="5">
        <f>-IFERROR('4. NPV'!#REF!/'4. NPV'!KLB$8,0)</f>
        <v>0</v>
      </c>
      <c r="KLB54" s="5">
        <f>-IFERROR('4. NPV'!#REF!/'4. NPV'!KLC$8,0)</f>
        <v>0</v>
      </c>
      <c r="KLC54" s="5">
        <f>-IFERROR('4. NPV'!#REF!/'4. NPV'!KLD$8,0)</f>
        <v>0</v>
      </c>
      <c r="KLD54" s="5">
        <f>-IFERROR('4. NPV'!#REF!/'4. NPV'!KLE$8,0)</f>
        <v>0</v>
      </c>
      <c r="KLE54" s="5">
        <f>-IFERROR('4. NPV'!#REF!/'4. NPV'!KLF$8,0)</f>
        <v>0</v>
      </c>
      <c r="KLF54" s="5">
        <f>-IFERROR('4. NPV'!#REF!/'4. NPV'!KLG$8,0)</f>
        <v>0</v>
      </c>
      <c r="KLG54" s="5">
        <f>-IFERROR('4. NPV'!#REF!/'4. NPV'!KLH$8,0)</f>
        <v>0</v>
      </c>
      <c r="KLH54" s="5">
        <f>-IFERROR('4. NPV'!#REF!/'4. NPV'!KLI$8,0)</f>
        <v>0</v>
      </c>
      <c r="KLI54" s="5">
        <f>-IFERROR('4. NPV'!#REF!/'4. NPV'!KLJ$8,0)</f>
        <v>0</v>
      </c>
      <c r="KLJ54" s="5">
        <f>-IFERROR('4. NPV'!#REF!/'4. NPV'!KLK$8,0)</f>
        <v>0</v>
      </c>
      <c r="KLK54" s="5">
        <f>-IFERROR('4. NPV'!#REF!/'4. NPV'!KLL$8,0)</f>
        <v>0</v>
      </c>
      <c r="KLL54" s="5">
        <f>-IFERROR('4. NPV'!#REF!/'4. NPV'!KLM$8,0)</f>
        <v>0</v>
      </c>
      <c r="KLM54" s="5">
        <f>-IFERROR('4. NPV'!#REF!/'4. NPV'!KLN$8,0)</f>
        <v>0</v>
      </c>
      <c r="KLN54" s="5">
        <f>-IFERROR('4. NPV'!#REF!/'4. NPV'!KLO$8,0)</f>
        <v>0</v>
      </c>
      <c r="KLO54" s="5">
        <f>-IFERROR('4. NPV'!#REF!/'4. NPV'!KLP$8,0)</f>
        <v>0</v>
      </c>
      <c r="KLP54" s="5">
        <f>-IFERROR('4. NPV'!#REF!/'4. NPV'!KLQ$8,0)</f>
        <v>0</v>
      </c>
      <c r="KLQ54" s="5">
        <f>-IFERROR('4. NPV'!#REF!/'4. NPV'!KLR$8,0)</f>
        <v>0</v>
      </c>
      <c r="KLR54" s="5">
        <f>-IFERROR('4. NPV'!#REF!/'4. NPV'!KLS$8,0)</f>
        <v>0</v>
      </c>
      <c r="KLS54" s="5">
        <f>-IFERROR('4. NPV'!#REF!/'4. NPV'!KLT$8,0)</f>
        <v>0</v>
      </c>
      <c r="KLT54" s="5">
        <f>-IFERROR('4. NPV'!#REF!/'4. NPV'!KLU$8,0)</f>
        <v>0</v>
      </c>
      <c r="KLU54" s="5">
        <f>-IFERROR('4. NPV'!#REF!/'4. NPV'!KLV$8,0)</f>
        <v>0</v>
      </c>
      <c r="KLV54" s="5">
        <f>-IFERROR('4. NPV'!#REF!/'4. NPV'!KLW$8,0)</f>
        <v>0</v>
      </c>
      <c r="KLW54" s="5">
        <f>-IFERROR('4. NPV'!#REF!/'4. NPV'!KLX$8,0)</f>
        <v>0</v>
      </c>
      <c r="KLX54" s="5">
        <f>-IFERROR('4. NPV'!#REF!/'4. NPV'!KLY$8,0)</f>
        <v>0</v>
      </c>
      <c r="KLY54" s="5">
        <f>-IFERROR('4. NPV'!#REF!/'4. NPV'!KLZ$8,0)</f>
        <v>0</v>
      </c>
      <c r="KLZ54" s="5">
        <f>-IFERROR('4. NPV'!#REF!/'4. NPV'!KMA$8,0)</f>
        <v>0</v>
      </c>
      <c r="KMA54" s="5">
        <f>-IFERROR('4. NPV'!#REF!/'4. NPV'!KMB$8,0)</f>
        <v>0</v>
      </c>
      <c r="KMB54" s="5">
        <f>-IFERROR('4. NPV'!#REF!/'4. NPV'!KMC$8,0)</f>
        <v>0</v>
      </c>
      <c r="KMC54" s="5">
        <f>-IFERROR('4. NPV'!#REF!/'4. NPV'!KMD$8,0)</f>
        <v>0</v>
      </c>
      <c r="KMD54" s="5">
        <f>-IFERROR('4. NPV'!#REF!/'4. NPV'!KME$8,0)</f>
        <v>0</v>
      </c>
      <c r="KME54" s="5">
        <f>-IFERROR('4. NPV'!#REF!/'4. NPV'!KMF$8,0)</f>
        <v>0</v>
      </c>
      <c r="KMF54" s="5">
        <f>-IFERROR('4. NPV'!#REF!/'4. NPV'!KMG$8,0)</f>
        <v>0</v>
      </c>
      <c r="KMG54" s="5">
        <f>-IFERROR('4. NPV'!#REF!/'4. NPV'!KMH$8,0)</f>
        <v>0</v>
      </c>
      <c r="KMH54" s="5">
        <f>-IFERROR('4. NPV'!#REF!/'4. NPV'!KMI$8,0)</f>
        <v>0</v>
      </c>
      <c r="KMI54" s="5">
        <f>-IFERROR('4. NPV'!#REF!/'4. NPV'!KMJ$8,0)</f>
        <v>0</v>
      </c>
      <c r="KMJ54" s="5">
        <f>-IFERROR('4. NPV'!#REF!/'4. NPV'!KMK$8,0)</f>
        <v>0</v>
      </c>
      <c r="KMK54" s="5">
        <f>-IFERROR('4. NPV'!#REF!/'4. NPV'!KML$8,0)</f>
        <v>0</v>
      </c>
      <c r="KML54" s="5">
        <f>-IFERROR('4. NPV'!#REF!/'4. NPV'!KMM$8,0)</f>
        <v>0</v>
      </c>
      <c r="KMM54" s="5">
        <f>-IFERROR('4. NPV'!#REF!/'4. NPV'!KMN$8,0)</f>
        <v>0</v>
      </c>
      <c r="KMN54" s="5">
        <f>-IFERROR('4. NPV'!#REF!/'4. NPV'!KMO$8,0)</f>
        <v>0</v>
      </c>
      <c r="KMO54" s="5">
        <f>-IFERROR('4. NPV'!#REF!/'4. NPV'!KMP$8,0)</f>
        <v>0</v>
      </c>
      <c r="KMP54" s="5">
        <f>-IFERROR('4. NPV'!#REF!/'4. NPV'!KMQ$8,0)</f>
        <v>0</v>
      </c>
      <c r="KMQ54" s="5">
        <f>-IFERROR('4. NPV'!#REF!/'4. NPV'!KMR$8,0)</f>
        <v>0</v>
      </c>
      <c r="KMR54" s="5">
        <f>-IFERROR('4. NPV'!#REF!/'4. NPV'!KMS$8,0)</f>
        <v>0</v>
      </c>
      <c r="KMS54" s="5">
        <f>-IFERROR('4. NPV'!#REF!/'4. NPV'!KMT$8,0)</f>
        <v>0</v>
      </c>
      <c r="KMT54" s="5">
        <f>-IFERROR('4. NPV'!#REF!/'4. NPV'!KMU$8,0)</f>
        <v>0</v>
      </c>
      <c r="KMU54" s="5">
        <f>-IFERROR('4. NPV'!#REF!/'4. NPV'!KMV$8,0)</f>
        <v>0</v>
      </c>
      <c r="KMV54" s="5">
        <f>-IFERROR('4. NPV'!#REF!/'4. NPV'!KMW$8,0)</f>
        <v>0</v>
      </c>
      <c r="KMW54" s="5">
        <f>-IFERROR('4. NPV'!#REF!/'4. NPV'!KMX$8,0)</f>
        <v>0</v>
      </c>
      <c r="KMX54" s="5">
        <f>-IFERROR('4. NPV'!#REF!/'4. NPV'!KMY$8,0)</f>
        <v>0</v>
      </c>
      <c r="KMY54" s="5">
        <f>-IFERROR('4. NPV'!#REF!/'4. NPV'!KMZ$8,0)</f>
        <v>0</v>
      </c>
      <c r="KMZ54" s="5">
        <f>-IFERROR('4. NPV'!#REF!/'4. NPV'!KNA$8,0)</f>
        <v>0</v>
      </c>
      <c r="KNA54" s="5">
        <f>-IFERROR('4. NPV'!#REF!/'4. NPV'!KNB$8,0)</f>
        <v>0</v>
      </c>
      <c r="KNB54" s="5">
        <f>-IFERROR('4. NPV'!#REF!/'4. NPV'!KNC$8,0)</f>
        <v>0</v>
      </c>
      <c r="KNC54" s="5">
        <f>-IFERROR('4. NPV'!#REF!/'4. NPV'!KND$8,0)</f>
        <v>0</v>
      </c>
      <c r="KND54" s="5">
        <f>-IFERROR('4. NPV'!#REF!/'4. NPV'!KNE$8,0)</f>
        <v>0</v>
      </c>
      <c r="KNE54" s="5">
        <f>-IFERROR('4. NPV'!#REF!/'4. NPV'!KNF$8,0)</f>
        <v>0</v>
      </c>
      <c r="KNF54" s="5">
        <f>-IFERROR('4. NPV'!#REF!/'4. NPV'!KNG$8,0)</f>
        <v>0</v>
      </c>
      <c r="KNG54" s="5">
        <f>-IFERROR('4. NPV'!#REF!/'4. NPV'!KNH$8,0)</f>
        <v>0</v>
      </c>
      <c r="KNH54" s="5">
        <f>-IFERROR('4. NPV'!#REF!/'4. NPV'!KNI$8,0)</f>
        <v>0</v>
      </c>
      <c r="KNI54" s="5">
        <f>-IFERROR('4. NPV'!#REF!/'4. NPV'!KNJ$8,0)</f>
        <v>0</v>
      </c>
      <c r="KNJ54" s="5">
        <f>-IFERROR('4. NPV'!#REF!/'4. NPV'!KNK$8,0)</f>
        <v>0</v>
      </c>
      <c r="KNK54" s="5">
        <f>-IFERROR('4. NPV'!#REF!/'4. NPV'!KNL$8,0)</f>
        <v>0</v>
      </c>
      <c r="KNL54" s="5">
        <f>-IFERROR('4. NPV'!#REF!/'4. NPV'!KNM$8,0)</f>
        <v>0</v>
      </c>
      <c r="KNM54" s="5">
        <f>-IFERROR('4. NPV'!#REF!/'4. NPV'!KNN$8,0)</f>
        <v>0</v>
      </c>
      <c r="KNN54" s="5">
        <f>-IFERROR('4. NPV'!#REF!/'4. NPV'!KNO$8,0)</f>
        <v>0</v>
      </c>
      <c r="KNO54" s="5">
        <f>-IFERROR('4. NPV'!#REF!/'4. NPV'!KNP$8,0)</f>
        <v>0</v>
      </c>
      <c r="KNP54" s="5">
        <f>-IFERROR('4. NPV'!#REF!/'4. NPV'!KNQ$8,0)</f>
        <v>0</v>
      </c>
      <c r="KNQ54" s="5">
        <f>-IFERROR('4. NPV'!#REF!/'4. NPV'!KNR$8,0)</f>
        <v>0</v>
      </c>
      <c r="KNR54" s="5">
        <f>-IFERROR('4. NPV'!#REF!/'4. NPV'!KNS$8,0)</f>
        <v>0</v>
      </c>
      <c r="KNS54" s="5">
        <f>-IFERROR('4. NPV'!#REF!/'4. NPV'!KNT$8,0)</f>
        <v>0</v>
      </c>
      <c r="KNT54" s="5">
        <f>-IFERROR('4. NPV'!#REF!/'4. NPV'!KNU$8,0)</f>
        <v>0</v>
      </c>
      <c r="KNU54" s="5">
        <f>-IFERROR('4. NPV'!#REF!/'4. NPV'!KNV$8,0)</f>
        <v>0</v>
      </c>
      <c r="KNV54" s="5">
        <f>-IFERROR('4. NPV'!#REF!/'4. NPV'!KNW$8,0)</f>
        <v>0</v>
      </c>
      <c r="KNW54" s="5">
        <f>-IFERROR('4. NPV'!#REF!/'4. NPV'!KNX$8,0)</f>
        <v>0</v>
      </c>
      <c r="KNX54" s="5">
        <f>-IFERROR('4. NPV'!#REF!/'4. NPV'!KNY$8,0)</f>
        <v>0</v>
      </c>
      <c r="KNY54" s="5">
        <f>-IFERROR('4. NPV'!#REF!/'4. NPV'!KNZ$8,0)</f>
        <v>0</v>
      </c>
      <c r="KNZ54" s="5">
        <f>-IFERROR('4. NPV'!#REF!/'4. NPV'!KOA$8,0)</f>
        <v>0</v>
      </c>
      <c r="KOA54" s="5">
        <f>-IFERROR('4. NPV'!#REF!/'4. NPV'!KOB$8,0)</f>
        <v>0</v>
      </c>
      <c r="KOB54" s="5">
        <f>-IFERROR('4. NPV'!#REF!/'4. NPV'!KOC$8,0)</f>
        <v>0</v>
      </c>
      <c r="KOC54" s="5">
        <f>-IFERROR('4. NPV'!#REF!/'4. NPV'!KOD$8,0)</f>
        <v>0</v>
      </c>
      <c r="KOD54" s="5">
        <f>-IFERROR('4. NPV'!#REF!/'4. NPV'!KOE$8,0)</f>
        <v>0</v>
      </c>
      <c r="KOE54" s="5">
        <f>-IFERROR('4. NPV'!#REF!/'4. NPV'!KOF$8,0)</f>
        <v>0</v>
      </c>
      <c r="KOF54" s="5">
        <f>-IFERROR('4. NPV'!#REF!/'4. NPV'!KOG$8,0)</f>
        <v>0</v>
      </c>
      <c r="KOG54" s="5">
        <f>-IFERROR('4. NPV'!#REF!/'4. NPV'!KOH$8,0)</f>
        <v>0</v>
      </c>
      <c r="KOH54" s="5">
        <f>-IFERROR('4. NPV'!#REF!/'4. NPV'!KOI$8,0)</f>
        <v>0</v>
      </c>
      <c r="KOI54" s="5">
        <f>-IFERROR('4. NPV'!#REF!/'4. NPV'!KOJ$8,0)</f>
        <v>0</v>
      </c>
      <c r="KOJ54" s="5">
        <f>-IFERROR('4. NPV'!#REF!/'4. NPV'!KOK$8,0)</f>
        <v>0</v>
      </c>
      <c r="KOK54" s="5">
        <f>-IFERROR('4. NPV'!#REF!/'4. NPV'!KOL$8,0)</f>
        <v>0</v>
      </c>
      <c r="KOL54" s="5">
        <f>-IFERROR('4. NPV'!#REF!/'4. NPV'!KOM$8,0)</f>
        <v>0</v>
      </c>
      <c r="KOM54" s="5">
        <f>-IFERROR('4. NPV'!#REF!/'4. NPV'!KON$8,0)</f>
        <v>0</v>
      </c>
      <c r="KON54" s="5">
        <f>-IFERROR('4. NPV'!#REF!/'4. NPV'!KOO$8,0)</f>
        <v>0</v>
      </c>
      <c r="KOO54" s="5">
        <f>-IFERROR('4. NPV'!#REF!/'4. NPV'!KOP$8,0)</f>
        <v>0</v>
      </c>
      <c r="KOP54" s="5">
        <f>-IFERROR('4. NPV'!#REF!/'4. NPV'!KOQ$8,0)</f>
        <v>0</v>
      </c>
      <c r="KOQ54" s="5">
        <f>-IFERROR('4. NPV'!#REF!/'4. NPV'!KOR$8,0)</f>
        <v>0</v>
      </c>
      <c r="KOR54" s="5">
        <f>-IFERROR('4. NPV'!#REF!/'4. NPV'!KOS$8,0)</f>
        <v>0</v>
      </c>
      <c r="KOS54" s="5">
        <f>-IFERROR('4. NPV'!#REF!/'4. NPV'!KOT$8,0)</f>
        <v>0</v>
      </c>
      <c r="KOT54" s="5">
        <f>-IFERROR('4. NPV'!#REF!/'4. NPV'!KOU$8,0)</f>
        <v>0</v>
      </c>
      <c r="KOU54" s="5">
        <f>-IFERROR('4. NPV'!#REF!/'4. NPV'!KOV$8,0)</f>
        <v>0</v>
      </c>
      <c r="KOV54" s="5">
        <f>-IFERROR('4. NPV'!#REF!/'4. NPV'!KOW$8,0)</f>
        <v>0</v>
      </c>
      <c r="KOW54" s="5">
        <f>-IFERROR('4. NPV'!#REF!/'4. NPV'!KOX$8,0)</f>
        <v>0</v>
      </c>
      <c r="KOX54" s="5">
        <f>-IFERROR('4. NPV'!#REF!/'4. NPV'!KOY$8,0)</f>
        <v>0</v>
      </c>
      <c r="KOY54" s="5">
        <f>-IFERROR('4. NPV'!#REF!/'4. NPV'!KOZ$8,0)</f>
        <v>0</v>
      </c>
      <c r="KOZ54" s="5">
        <f>-IFERROR('4. NPV'!#REF!/'4. NPV'!KPA$8,0)</f>
        <v>0</v>
      </c>
      <c r="KPA54" s="5">
        <f>-IFERROR('4. NPV'!#REF!/'4. NPV'!KPB$8,0)</f>
        <v>0</v>
      </c>
      <c r="KPB54" s="5">
        <f>-IFERROR('4. NPV'!#REF!/'4. NPV'!KPC$8,0)</f>
        <v>0</v>
      </c>
      <c r="KPC54" s="5">
        <f>-IFERROR('4. NPV'!#REF!/'4. NPV'!KPD$8,0)</f>
        <v>0</v>
      </c>
      <c r="KPD54" s="5">
        <f>-IFERROR('4. NPV'!#REF!/'4. NPV'!KPE$8,0)</f>
        <v>0</v>
      </c>
      <c r="KPE54" s="5">
        <f>-IFERROR('4. NPV'!#REF!/'4. NPV'!KPF$8,0)</f>
        <v>0</v>
      </c>
      <c r="KPF54" s="5">
        <f>-IFERROR('4. NPV'!#REF!/'4. NPV'!KPG$8,0)</f>
        <v>0</v>
      </c>
      <c r="KPG54" s="5">
        <f>-IFERROR('4. NPV'!#REF!/'4. NPV'!KPH$8,0)</f>
        <v>0</v>
      </c>
      <c r="KPH54" s="5">
        <f>-IFERROR('4. NPV'!#REF!/'4. NPV'!KPI$8,0)</f>
        <v>0</v>
      </c>
      <c r="KPI54" s="5">
        <f>-IFERROR('4. NPV'!#REF!/'4. NPV'!KPJ$8,0)</f>
        <v>0</v>
      </c>
      <c r="KPJ54" s="5">
        <f>-IFERROR('4. NPV'!#REF!/'4. NPV'!KPK$8,0)</f>
        <v>0</v>
      </c>
      <c r="KPK54" s="5">
        <f>-IFERROR('4. NPV'!#REF!/'4. NPV'!KPL$8,0)</f>
        <v>0</v>
      </c>
      <c r="KPL54" s="5">
        <f>-IFERROR('4. NPV'!#REF!/'4. NPV'!KPM$8,0)</f>
        <v>0</v>
      </c>
      <c r="KPM54" s="5">
        <f>-IFERROR('4. NPV'!#REF!/'4. NPV'!KPN$8,0)</f>
        <v>0</v>
      </c>
      <c r="KPN54" s="5">
        <f>-IFERROR('4. NPV'!#REF!/'4. NPV'!KPO$8,0)</f>
        <v>0</v>
      </c>
      <c r="KPO54" s="5">
        <f>-IFERROR('4. NPV'!#REF!/'4. NPV'!KPP$8,0)</f>
        <v>0</v>
      </c>
      <c r="KPP54" s="5">
        <f>-IFERROR('4. NPV'!#REF!/'4. NPV'!KPQ$8,0)</f>
        <v>0</v>
      </c>
      <c r="KPQ54" s="5">
        <f>-IFERROR('4. NPV'!#REF!/'4. NPV'!KPR$8,0)</f>
        <v>0</v>
      </c>
      <c r="KPR54" s="5">
        <f>-IFERROR('4. NPV'!#REF!/'4. NPV'!KPS$8,0)</f>
        <v>0</v>
      </c>
      <c r="KPS54" s="5">
        <f>-IFERROR('4. NPV'!#REF!/'4. NPV'!KPT$8,0)</f>
        <v>0</v>
      </c>
      <c r="KPT54" s="5">
        <f>-IFERROR('4. NPV'!#REF!/'4. NPV'!KPU$8,0)</f>
        <v>0</v>
      </c>
      <c r="KPU54" s="5">
        <f>-IFERROR('4. NPV'!#REF!/'4. NPV'!KPV$8,0)</f>
        <v>0</v>
      </c>
      <c r="KPV54" s="5">
        <f>-IFERROR('4. NPV'!#REF!/'4. NPV'!KPW$8,0)</f>
        <v>0</v>
      </c>
      <c r="KPW54" s="5">
        <f>-IFERROR('4. NPV'!#REF!/'4. NPV'!KPX$8,0)</f>
        <v>0</v>
      </c>
      <c r="KPX54" s="5">
        <f>-IFERROR('4. NPV'!#REF!/'4. NPV'!KPY$8,0)</f>
        <v>0</v>
      </c>
      <c r="KPY54" s="5">
        <f>-IFERROR('4. NPV'!#REF!/'4. NPV'!KPZ$8,0)</f>
        <v>0</v>
      </c>
      <c r="KPZ54" s="5">
        <f>-IFERROR('4. NPV'!#REF!/'4. NPV'!KQA$8,0)</f>
        <v>0</v>
      </c>
      <c r="KQA54" s="5">
        <f>-IFERROR('4. NPV'!#REF!/'4. NPV'!KQB$8,0)</f>
        <v>0</v>
      </c>
      <c r="KQB54" s="5">
        <f>-IFERROR('4. NPV'!#REF!/'4. NPV'!KQC$8,0)</f>
        <v>0</v>
      </c>
      <c r="KQC54" s="5">
        <f>-IFERROR('4. NPV'!#REF!/'4. NPV'!KQD$8,0)</f>
        <v>0</v>
      </c>
      <c r="KQD54" s="5">
        <f>-IFERROR('4. NPV'!#REF!/'4. NPV'!KQE$8,0)</f>
        <v>0</v>
      </c>
      <c r="KQE54" s="5">
        <f>-IFERROR('4. NPV'!#REF!/'4. NPV'!KQF$8,0)</f>
        <v>0</v>
      </c>
      <c r="KQF54" s="5">
        <f>-IFERROR('4. NPV'!#REF!/'4. NPV'!KQG$8,0)</f>
        <v>0</v>
      </c>
      <c r="KQG54" s="5">
        <f>-IFERROR('4. NPV'!#REF!/'4. NPV'!KQH$8,0)</f>
        <v>0</v>
      </c>
      <c r="KQH54" s="5">
        <f>-IFERROR('4. NPV'!#REF!/'4. NPV'!KQI$8,0)</f>
        <v>0</v>
      </c>
      <c r="KQI54" s="5">
        <f>-IFERROR('4. NPV'!#REF!/'4. NPV'!KQJ$8,0)</f>
        <v>0</v>
      </c>
      <c r="KQJ54" s="5">
        <f>-IFERROR('4. NPV'!#REF!/'4. NPV'!KQK$8,0)</f>
        <v>0</v>
      </c>
      <c r="KQK54" s="5">
        <f>-IFERROR('4. NPV'!#REF!/'4. NPV'!KQL$8,0)</f>
        <v>0</v>
      </c>
      <c r="KQL54" s="5">
        <f>-IFERROR('4. NPV'!#REF!/'4. NPV'!KQM$8,0)</f>
        <v>0</v>
      </c>
      <c r="KQM54" s="5">
        <f>-IFERROR('4. NPV'!#REF!/'4. NPV'!KQN$8,0)</f>
        <v>0</v>
      </c>
      <c r="KQN54" s="5">
        <f>-IFERROR('4. NPV'!#REF!/'4. NPV'!KQO$8,0)</f>
        <v>0</v>
      </c>
      <c r="KQO54" s="5">
        <f>-IFERROR('4. NPV'!#REF!/'4. NPV'!KQP$8,0)</f>
        <v>0</v>
      </c>
      <c r="KQP54" s="5">
        <f>-IFERROR('4. NPV'!#REF!/'4. NPV'!KQQ$8,0)</f>
        <v>0</v>
      </c>
      <c r="KQQ54" s="5">
        <f>-IFERROR('4. NPV'!#REF!/'4. NPV'!KQR$8,0)</f>
        <v>0</v>
      </c>
      <c r="KQR54" s="5">
        <f>-IFERROR('4. NPV'!#REF!/'4. NPV'!KQS$8,0)</f>
        <v>0</v>
      </c>
      <c r="KQS54" s="5">
        <f>-IFERROR('4. NPV'!#REF!/'4. NPV'!KQT$8,0)</f>
        <v>0</v>
      </c>
      <c r="KQT54" s="5">
        <f>-IFERROR('4. NPV'!#REF!/'4. NPV'!KQU$8,0)</f>
        <v>0</v>
      </c>
      <c r="KQU54" s="5">
        <f>-IFERROR('4. NPV'!#REF!/'4. NPV'!KQV$8,0)</f>
        <v>0</v>
      </c>
      <c r="KQV54" s="5">
        <f>-IFERROR('4. NPV'!#REF!/'4. NPV'!KQW$8,0)</f>
        <v>0</v>
      </c>
      <c r="KQW54" s="5">
        <f>-IFERROR('4. NPV'!#REF!/'4. NPV'!KQX$8,0)</f>
        <v>0</v>
      </c>
      <c r="KQX54" s="5">
        <f>-IFERROR('4. NPV'!#REF!/'4. NPV'!KQY$8,0)</f>
        <v>0</v>
      </c>
      <c r="KQY54" s="5">
        <f>-IFERROR('4. NPV'!#REF!/'4. NPV'!KQZ$8,0)</f>
        <v>0</v>
      </c>
      <c r="KQZ54" s="5">
        <f>-IFERROR('4. NPV'!#REF!/'4. NPV'!KRA$8,0)</f>
        <v>0</v>
      </c>
      <c r="KRA54" s="5">
        <f>-IFERROR('4. NPV'!#REF!/'4. NPV'!KRB$8,0)</f>
        <v>0</v>
      </c>
      <c r="KRB54" s="5">
        <f>-IFERROR('4. NPV'!#REF!/'4. NPV'!KRC$8,0)</f>
        <v>0</v>
      </c>
      <c r="KRC54" s="5">
        <f>-IFERROR('4. NPV'!#REF!/'4. NPV'!KRD$8,0)</f>
        <v>0</v>
      </c>
      <c r="KRD54" s="5">
        <f>-IFERROR('4. NPV'!#REF!/'4. NPV'!KRE$8,0)</f>
        <v>0</v>
      </c>
      <c r="KRE54" s="5">
        <f>-IFERROR('4. NPV'!#REF!/'4. NPV'!KRF$8,0)</f>
        <v>0</v>
      </c>
      <c r="KRF54" s="5">
        <f>-IFERROR('4. NPV'!#REF!/'4. NPV'!KRG$8,0)</f>
        <v>0</v>
      </c>
      <c r="KRG54" s="5">
        <f>-IFERROR('4. NPV'!#REF!/'4. NPV'!KRH$8,0)</f>
        <v>0</v>
      </c>
      <c r="KRH54" s="5">
        <f>-IFERROR('4. NPV'!#REF!/'4. NPV'!KRI$8,0)</f>
        <v>0</v>
      </c>
      <c r="KRI54" s="5">
        <f>-IFERROR('4. NPV'!#REF!/'4. NPV'!KRJ$8,0)</f>
        <v>0</v>
      </c>
      <c r="KRJ54" s="5">
        <f>-IFERROR('4. NPV'!#REF!/'4. NPV'!KRK$8,0)</f>
        <v>0</v>
      </c>
      <c r="KRK54" s="5">
        <f>-IFERROR('4. NPV'!#REF!/'4. NPV'!KRL$8,0)</f>
        <v>0</v>
      </c>
      <c r="KRL54" s="5">
        <f>-IFERROR('4. NPV'!#REF!/'4. NPV'!KRM$8,0)</f>
        <v>0</v>
      </c>
      <c r="KRM54" s="5">
        <f>-IFERROR('4. NPV'!#REF!/'4. NPV'!KRN$8,0)</f>
        <v>0</v>
      </c>
      <c r="KRN54" s="5">
        <f>-IFERROR('4. NPV'!#REF!/'4. NPV'!KRO$8,0)</f>
        <v>0</v>
      </c>
      <c r="KRO54" s="5">
        <f>-IFERROR('4. NPV'!#REF!/'4. NPV'!KRP$8,0)</f>
        <v>0</v>
      </c>
      <c r="KRP54" s="5">
        <f>-IFERROR('4. NPV'!#REF!/'4. NPV'!KRQ$8,0)</f>
        <v>0</v>
      </c>
      <c r="KRQ54" s="5">
        <f>-IFERROR('4. NPV'!#REF!/'4. NPV'!KRR$8,0)</f>
        <v>0</v>
      </c>
      <c r="KRR54" s="5">
        <f>-IFERROR('4. NPV'!#REF!/'4. NPV'!KRS$8,0)</f>
        <v>0</v>
      </c>
      <c r="KRS54" s="5">
        <f>-IFERROR('4. NPV'!#REF!/'4. NPV'!KRT$8,0)</f>
        <v>0</v>
      </c>
      <c r="KRT54" s="5">
        <f>-IFERROR('4. NPV'!#REF!/'4. NPV'!KRU$8,0)</f>
        <v>0</v>
      </c>
      <c r="KRU54" s="5">
        <f>-IFERROR('4. NPV'!#REF!/'4. NPV'!KRV$8,0)</f>
        <v>0</v>
      </c>
      <c r="KRV54" s="5">
        <f>-IFERROR('4. NPV'!#REF!/'4. NPV'!KRW$8,0)</f>
        <v>0</v>
      </c>
      <c r="KRW54" s="5">
        <f>-IFERROR('4. NPV'!#REF!/'4. NPV'!KRX$8,0)</f>
        <v>0</v>
      </c>
      <c r="KRX54" s="5">
        <f>-IFERROR('4. NPV'!#REF!/'4. NPV'!KRY$8,0)</f>
        <v>0</v>
      </c>
      <c r="KRY54" s="5">
        <f>-IFERROR('4. NPV'!#REF!/'4. NPV'!KRZ$8,0)</f>
        <v>0</v>
      </c>
      <c r="KRZ54" s="5">
        <f>-IFERROR('4. NPV'!#REF!/'4. NPV'!KSA$8,0)</f>
        <v>0</v>
      </c>
      <c r="KSA54" s="5">
        <f>-IFERROR('4. NPV'!#REF!/'4. NPV'!KSB$8,0)</f>
        <v>0</v>
      </c>
      <c r="KSB54" s="5">
        <f>-IFERROR('4. NPV'!#REF!/'4. NPV'!KSC$8,0)</f>
        <v>0</v>
      </c>
      <c r="KSC54" s="5">
        <f>-IFERROR('4. NPV'!#REF!/'4. NPV'!KSD$8,0)</f>
        <v>0</v>
      </c>
      <c r="KSD54" s="5">
        <f>-IFERROR('4. NPV'!#REF!/'4. NPV'!KSE$8,0)</f>
        <v>0</v>
      </c>
      <c r="KSE54" s="5">
        <f>-IFERROR('4. NPV'!#REF!/'4. NPV'!KSF$8,0)</f>
        <v>0</v>
      </c>
      <c r="KSF54" s="5">
        <f>-IFERROR('4. NPV'!#REF!/'4. NPV'!KSG$8,0)</f>
        <v>0</v>
      </c>
      <c r="KSG54" s="5">
        <f>-IFERROR('4. NPV'!#REF!/'4. NPV'!KSH$8,0)</f>
        <v>0</v>
      </c>
      <c r="KSH54" s="5">
        <f>-IFERROR('4. NPV'!#REF!/'4. NPV'!KSI$8,0)</f>
        <v>0</v>
      </c>
      <c r="KSI54" s="5">
        <f>-IFERROR('4. NPV'!#REF!/'4. NPV'!KSJ$8,0)</f>
        <v>0</v>
      </c>
      <c r="KSJ54" s="5">
        <f>-IFERROR('4. NPV'!#REF!/'4. NPV'!KSK$8,0)</f>
        <v>0</v>
      </c>
      <c r="KSK54" s="5">
        <f>-IFERROR('4. NPV'!#REF!/'4. NPV'!KSL$8,0)</f>
        <v>0</v>
      </c>
      <c r="KSL54" s="5">
        <f>-IFERROR('4. NPV'!#REF!/'4. NPV'!KSM$8,0)</f>
        <v>0</v>
      </c>
      <c r="KSM54" s="5">
        <f>-IFERROR('4. NPV'!#REF!/'4. NPV'!KSN$8,0)</f>
        <v>0</v>
      </c>
      <c r="KSN54" s="5">
        <f>-IFERROR('4. NPV'!#REF!/'4. NPV'!KSO$8,0)</f>
        <v>0</v>
      </c>
      <c r="KSO54" s="5">
        <f>-IFERROR('4. NPV'!#REF!/'4. NPV'!KSP$8,0)</f>
        <v>0</v>
      </c>
      <c r="KSP54" s="5">
        <f>-IFERROR('4. NPV'!#REF!/'4. NPV'!KSQ$8,0)</f>
        <v>0</v>
      </c>
      <c r="KSQ54" s="5">
        <f>-IFERROR('4. NPV'!#REF!/'4. NPV'!KSR$8,0)</f>
        <v>0</v>
      </c>
      <c r="KSR54" s="5">
        <f>-IFERROR('4. NPV'!#REF!/'4. NPV'!KSS$8,0)</f>
        <v>0</v>
      </c>
      <c r="KSS54" s="5">
        <f>-IFERROR('4. NPV'!#REF!/'4. NPV'!KST$8,0)</f>
        <v>0</v>
      </c>
      <c r="KST54" s="5">
        <f>-IFERROR('4. NPV'!#REF!/'4. NPV'!KSU$8,0)</f>
        <v>0</v>
      </c>
      <c r="KSU54" s="5">
        <f>-IFERROR('4. NPV'!#REF!/'4. NPV'!KSV$8,0)</f>
        <v>0</v>
      </c>
      <c r="KSV54" s="5">
        <f>-IFERROR('4. NPV'!#REF!/'4. NPV'!KSW$8,0)</f>
        <v>0</v>
      </c>
      <c r="KSW54" s="5">
        <f>-IFERROR('4. NPV'!#REF!/'4. NPV'!KSX$8,0)</f>
        <v>0</v>
      </c>
      <c r="KSX54" s="5">
        <f>-IFERROR('4. NPV'!#REF!/'4. NPV'!KSY$8,0)</f>
        <v>0</v>
      </c>
      <c r="KSY54" s="5">
        <f>-IFERROR('4. NPV'!#REF!/'4. NPV'!KSZ$8,0)</f>
        <v>0</v>
      </c>
      <c r="KSZ54" s="5">
        <f>-IFERROR('4. NPV'!#REF!/'4. NPV'!KTA$8,0)</f>
        <v>0</v>
      </c>
      <c r="KTA54" s="5">
        <f>-IFERROR('4. NPV'!#REF!/'4. NPV'!KTB$8,0)</f>
        <v>0</v>
      </c>
      <c r="KTB54" s="5">
        <f>-IFERROR('4. NPV'!#REF!/'4. NPV'!KTC$8,0)</f>
        <v>0</v>
      </c>
      <c r="KTC54" s="5">
        <f>-IFERROR('4. NPV'!#REF!/'4. NPV'!KTD$8,0)</f>
        <v>0</v>
      </c>
      <c r="KTD54" s="5">
        <f>-IFERROR('4. NPV'!#REF!/'4. NPV'!KTE$8,0)</f>
        <v>0</v>
      </c>
      <c r="KTE54" s="5">
        <f>-IFERROR('4. NPV'!#REF!/'4. NPV'!KTF$8,0)</f>
        <v>0</v>
      </c>
      <c r="KTF54" s="5">
        <f>-IFERROR('4. NPV'!#REF!/'4. NPV'!KTG$8,0)</f>
        <v>0</v>
      </c>
      <c r="KTG54" s="5">
        <f>-IFERROR('4. NPV'!#REF!/'4. NPV'!KTH$8,0)</f>
        <v>0</v>
      </c>
      <c r="KTH54" s="5">
        <f>-IFERROR('4. NPV'!#REF!/'4. NPV'!KTI$8,0)</f>
        <v>0</v>
      </c>
      <c r="KTI54" s="5">
        <f>-IFERROR('4. NPV'!#REF!/'4. NPV'!KTJ$8,0)</f>
        <v>0</v>
      </c>
      <c r="KTJ54" s="5">
        <f>-IFERROR('4. NPV'!#REF!/'4. NPV'!KTK$8,0)</f>
        <v>0</v>
      </c>
      <c r="KTK54" s="5">
        <f>-IFERROR('4. NPV'!#REF!/'4. NPV'!KTL$8,0)</f>
        <v>0</v>
      </c>
      <c r="KTL54" s="5">
        <f>-IFERROR('4. NPV'!#REF!/'4. NPV'!KTM$8,0)</f>
        <v>0</v>
      </c>
      <c r="KTM54" s="5">
        <f>-IFERROR('4. NPV'!#REF!/'4. NPV'!KTN$8,0)</f>
        <v>0</v>
      </c>
      <c r="KTN54" s="5">
        <f>-IFERROR('4. NPV'!#REF!/'4. NPV'!KTO$8,0)</f>
        <v>0</v>
      </c>
      <c r="KTO54" s="5">
        <f>-IFERROR('4. NPV'!#REF!/'4. NPV'!KTP$8,0)</f>
        <v>0</v>
      </c>
      <c r="KTP54" s="5">
        <f>-IFERROR('4. NPV'!#REF!/'4. NPV'!KTQ$8,0)</f>
        <v>0</v>
      </c>
      <c r="KTQ54" s="5">
        <f>-IFERROR('4. NPV'!#REF!/'4. NPV'!KTR$8,0)</f>
        <v>0</v>
      </c>
      <c r="KTR54" s="5">
        <f>-IFERROR('4. NPV'!#REF!/'4. NPV'!KTS$8,0)</f>
        <v>0</v>
      </c>
      <c r="KTS54" s="5">
        <f>-IFERROR('4. NPV'!#REF!/'4. NPV'!KTT$8,0)</f>
        <v>0</v>
      </c>
      <c r="KTT54" s="5">
        <f>-IFERROR('4. NPV'!#REF!/'4. NPV'!KTU$8,0)</f>
        <v>0</v>
      </c>
      <c r="KTU54" s="5">
        <f>-IFERROR('4. NPV'!#REF!/'4. NPV'!KTV$8,0)</f>
        <v>0</v>
      </c>
      <c r="KTV54" s="5">
        <f>-IFERROR('4. NPV'!#REF!/'4. NPV'!KTW$8,0)</f>
        <v>0</v>
      </c>
      <c r="KTW54" s="5">
        <f>-IFERROR('4. NPV'!#REF!/'4. NPV'!KTX$8,0)</f>
        <v>0</v>
      </c>
      <c r="KTX54" s="5">
        <f>-IFERROR('4. NPV'!#REF!/'4. NPV'!KTY$8,0)</f>
        <v>0</v>
      </c>
      <c r="KTY54" s="5">
        <f>-IFERROR('4. NPV'!#REF!/'4. NPV'!KTZ$8,0)</f>
        <v>0</v>
      </c>
      <c r="KTZ54" s="5">
        <f>-IFERROR('4. NPV'!#REF!/'4. NPV'!KUA$8,0)</f>
        <v>0</v>
      </c>
      <c r="KUA54" s="5">
        <f>-IFERROR('4. NPV'!#REF!/'4. NPV'!KUB$8,0)</f>
        <v>0</v>
      </c>
      <c r="KUB54" s="5">
        <f>-IFERROR('4. NPV'!#REF!/'4. NPV'!KUC$8,0)</f>
        <v>0</v>
      </c>
      <c r="KUC54" s="5">
        <f>-IFERROR('4. NPV'!#REF!/'4. NPV'!KUD$8,0)</f>
        <v>0</v>
      </c>
      <c r="KUD54" s="5">
        <f>-IFERROR('4. NPV'!#REF!/'4. NPV'!KUE$8,0)</f>
        <v>0</v>
      </c>
      <c r="KUE54" s="5">
        <f>-IFERROR('4. NPV'!#REF!/'4. NPV'!KUF$8,0)</f>
        <v>0</v>
      </c>
      <c r="KUF54" s="5">
        <f>-IFERROR('4. NPV'!#REF!/'4. NPV'!KUG$8,0)</f>
        <v>0</v>
      </c>
      <c r="KUG54" s="5">
        <f>-IFERROR('4. NPV'!#REF!/'4. NPV'!KUH$8,0)</f>
        <v>0</v>
      </c>
      <c r="KUH54" s="5">
        <f>-IFERROR('4. NPV'!#REF!/'4. NPV'!KUI$8,0)</f>
        <v>0</v>
      </c>
      <c r="KUI54" s="5">
        <f>-IFERROR('4. NPV'!#REF!/'4. NPV'!KUJ$8,0)</f>
        <v>0</v>
      </c>
      <c r="KUJ54" s="5">
        <f>-IFERROR('4. NPV'!#REF!/'4. NPV'!KUK$8,0)</f>
        <v>0</v>
      </c>
      <c r="KUK54" s="5">
        <f>-IFERROR('4. NPV'!#REF!/'4. NPV'!KUL$8,0)</f>
        <v>0</v>
      </c>
      <c r="KUL54" s="5">
        <f>-IFERROR('4. NPV'!#REF!/'4. NPV'!KUM$8,0)</f>
        <v>0</v>
      </c>
      <c r="KUM54" s="5">
        <f>-IFERROR('4. NPV'!#REF!/'4. NPV'!KUN$8,0)</f>
        <v>0</v>
      </c>
      <c r="KUN54" s="5">
        <f>-IFERROR('4. NPV'!#REF!/'4. NPV'!KUO$8,0)</f>
        <v>0</v>
      </c>
      <c r="KUO54" s="5">
        <f>-IFERROR('4. NPV'!#REF!/'4. NPV'!KUP$8,0)</f>
        <v>0</v>
      </c>
      <c r="KUP54" s="5">
        <f>-IFERROR('4. NPV'!#REF!/'4. NPV'!KUQ$8,0)</f>
        <v>0</v>
      </c>
      <c r="KUQ54" s="5">
        <f>-IFERROR('4. NPV'!#REF!/'4. NPV'!KUR$8,0)</f>
        <v>0</v>
      </c>
      <c r="KUR54" s="5">
        <f>-IFERROR('4. NPV'!#REF!/'4. NPV'!KUS$8,0)</f>
        <v>0</v>
      </c>
      <c r="KUS54" s="5">
        <f>-IFERROR('4. NPV'!#REF!/'4. NPV'!KUT$8,0)</f>
        <v>0</v>
      </c>
      <c r="KUT54" s="5">
        <f>-IFERROR('4. NPV'!#REF!/'4. NPV'!KUU$8,0)</f>
        <v>0</v>
      </c>
      <c r="KUU54" s="5">
        <f>-IFERROR('4. NPV'!#REF!/'4. NPV'!KUV$8,0)</f>
        <v>0</v>
      </c>
      <c r="KUV54" s="5">
        <f>-IFERROR('4. NPV'!#REF!/'4. NPV'!KUW$8,0)</f>
        <v>0</v>
      </c>
      <c r="KUW54" s="5">
        <f>-IFERROR('4. NPV'!#REF!/'4. NPV'!KUX$8,0)</f>
        <v>0</v>
      </c>
      <c r="KUX54" s="5">
        <f>-IFERROR('4. NPV'!#REF!/'4. NPV'!KUY$8,0)</f>
        <v>0</v>
      </c>
      <c r="KUY54" s="5">
        <f>-IFERROR('4. NPV'!#REF!/'4. NPV'!KUZ$8,0)</f>
        <v>0</v>
      </c>
      <c r="KUZ54" s="5">
        <f>-IFERROR('4. NPV'!#REF!/'4. NPV'!KVA$8,0)</f>
        <v>0</v>
      </c>
      <c r="KVA54" s="5">
        <f>-IFERROR('4. NPV'!#REF!/'4. NPV'!KVB$8,0)</f>
        <v>0</v>
      </c>
      <c r="KVB54" s="5">
        <f>-IFERROR('4. NPV'!#REF!/'4. NPV'!KVC$8,0)</f>
        <v>0</v>
      </c>
      <c r="KVC54" s="5">
        <f>-IFERROR('4. NPV'!#REF!/'4. NPV'!KVD$8,0)</f>
        <v>0</v>
      </c>
      <c r="KVD54" s="5">
        <f>-IFERROR('4. NPV'!#REF!/'4. NPV'!KVE$8,0)</f>
        <v>0</v>
      </c>
      <c r="KVE54" s="5">
        <f>-IFERROR('4. NPV'!#REF!/'4. NPV'!KVF$8,0)</f>
        <v>0</v>
      </c>
      <c r="KVF54" s="5">
        <f>-IFERROR('4. NPV'!#REF!/'4. NPV'!KVG$8,0)</f>
        <v>0</v>
      </c>
      <c r="KVG54" s="5">
        <f>-IFERROR('4. NPV'!#REF!/'4. NPV'!KVH$8,0)</f>
        <v>0</v>
      </c>
      <c r="KVH54" s="5">
        <f>-IFERROR('4. NPV'!#REF!/'4. NPV'!KVI$8,0)</f>
        <v>0</v>
      </c>
      <c r="KVI54" s="5">
        <f>-IFERROR('4. NPV'!#REF!/'4. NPV'!KVJ$8,0)</f>
        <v>0</v>
      </c>
      <c r="KVJ54" s="5">
        <f>-IFERROR('4. NPV'!#REF!/'4. NPV'!KVK$8,0)</f>
        <v>0</v>
      </c>
      <c r="KVK54" s="5">
        <f>-IFERROR('4. NPV'!#REF!/'4. NPV'!KVL$8,0)</f>
        <v>0</v>
      </c>
      <c r="KVL54" s="5">
        <f>-IFERROR('4. NPV'!#REF!/'4. NPV'!KVM$8,0)</f>
        <v>0</v>
      </c>
      <c r="KVM54" s="5">
        <f>-IFERROR('4. NPV'!#REF!/'4. NPV'!KVN$8,0)</f>
        <v>0</v>
      </c>
      <c r="KVN54" s="5">
        <f>-IFERROR('4. NPV'!#REF!/'4. NPV'!KVO$8,0)</f>
        <v>0</v>
      </c>
      <c r="KVO54" s="5">
        <f>-IFERROR('4. NPV'!#REF!/'4. NPV'!KVP$8,0)</f>
        <v>0</v>
      </c>
      <c r="KVP54" s="5">
        <f>-IFERROR('4. NPV'!#REF!/'4. NPV'!KVQ$8,0)</f>
        <v>0</v>
      </c>
      <c r="KVQ54" s="5">
        <f>-IFERROR('4. NPV'!#REF!/'4. NPV'!KVR$8,0)</f>
        <v>0</v>
      </c>
      <c r="KVR54" s="5">
        <f>-IFERROR('4. NPV'!#REF!/'4. NPV'!KVS$8,0)</f>
        <v>0</v>
      </c>
      <c r="KVS54" s="5">
        <f>-IFERROR('4. NPV'!#REF!/'4. NPV'!KVT$8,0)</f>
        <v>0</v>
      </c>
      <c r="KVT54" s="5">
        <f>-IFERROR('4. NPV'!#REF!/'4. NPV'!KVU$8,0)</f>
        <v>0</v>
      </c>
      <c r="KVU54" s="5">
        <f>-IFERROR('4. NPV'!#REF!/'4. NPV'!KVV$8,0)</f>
        <v>0</v>
      </c>
      <c r="KVV54" s="5">
        <f>-IFERROR('4. NPV'!#REF!/'4. NPV'!KVW$8,0)</f>
        <v>0</v>
      </c>
      <c r="KVW54" s="5">
        <f>-IFERROR('4. NPV'!#REF!/'4. NPV'!KVX$8,0)</f>
        <v>0</v>
      </c>
      <c r="KVX54" s="5">
        <f>-IFERROR('4. NPV'!#REF!/'4. NPV'!KVY$8,0)</f>
        <v>0</v>
      </c>
      <c r="KVY54" s="5">
        <f>-IFERROR('4. NPV'!#REF!/'4. NPV'!KVZ$8,0)</f>
        <v>0</v>
      </c>
      <c r="KVZ54" s="5">
        <f>-IFERROR('4. NPV'!#REF!/'4. NPV'!KWA$8,0)</f>
        <v>0</v>
      </c>
      <c r="KWA54" s="5">
        <f>-IFERROR('4. NPV'!#REF!/'4. NPV'!KWB$8,0)</f>
        <v>0</v>
      </c>
      <c r="KWB54" s="5">
        <f>-IFERROR('4. NPV'!#REF!/'4. NPV'!KWC$8,0)</f>
        <v>0</v>
      </c>
      <c r="KWC54" s="5">
        <f>-IFERROR('4. NPV'!#REF!/'4. NPV'!KWD$8,0)</f>
        <v>0</v>
      </c>
      <c r="KWD54" s="5">
        <f>-IFERROR('4. NPV'!#REF!/'4. NPV'!KWE$8,0)</f>
        <v>0</v>
      </c>
      <c r="KWE54" s="5">
        <f>-IFERROR('4. NPV'!#REF!/'4. NPV'!KWF$8,0)</f>
        <v>0</v>
      </c>
      <c r="KWF54" s="5">
        <f>-IFERROR('4. NPV'!#REF!/'4. NPV'!KWG$8,0)</f>
        <v>0</v>
      </c>
      <c r="KWG54" s="5">
        <f>-IFERROR('4. NPV'!#REF!/'4. NPV'!KWH$8,0)</f>
        <v>0</v>
      </c>
      <c r="KWH54" s="5">
        <f>-IFERROR('4. NPV'!#REF!/'4. NPV'!KWI$8,0)</f>
        <v>0</v>
      </c>
      <c r="KWI54" s="5">
        <f>-IFERROR('4. NPV'!#REF!/'4. NPV'!KWJ$8,0)</f>
        <v>0</v>
      </c>
      <c r="KWJ54" s="5">
        <f>-IFERROR('4. NPV'!#REF!/'4. NPV'!KWK$8,0)</f>
        <v>0</v>
      </c>
      <c r="KWK54" s="5">
        <f>-IFERROR('4. NPV'!#REF!/'4. NPV'!KWL$8,0)</f>
        <v>0</v>
      </c>
      <c r="KWL54" s="5">
        <f>-IFERROR('4. NPV'!#REF!/'4. NPV'!KWM$8,0)</f>
        <v>0</v>
      </c>
      <c r="KWM54" s="5">
        <f>-IFERROR('4. NPV'!#REF!/'4. NPV'!KWN$8,0)</f>
        <v>0</v>
      </c>
      <c r="KWN54" s="5">
        <f>-IFERROR('4. NPV'!#REF!/'4. NPV'!KWO$8,0)</f>
        <v>0</v>
      </c>
      <c r="KWO54" s="5">
        <f>-IFERROR('4. NPV'!#REF!/'4. NPV'!KWP$8,0)</f>
        <v>0</v>
      </c>
      <c r="KWP54" s="5">
        <f>-IFERROR('4. NPV'!#REF!/'4. NPV'!KWQ$8,0)</f>
        <v>0</v>
      </c>
      <c r="KWQ54" s="5">
        <f>-IFERROR('4. NPV'!#REF!/'4. NPV'!KWR$8,0)</f>
        <v>0</v>
      </c>
      <c r="KWR54" s="5">
        <f>-IFERROR('4. NPV'!#REF!/'4. NPV'!KWS$8,0)</f>
        <v>0</v>
      </c>
      <c r="KWS54" s="5">
        <f>-IFERROR('4. NPV'!#REF!/'4. NPV'!KWT$8,0)</f>
        <v>0</v>
      </c>
      <c r="KWT54" s="5">
        <f>-IFERROR('4. NPV'!#REF!/'4. NPV'!KWU$8,0)</f>
        <v>0</v>
      </c>
      <c r="KWU54" s="5">
        <f>-IFERROR('4. NPV'!#REF!/'4. NPV'!KWV$8,0)</f>
        <v>0</v>
      </c>
      <c r="KWV54" s="5">
        <f>-IFERROR('4. NPV'!#REF!/'4. NPV'!KWW$8,0)</f>
        <v>0</v>
      </c>
      <c r="KWW54" s="5">
        <f>-IFERROR('4. NPV'!#REF!/'4. NPV'!KWX$8,0)</f>
        <v>0</v>
      </c>
      <c r="KWX54" s="5">
        <f>-IFERROR('4. NPV'!#REF!/'4. NPV'!KWY$8,0)</f>
        <v>0</v>
      </c>
      <c r="KWY54" s="5">
        <f>-IFERROR('4. NPV'!#REF!/'4. NPV'!KWZ$8,0)</f>
        <v>0</v>
      </c>
      <c r="KWZ54" s="5">
        <f>-IFERROR('4. NPV'!#REF!/'4. NPV'!KXA$8,0)</f>
        <v>0</v>
      </c>
      <c r="KXA54" s="5">
        <f>-IFERROR('4. NPV'!#REF!/'4. NPV'!KXB$8,0)</f>
        <v>0</v>
      </c>
      <c r="KXB54" s="5">
        <f>-IFERROR('4. NPV'!#REF!/'4. NPV'!KXC$8,0)</f>
        <v>0</v>
      </c>
      <c r="KXC54" s="5">
        <f>-IFERROR('4. NPV'!#REF!/'4. NPV'!KXD$8,0)</f>
        <v>0</v>
      </c>
      <c r="KXD54" s="5">
        <f>-IFERROR('4. NPV'!#REF!/'4. NPV'!KXE$8,0)</f>
        <v>0</v>
      </c>
      <c r="KXE54" s="5">
        <f>-IFERROR('4. NPV'!#REF!/'4. NPV'!KXF$8,0)</f>
        <v>0</v>
      </c>
      <c r="KXF54" s="5">
        <f>-IFERROR('4. NPV'!#REF!/'4. NPV'!KXG$8,0)</f>
        <v>0</v>
      </c>
      <c r="KXG54" s="5">
        <f>-IFERROR('4. NPV'!#REF!/'4. NPV'!KXH$8,0)</f>
        <v>0</v>
      </c>
      <c r="KXH54" s="5">
        <f>-IFERROR('4. NPV'!#REF!/'4. NPV'!KXI$8,0)</f>
        <v>0</v>
      </c>
      <c r="KXI54" s="5">
        <f>-IFERROR('4. NPV'!#REF!/'4. NPV'!KXJ$8,0)</f>
        <v>0</v>
      </c>
      <c r="KXJ54" s="5">
        <f>-IFERROR('4. NPV'!#REF!/'4. NPV'!KXK$8,0)</f>
        <v>0</v>
      </c>
      <c r="KXK54" s="5">
        <f>-IFERROR('4. NPV'!#REF!/'4. NPV'!KXL$8,0)</f>
        <v>0</v>
      </c>
      <c r="KXL54" s="5">
        <f>-IFERROR('4. NPV'!#REF!/'4. NPV'!KXM$8,0)</f>
        <v>0</v>
      </c>
      <c r="KXM54" s="5">
        <f>-IFERROR('4. NPV'!#REF!/'4. NPV'!KXN$8,0)</f>
        <v>0</v>
      </c>
      <c r="KXN54" s="5">
        <f>-IFERROR('4. NPV'!#REF!/'4. NPV'!KXO$8,0)</f>
        <v>0</v>
      </c>
      <c r="KXO54" s="5">
        <f>-IFERROR('4. NPV'!#REF!/'4. NPV'!KXP$8,0)</f>
        <v>0</v>
      </c>
      <c r="KXP54" s="5">
        <f>-IFERROR('4. NPV'!#REF!/'4. NPV'!KXQ$8,0)</f>
        <v>0</v>
      </c>
      <c r="KXQ54" s="5">
        <f>-IFERROR('4. NPV'!#REF!/'4. NPV'!KXR$8,0)</f>
        <v>0</v>
      </c>
      <c r="KXR54" s="5">
        <f>-IFERROR('4. NPV'!#REF!/'4. NPV'!KXS$8,0)</f>
        <v>0</v>
      </c>
      <c r="KXS54" s="5">
        <f>-IFERROR('4. NPV'!#REF!/'4. NPV'!KXT$8,0)</f>
        <v>0</v>
      </c>
      <c r="KXT54" s="5">
        <f>-IFERROR('4. NPV'!#REF!/'4. NPV'!KXU$8,0)</f>
        <v>0</v>
      </c>
      <c r="KXU54" s="5">
        <f>-IFERROR('4. NPV'!#REF!/'4. NPV'!KXV$8,0)</f>
        <v>0</v>
      </c>
      <c r="KXV54" s="5">
        <f>-IFERROR('4. NPV'!#REF!/'4. NPV'!KXW$8,0)</f>
        <v>0</v>
      </c>
      <c r="KXW54" s="5">
        <f>-IFERROR('4. NPV'!#REF!/'4. NPV'!KXX$8,0)</f>
        <v>0</v>
      </c>
      <c r="KXX54" s="5">
        <f>-IFERROR('4. NPV'!#REF!/'4. NPV'!KXY$8,0)</f>
        <v>0</v>
      </c>
      <c r="KXY54" s="5">
        <f>-IFERROR('4. NPV'!#REF!/'4. NPV'!KXZ$8,0)</f>
        <v>0</v>
      </c>
      <c r="KXZ54" s="5">
        <f>-IFERROR('4. NPV'!#REF!/'4. NPV'!KYA$8,0)</f>
        <v>0</v>
      </c>
      <c r="KYA54" s="5">
        <f>-IFERROR('4. NPV'!#REF!/'4. NPV'!KYB$8,0)</f>
        <v>0</v>
      </c>
      <c r="KYB54" s="5">
        <f>-IFERROR('4. NPV'!#REF!/'4. NPV'!KYC$8,0)</f>
        <v>0</v>
      </c>
      <c r="KYC54" s="5">
        <f>-IFERROR('4. NPV'!#REF!/'4. NPV'!KYD$8,0)</f>
        <v>0</v>
      </c>
      <c r="KYD54" s="5">
        <f>-IFERROR('4. NPV'!#REF!/'4. NPV'!KYE$8,0)</f>
        <v>0</v>
      </c>
      <c r="KYE54" s="5">
        <f>-IFERROR('4. NPV'!#REF!/'4. NPV'!KYF$8,0)</f>
        <v>0</v>
      </c>
      <c r="KYF54" s="5">
        <f>-IFERROR('4. NPV'!#REF!/'4. NPV'!KYG$8,0)</f>
        <v>0</v>
      </c>
      <c r="KYG54" s="5">
        <f>-IFERROR('4. NPV'!#REF!/'4. NPV'!KYH$8,0)</f>
        <v>0</v>
      </c>
      <c r="KYH54" s="5">
        <f>-IFERROR('4. NPV'!#REF!/'4. NPV'!KYI$8,0)</f>
        <v>0</v>
      </c>
      <c r="KYI54" s="5">
        <f>-IFERROR('4. NPV'!#REF!/'4. NPV'!KYJ$8,0)</f>
        <v>0</v>
      </c>
      <c r="KYJ54" s="5">
        <f>-IFERROR('4. NPV'!#REF!/'4. NPV'!KYK$8,0)</f>
        <v>0</v>
      </c>
      <c r="KYK54" s="5">
        <f>-IFERROR('4. NPV'!#REF!/'4. NPV'!KYL$8,0)</f>
        <v>0</v>
      </c>
      <c r="KYL54" s="5">
        <f>-IFERROR('4. NPV'!#REF!/'4. NPV'!KYM$8,0)</f>
        <v>0</v>
      </c>
      <c r="KYM54" s="5">
        <f>-IFERROR('4. NPV'!#REF!/'4. NPV'!KYN$8,0)</f>
        <v>0</v>
      </c>
      <c r="KYN54" s="5">
        <f>-IFERROR('4. NPV'!#REF!/'4. NPV'!KYO$8,0)</f>
        <v>0</v>
      </c>
      <c r="KYO54" s="5">
        <f>-IFERROR('4. NPV'!#REF!/'4. NPV'!KYP$8,0)</f>
        <v>0</v>
      </c>
      <c r="KYP54" s="5">
        <f>-IFERROR('4. NPV'!#REF!/'4. NPV'!KYQ$8,0)</f>
        <v>0</v>
      </c>
      <c r="KYQ54" s="5">
        <f>-IFERROR('4. NPV'!#REF!/'4. NPV'!KYR$8,0)</f>
        <v>0</v>
      </c>
      <c r="KYR54" s="5">
        <f>-IFERROR('4. NPV'!#REF!/'4. NPV'!KYS$8,0)</f>
        <v>0</v>
      </c>
      <c r="KYS54" s="5">
        <f>-IFERROR('4. NPV'!#REF!/'4. NPV'!KYT$8,0)</f>
        <v>0</v>
      </c>
      <c r="KYT54" s="5">
        <f>-IFERROR('4. NPV'!#REF!/'4. NPV'!KYU$8,0)</f>
        <v>0</v>
      </c>
      <c r="KYU54" s="5">
        <f>-IFERROR('4. NPV'!#REF!/'4. NPV'!KYV$8,0)</f>
        <v>0</v>
      </c>
      <c r="KYV54" s="5">
        <f>-IFERROR('4. NPV'!#REF!/'4. NPV'!KYW$8,0)</f>
        <v>0</v>
      </c>
      <c r="KYW54" s="5">
        <f>-IFERROR('4. NPV'!#REF!/'4. NPV'!KYX$8,0)</f>
        <v>0</v>
      </c>
      <c r="KYX54" s="5">
        <f>-IFERROR('4. NPV'!#REF!/'4. NPV'!KYY$8,0)</f>
        <v>0</v>
      </c>
      <c r="KYY54" s="5">
        <f>-IFERROR('4. NPV'!#REF!/'4. NPV'!KYZ$8,0)</f>
        <v>0</v>
      </c>
      <c r="KYZ54" s="5">
        <f>-IFERROR('4. NPV'!#REF!/'4. NPV'!KZA$8,0)</f>
        <v>0</v>
      </c>
      <c r="KZA54" s="5">
        <f>-IFERROR('4. NPV'!#REF!/'4. NPV'!KZB$8,0)</f>
        <v>0</v>
      </c>
      <c r="KZB54" s="5">
        <f>-IFERROR('4. NPV'!#REF!/'4. NPV'!KZC$8,0)</f>
        <v>0</v>
      </c>
      <c r="KZC54" s="5">
        <f>-IFERROR('4. NPV'!#REF!/'4. NPV'!KZD$8,0)</f>
        <v>0</v>
      </c>
      <c r="KZD54" s="5">
        <f>-IFERROR('4. NPV'!#REF!/'4. NPV'!KZE$8,0)</f>
        <v>0</v>
      </c>
      <c r="KZE54" s="5">
        <f>-IFERROR('4. NPV'!#REF!/'4. NPV'!KZF$8,0)</f>
        <v>0</v>
      </c>
      <c r="KZF54" s="5">
        <f>-IFERROR('4. NPV'!#REF!/'4. NPV'!KZG$8,0)</f>
        <v>0</v>
      </c>
      <c r="KZG54" s="5">
        <f>-IFERROR('4. NPV'!#REF!/'4. NPV'!KZH$8,0)</f>
        <v>0</v>
      </c>
      <c r="KZH54" s="5">
        <f>-IFERROR('4. NPV'!#REF!/'4. NPV'!KZI$8,0)</f>
        <v>0</v>
      </c>
      <c r="KZI54" s="5">
        <f>-IFERROR('4. NPV'!#REF!/'4. NPV'!KZJ$8,0)</f>
        <v>0</v>
      </c>
      <c r="KZJ54" s="5">
        <f>-IFERROR('4. NPV'!#REF!/'4. NPV'!KZK$8,0)</f>
        <v>0</v>
      </c>
      <c r="KZK54" s="5">
        <f>-IFERROR('4. NPV'!#REF!/'4. NPV'!KZL$8,0)</f>
        <v>0</v>
      </c>
      <c r="KZL54" s="5">
        <f>-IFERROR('4. NPV'!#REF!/'4. NPV'!KZM$8,0)</f>
        <v>0</v>
      </c>
      <c r="KZM54" s="5">
        <f>-IFERROR('4. NPV'!#REF!/'4. NPV'!KZN$8,0)</f>
        <v>0</v>
      </c>
      <c r="KZN54" s="5">
        <f>-IFERROR('4. NPV'!#REF!/'4. NPV'!KZO$8,0)</f>
        <v>0</v>
      </c>
      <c r="KZO54" s="5">
        <f>-IFERROR('4. NPV'!#REF!/'4. NPV'!KZP$8,0)</f>
        <v>0</v>
      </c>
      <c r="KZP54" s="5">
        <f>-IFERROR('4. NPV'!#REF!/'4. NPV'!KZQ$8,0)</f>
        <v>0</v>
      </c>
      <c r="KZQ54" s="5">
        <f>-IFERROR('4. NPV'!#REF!/'4. NPV'!KZR$8,0)</f>
        <v>0</v>
      </c>
      <c r="KZR54" s="5">
        <f>-IFERROR('4. NPV'!#REF!/'4. NPV'!KZS$8,0)</f>
        <v>0</v>
      </c>
      <c r="KZS54" s="5">
        <f>-IFERROR('4. NPV'!#REF!/'4. NPV'!KZT$8,0)</f>
        <v>0</v>
      </c>
      <c r="KZT54" s="5">
        <f>-IFERROR('4. NPV'!#REF!/'4. NPV'!KZU$8,0)</f>
        <v>0</v>
      </c>
      <c r="KZU54" s="5">
        <f>-IFERROR('4. NPV'!#REF!/'4. NPV'!KZV$8,0)</f>
        <v>0</v>
      </c>
      <c r="KZV54" s="5">
        <f>-IFERROR('4. NPV'!#REF!/'4. NPV'!KZW$8,0)</f>
        <v>0</v>
      </c>
      <c r="KZW54" s="5">
        <f>-IFERROR('4. NPV'!#REF!/'4. NPV'!KZX$8,0)</f>
        <v>0</v>
      </c>
      <c r="KZX54" s="5">
        <f>-IFERROR('4. NPV'!#REF!/'4. NPV'!KZY$8,0)</f>
        <v>0</v>
      </c>
      <c r="KZY54" s="5">
        <f>-IFERROR('4. NPV'!#REF!/'4. NPV'!KZZ$8,0)</f>
        <v>0</v>
      </c>
      <c r="KZZ54" s="5">
        <f>-IFERROR('4. NPV'!#REF!/'4. NPV'!LAA$8,0)</f>
        <v>0</v>
      </c>
      <c r="LAA54" s="5">
        <f>-IFERROR('4. NPV'!#REF!/'4. NPV'!LAB$8,0)</f>
        <v>0</v>
      </c>
      <c r="LAB54" s="5">
        <f>-IFERROR('4. NPV'!#REF!/'4. NPV'!LAC$8,0)</f>
        <v>0</v>
      </c>
      <c r="LAC54" s="5">
        <f>-IFERROR('4. NPV'!#REF!/'4. NPV'!LAD$8,0)</f>
        <v>0</v>
      </c>
      <c r="LAD54" s="5">
        <f>-IFERROR('4. NPV'!#REF!/'4. NPV'!LAE$8,0)</f>
        <v>0</v>
      </c>
      <c r="LAE54" s="5">
        <f>-IFERROR('4. NPV'!#REF!/'4. NPV'!LAF$8,0)</f>
        <v>0</v>
      </c>
      <c r="LAF54" s="5">
        <f>-IFERROR('4. NPV'!#REF!/'4. NPV'!LAG$8,0)</f>
        <v>0</v>
      </c>
      <c r="LAG54" s="5">
        <f>-IFERROR('4. NPV'!#REF!/'4. NPV'!LAH$8,0)</f>
        <v>0</v>
      </c>
      <c r="LAH54" s="5">
        <f>-IFERROR('4. NPV'!#REF!/'4. NPV'!LAI$8,0)</f>
        <v>0</v>
      </c>
      <c r="LAI54" s="5">
        <f>-IFERROR('4. NPV'!#REF!/'4. NPV'!LAJ$8,0)</f>
        <v>0</v>
      </c>
      <c r="LAJ54" s="5">
        <f>-IFERROR('4. NPV'!#REF!/'4. NPV'!LAK$8,0)</f>
        <v>0</v>
      </c>
      <c r="LAK54" s="5">
        <f>-IFERROR('4. NPV'!#REF!/'4. NPV'!LAL$8,0)</f>
        <v>0</v>
      </c>
      <c r="LAL54" s="5">
        <f>-IFERROR('4. NPV'!#REF!/'4. NPV'!LAM$8,0)</f>
        <v>0</v>
      </c>
      <c r="LAM54" s="5">
        <f>-IFERROR('4. NPV'!#REF!/'4. NPV'!LAN$8,0)</f>
        <v>0</v>
      </c>
      <c r="LAN54" s="5">
        <f>-IFERROR('4. NPV'!#REF!/'4. NPV'!LAO$8,0)</f>
        <v>0</v>
      </c>
      <c r="LAO54" s="5">
        <f>-IFERROR('4. NPV'!#REF!/'4. NPV'!LAP$8,0)</f>
        <v>0</v>
      </c>
      <c r="LAP54" s="5">
        <f>-IFERROR('4. NPV'!#REF!/'4. NPV'!LAQ$8,0)</f>
        <v>0</v>
      </c>
      <c r="LAQ54" s="5">
        <f>-IFERROR('4. NPV'!#REF!/'4. NPV'!LAR$8,0)</f>
        <v>0</v>
      </c>
      <c r="LAR54" s="5">
        <f>-IFERROR('4. NPV'!#REF!/'4. NPV'!LAS$8,0)</f>
        <v>0</v>
      </c>
      <c r="LAS54" s="5">
        <f>-IFERROR('4. NPV'!#REF!/'4. NPV'!LAT$8,0)</f>
        <v>0</v>
      </c>
      <c r="LAT54" s="5">
        <f>-IFERROR('4. NPV'!#REF!/'4. NPV'!LAU$8,0)</f>
        <v>0</v>
      </c>
      <c r="LAU54" s="5">
        <f>-IFERROR('4. NPV'!#REF!/'4. NPV'!LAV$8,0)</f>
        <v>0</v>
      </c>
      <c r="LAV54" s="5">
        <f>-IFERROR('4. NPV'!#REF!/'4. NPV'!LAW$8,0)</f>
        <v>0</v>
      </c>
      <c r="LAW54" s="5">
        <f>-IFERROR('4. NPV'!#REF!/'4. NPV'!LAX$8,0)</f>
        <v>0</v>
      </c>
      <c r="LAX54" s="5">
        <f>-IFERROR('4. NPV'!#REF!/'4. NPV'!LAY$8,0)</f>
        <v>0</v>
      </c>
      <c r="LAY54" s="5">
        <f>-IFERROR('4. NPV'!#REF!/'4. NPV'!LAZ$8,0)</f>
        <v>0</v>
      </c>
      <c r="LAZ54" s="5">
        <f>-IFERROR('4. NPV'!#REF!/'4. NPV'!LBA$8,0)</f>
        <v>0</v>
      </c>
      <c r="LBA54" s="5">
        <f>-IFERROR('4. NPV'!#REF!/'4. NPV'!LBB$8,0)</f>
        <v>0</v>
      </c>
      <c r="LBB54" s="5">
        <f>-IFERROR('4. NPV'!#REF!/'4. NPV'!LBC$8,0)</f>
        <v>0</v>
      </c>
      <c r="LBC54" s="5">
        <f>-IFERROR('4. NPV'!#REF!/'4. NPV'!LBD$8,0)</f>
        <v>0</v>
      </c>
      <c r="LBD54" s="5">
        <f>-IFERROR('4. NPV'!#REF!/'4. NPV'!LBE$8,0)</f>
        <v>0</v>
      </c>
      <c r="LBE54" s="5">
        <f>-IFERROR('4. NPV'!#REF!/'4. NPV'!LBF$8,0)</f>
        <v>0</v>
      </c>
      <c r="LBF54" s="5">
        <f>-IFERROR('4. NPV'!#REF!/'4. NPV'!LBG$8,0)</f>
        <v>0</v>
      </c>
      <c r="LBG54" s="5">
        <f>-IFERROR('4. NPV'!#REF!/'4. NPV'!LBH$8,0)</f>
        <v>0</v>
      </c>
      <c r="LBH54" s="5">
        <f>-IFERROR('4. NPV'!#REF!/'4. NPV'!LBI$8,0)</f>
        <v>0</v>
      </c>
      <c r="LBI54" s="5">
        <f>-IFERROR('4. NPV'!#REF!/'4. NPV'!LBJ$8,0)</f>
        <v>0</v>
      </c>
      <c r="LBJ54" s="5">
        <f>-IFERROR('4. NPV'!#REF!/'4. NPV'!LBK$8,0)</f>
        <v>0</v>
      </c>
      <c r="LBK54" s="5">
        <f>-IFERROR('4. NPV'!#REF!/'4. NPV'!LBL$8,0)</f>
        <v>0</v>
      </c>
      <c r="LBL54" s="5">
        <f>-IFERROR('4. NPV'!#REF!/'4. NPV'!LBM$8,0)</f>
        <v>0</v>
      </c>
      <c r="LBM54" s="5">
        <f>-IFERROR('4. NPV'!#REF!/'4. NPV'!LBN$8,0)</f>
        <v>0</v>
      </c>
      <c r="LBN54" s="5">
        <f>-IFERROR('4. NPV'!#REF!/'4. NPV'!LBO$8,0)</f>
        <v>0</v>
      </c>
      <c r="LBO54" s="5">
        <f>-IFERROR('4. NPV'!#REF!/'4. NPV'!LBP$8,0)</f>
        <v>0</v>
      </c>
      <c r="LBP54" s="5">
        <f>-IFERROR('4. NPV'!#REF!/'4. NPV'!LBQ$8,0)</f>
        <v>0</v>
      </c>
      <c r="LBQ54" s="5">
        <f>-IFERROR('4. NPV'!#REF!/'4. NPV'!LBR$8,0)</f>
        <v>0</v>
      </c>
      <c r="LBR54" s="5">
        <f>-IFERROR('4. NPV'!#REF!/'4. NPV'!LBS$8,0)</f>
        <v>0</v>
      </c>
      <c r="LBS54" s="5">
        <f>-IFERROR('4. NPV'!#REF!/'4. NPV'!LBT$8,0)</f>
        <v>0</v>
      </c>
      <c r="LBT54" s="5">
        <f>-IFERROR('4. NPV'!#REF!/'4. NPV'!LBU$8,0)</f>
        <v>0</v>
      </c>
      <c r="LBU54" s="5">
        <f>-IFERROR('4. NPV'!#REF!/'4. NPV'!LBV$8,0)</f>
        <v>0</v>
      </c>
      <c r="LBV54" s="5">
        <f>-IFERROR('4. NPV'!#REF!/'4. NPV'!LBW$8,0)</f>
        <v>0</v>
      </c>
      <c r="LBW54" s="5">
        <f>-IFERROR('4. NPV'!#REF!/'4. NPV'!LBX$8,0)</f>
        <v>0</v>
      </c>
      <c r="LBX54" s="5">
        <f>-IFERROR('4. NPV'!#REF!/'4. NPV'!LBY$8,0)</f>
        <v>0</v>
      </c>
      <c r="LBY54" s="5">
        <f>-IFERROR('4. NPV'!#REF!/'4. NPV'!LBZ$8,0)</f>
        <v>0</v>
      </c>
      <c r="LBZ54" s="5">
        <f>-IFERROR('4. NPV'!#REF!/'4. NPV'!LCA$8,0)</f>
        <v>0</v>
      </c>
      <c r="LCA54" s="5">
        <f>-IFERROR('4. NPV'!#REF!/'4. NPV'!LCB$8,0)</f>
        <v>0</v>
      </c>
      <c r="LCB54" s="5">
        <f>-IFERROR('4. NPV'!#REF!/'4. NPV'!LCC$8,0)</f>
        <v>0</v>
      </c>
      <c r="LCC54" s="5">
        <f>-IFERROR('4. NPV'!#REF!/'4. NPV'!LCD$8,0)</f>
        <v>0</v>
      </c>
      <c r="LCD54" s="5">
        <f>-IFERROR('4. NPV'!#REF!/'4. NPV'!LCE$8,0)</f>
        <v>0</v>
      </c>
      <c r="LCE54" s="5">
        <f>-IFERROR('4. NPV'!#REF!/'4. NPV'!LCF$8,0)</f>
        <v>0</v>
      </c>
      <c r="LCF54" s="5">
        <f>-IFERROR('4. NPV'!#REF!/'4. NPV'!LCG$8,0)</f>
        <v>0</v>
      </c>
      <c r="LCG54" s="5">
        <f>-IFERROR('4. NPV'!#REF!/'4. NPV'!LCH$8,0)</f>
        <v>0</v>
      </c>
      <c r="LCH54" s="5">
        <f>-IFERROR('4. NPV'!#REF!/'4. NPV'!LCI$8,0)</f>
        <v>0</v>
      </c>
      <c r="LCI54" s="5">
        <f>-IFERROR('4. NPV'!#REF!/'4. NPV'!LCJ$8,0)</f>
        <v>0</v>
      </c>
      <c r="LCJ54" s="5">
        <f>-IFERROR('4. NPV'!#REF!/'4. NPV'!LCK$8,0)</f>
        <v>0</v>
      </c>
      <c r="LCK54" s="5">
        <f>-IFERROR('4. NPV'!#REF!/'4. NPV'!LCL$8,0)</f>
        <v>0</v>
      </c>
      <c r="LCL54" s="5">
        <f>-IFERROR('4. NPV'!#REF!/'4. NPV'!LCM$8,0)</f>
        <v>0</v>
      </c>
      <c r="LCM54" s="5">
        <f>-IFERROR('4. NPV'!#REF!/'4. NPV'!LCN$8,0)</f>
        <v>0</v>
      </c>
      <c r="LCN54" s="5">
        <f>-IFERROR('4. NPV'!#REF!/'4. NPV'!LCO$8,0)</f>
        <v>0</v>
      </c>
      <c r="LCO54" s="5">
        <f>-IFERROR('4. NPV'!#REF!/'4. NPV'!LCP$8,0)</f>
        <v>0</v>
      </c>
      <c r="LCP54" s="5">
        <f>-IFERROR('4. NPV'!#REF!/'4. NPV'!LCQ$8,0)</f>
        <v>0</v>
      </c>
      <c r="LCQ54" s="5">
        <f>-IFERROR('4. NPV'!#REF!/'4. NPV'!LCR$8,0)</f>
        <v>0</v>
      </c>
      <c r="LCR54" s="5">
        <f>-IFERROR('4. NPV'!#REF!/'4. NPV'!LCS$8,0)</f>
        <v>0</v>
      </c>
      <c r="LCS54" s="5">
        <f>-IFERROR('4. NPV'!#REF!/'4. NPV'!LCT$8,0)</f>
        <v>0</v>
      </c>
      <c r="LCT54" s="5">
        <f>-IFERROR('4. NPV'!#REF!/'4. NPV'!LCU$8,0)</f>
        <v>0</v>
      </c>
      <c r="LCU54" s="5">
        <f>-IFERROR('4. NPV'!#REF!/'4. NPV'!LCV$8,0)</f>
        <v>0</v>
      </c>
      <c r="LCV54" s="5">
        <f>-IFERROR('4. NPV'!#REF!/'4. NPV'!LCW$8,0)</f>
        <v>0</v>
      </c>
      <c r="LCW54" s="5">
        <f>-IFERROR('4. NPV'!#REF!/'4. NPV'!LCX$8,0)</f>
        <v>0</v>
      </c>
      <c r="LCX54" s="5">
        <f>-IFERROR('4. NPV'!#REF!/'4. NPV'!LCY$8,0)</f>
        <v>0</v>
      </c>
      <c r="LCY54" s="5">
        <f>-IFERROR('4. NPV'!#REF!/'4. NPV'!LCZ$8,0)</f>
        <v>0</v>
      </c>
      <c r="LCZ54" s="5">
        <f>-IFERROR('4. NPV'!#REF!/'4. NPV'!LDA$8,0)</f>
        <v>0</v>
      </c>
      <c r="LDA54" s="5">
        <f>-IFERROR('4. NPV'!#REF!/'4. NPV'!LDB$8,0)</f>
        <v>0</v>
      </c>
      <c r="LDB54" s="5">
        <f>-IFERROR('4. NPV'!#REF!/'4. NPV'!LDC$8,0)</f>
        <v>0</v>
      </c>
      <c r="LDC54" s="5">
        <f>-IFERROR('4. NPV'!#REF!/'4. NPV'!LDD$8,0)</f>
        <v>0</v>
      </c>
      <c r="LDD54" s="5">
        <f>-IFERROR('4. NPV'!#REF!/'4. NPV'!LDE$8,0)</f>
        <v>0</v>
      </c>
      <c r="LDE54" s="5">
        <f>-IFERROR('4. NPV'!#REF!/'4. NPV'!LDF$8,0)</f>
        <v>0</v>
      </c>
      <c r="LDF54" s="5">
        <f>-IFERROR('4. NPV'!#REF!/'4. NPV'!LDG$8,0)</f>
        <v>0</v>
      </c>
      <c r="LDG54" s="5">
        <f>-IFERROR('4. NPV'!#REF!/'4. NPV'!LDH$8,0)</f>
        <v>0</v>
      </c>
      <c r="LDH54" s="5">
        <f>-IFERROR('4. NPV'!#REF!/'4. NPV'!LDI$8,0)</f>
        <v>0</v>
      </c>
      <c r="LDI54" s="5">
        <f>-IFERROR('4. NPV'!#REF!/'4. NPV'!LDJ$8,0)</f>
        <v>0</v>
      </c>
      <c r="LDJ54" s="5">
        <f>-IFERROR('4. NPV'!#REF!/'4. NPV'!LDK$8,0)</f>
        <v>0</v>
      </c>
      <c r="LDK54" s="5">
        <f>-IFERROR('4. NPV'!#REF!/'4. NPV'!LDL$8,0)</f>
        <v>0</v>
      </c>
      <c r="LDL54" s="5">
        <f>-IFERROR('4. NPV'!#REF!/'4. NPV'!LDM$8,0)</f>
        <v>0</v>
      </c>
      <c r="LDM54" s="5">
        <f>-IFERROR('4. NPV'!#REF!/'4. NPV'!LDN$8,0)</f>
        <v>0</v>
      </c>
      <c r="LDN54" s="5">
        <f>-IFERROR('4. NPV'!#REF!/'4. NPV'!LDO$8,0)</f>
        <v>0</v>
      </c>
      <c r="LDO54" s="5">
        <f>-IFERROR('4. NPV'!#REF!/'4. NPV'!LDP$8,0)</f>
        <v>0</v>
      </c>
      <c r="LDP54" s="5">
        <f>-IFERROR('4. NPV'!#REF!/'4. NPV'!LDQ$8,0)</f>
        <v>0</v>
      </c>
      <c r="LDQ54" s="5">
        <f>-IFERROR('4. NPV'!#REF!/'4. NPV'!LDR$8,0)</f>
        <v>0</v>
      </c>
      <c r="LDR54" s="5">
        <f>-IFERROR('4. NPV'!#REF!/'4. NPV'!LDS$8,0)</f>
        <v>0</v>
      </c>
      <c r="LDS54" s="5">
        <f>-IFERROR('4. NPV'!#REF!/'4. NPV'!LDT$8,0)</f>
        <v>0</v>
      </c>
      <c r="LDT54" s="5">
        <f>-IFERROR('4. NPV'!#REF!/'4. NPV'!LDU$8,0)</f>
        <v>0</v>
      </c>
      <c r="LDU54" s="5">
        <f>-IFERROR('4. NPV'!#REF!/'4. NPV'!LDV$8,0)</f>
        <v>0</v>
      </c>
      <c r="LDV54" s="5">
        <f>-IFERROR('4. NPV'!#REF!/'4. NPV'!LDW$8,0)</f>
        <v>0</v>
      </c>
      <c r="LDW54" s="5">
        <f>-IFERROR('4. NPV'!#REF!/'4. NPV'!LDX$8,0)</f>
        <v>0</v>
      </c>
      <c r="LDX54" s="5">
        <f>-IFERROR('4. NPV'!#REF!/'4. NPV'!LDY$8,0)</f>
        <v>0</v>
      </c>
      <c r="LDY54" s="5">
        <f>-IFERROR('4. NPV'!#REF!/'4. NPV'!LDZ$8,0)</f>
        <v>0</v>
      </c>
      <c r="LDZ54" s="5">
        <f>-IFERROR('4. NPV'!#REF!/'4. NPV'!LEA$8,0)</f>
        <v>0</v>
      </c>
      <c r="LEA54" s="5">
        <f>-IFERROR('4. NPV'!#REF!/'4. NPV'!LEB$8,0)</f>
        <v>0</v>
      </c>
      <c r="LEB54" s="5">
        <f>-IFERROR('4. NPV'!#REF!/'4. NPV'!LEC$8,0)</f>
        <v>0</v>
      </c>
      <c r="LEC54" s="5">
        <f>-IFERROR('4. NPV'!#REF!/'4. NPV'!LED$8,0)</f>
        <v>0</v>
      </c>
      <c r="LED54" s="5">
        <f>-IFERROR('4. NPV'!#REF!/'4. NPV'!LEE$8,0)</f>
        <v>0</v>
      </c>
      <c r="LEE54" s="5">
        <f>-IFERROR('4. NPV'!#REF!/'4. NPV'!LEF$8,0)</f>
        <v>0</v>
      </c>
      <c r="LEF54" s="5">
        <f>-IFERROR('4. NPV'!#REF!/'4. NPV'!LEG$8,0)</f>
        <v>0</v>
      </c>
      <c r="LEG54" s="5">
        <f>-IFERROR('4. NPV'!#REF!/'4. NPV'!LEH$8,0)</f>
        <v>0</v>
      </c>
      <c r="LEH54" s="5">
        <f>-IFERROR('4. NPV'!#REF!/'4. NPV'!LEI$8,0)</f>
        <v>0</v>
      </c>
      <c r="LEI54" s="5">
        <f>-IFERROR('4. NPV'!#REF!/'4. NPV'!LEJ$8,0)</f>
        <v>0</v>
      </c>
      <c r="LEJ54" s="5">
        <f>-IFERROR('4. NPV'!#REF!/'4. NPV'!LEK$8,0)</f>
        <v>0</v>
      </c>
      <c r="LEK54" s="5">
        <f>-IFERROR('4. NPV'!#REF!/'4. NPV'!LEL$8,0)</f>
        <v>0</v>
      </c>
      <c r="LEL54" s="5">
        <f>-IFERROR('4. NPV'!#REF!/'4. NPV'!LEM$8,0)</f>
        <v>0</v>
      </c>
      <c r="LEM54" s="5">
        <f>-IFERROR('4. NPV'!#REF!/'4. NPV'!LEN$8,0)</f>
        <v>0</v>
      </c>
      <c r="LEN54" s="5">
        <f>-IFERROR('4. NPV'!#REF!/'4. NPV'!LEO$8,0)</f>
        <v>0</v>
      </c>
      <c r="LEO54" s="5">
        <f>-IFERROR('4. NPV'!#REF!/'4. NPV'!LEP$8,0)</f>
        <v>0</v>
      </c>
      <c r="LEP54" s="5">
        <f>-IFERROR('4. NPV'!#REF!/'4. NPV'!LEQ$8,0)</f>
        <v>0</v>
      </c>
      <c r="LEQ54" s="5">
        <f>-IFERROR('4. NPV'!#REF!/'4. NPV'!LER$8,0)</f>
        <v>0</v>
      </c>
      <c r="LER54" s="5">
        <f>-IFERROR('4. NPV'!#REF!/'4. NPV'!LES$8,0)</f>
        <v>0</v>
      </c>
      <c r="LES54" s="5">
        <f>-IFERROR('4. NPV'!#REF!/'4. NPV'!LET$8,0)</f>
        <v>0</v>
      </c>
      <c r="LET54" s="5">
        <f>-IFERROR('4. NPV'!#REF!/'4. NPV'!LEU$8,0)</f>
        <v>0</v>
      </c>
      <c r="LEU54" s="5">
        <f>-IFERROR('4. NPV'!#REF!/'4. NPV'!LEV$8,0)</f>
        <v>0</v>
      </c>
      <c r="LEV54" s="5">
        <f>-IFERROR('4. NPV'!#REF!/'4. NPV'!LEW$8,0)</f>
        <v>0</v>
      </c>
      <c r="LEW54" s="5">
        <f>-IFERROR('4. NPV'!#REF!/'4. NPV'!LEX$8,0)</f>
        <v>0</v>
      </c>
      <c r="LEX54" s="5">
        <f>-IFERROR('4. NPV'!#REF!/'4. NPV'!LEY$8,0)</f>
        <v>0</v>
      </c>
      <c r="LEY54" s="5">
        <f>-IFERROR('4. NPV'!#REF!/'4. NPV'!LEZ$8,0)</f>
        <v>0</v>
      </c>
      <c r="LEZ54" s="5">
        <f>-IFERROR('4. NPV'!#REF!/'4. NPV'!LFA$8,0)</f>
        <v>0</v>
      </c>
      <c r="LFA54" s="5">
        <f>-IFERROR('4. NPV'!#REF!/'4. NPV'!LFB$8,0)</f>
        <v>0</v>
      </c>
      <c r="LFB54" s="5">
        <f>-IFERROR('4. NPV'!#REF!/'4. NPV'!LFC$8,0)</f>
        <v>0</v>
      </c>
      <c r="LFC54" s="5">
        <f>-IFERROR('4. NPV'!#REF!/'4. NPV'!LFD$8,0)</f>
        <v>0</v>
      </c>
      <c r="LFD54" s="5">
        <f>-IFERROR('4. NPV'!#REF!/'4. NPV'!LFE$8,0)</f>
        <v>0</v>
      </c>
      <c r="LFE54" s="5">
        <f>-IFERROR('4. NPV'!#REF!/'4. NPV'!LFF$8,0)</f>
        <v>0</v>
      </c>
      <c r="LFF54" s="5">
        <f>-IFERROR('4. NPV'!#REF!/'4. NPV'!LFG$8,0)</f>
        <v>0</v>
      </c>
      <c r="LFG54" s="5">
        <f>-IFERROR('4. NPV'!#REF!/'4. NPV'!LFH$8,0)</f>
        <v>0</v>
      </c>
      <c r="LFH54" s="5">
        <f>-IFERROR('4. NPV'!#REF!/'4. NPV'!LFI$8,0)</f>
        <v>0</v>
      </c>
      <c r="LFI54" s="5">
        <f>-IFERROR('4. NPV'!#REF!/'4. NPV'!LFJ$8,0)</f>
        <v>0</v>
      </c>
      <c r="LFJ54" s="5">
        <f>-IFERROR('4. NPV'!#REF!/'4. NPV'!LFK$8,0)</f>
        <v>0</v>
      </c>
      <c r="LFK54" s="5">
        <f>-IFERROR('4. NPV'!#REF!/'4. NPV'!LFL$8,0)</f>
        <v>0</v>
      </c>
      <c r="LFL54" s="5">
        <f>-IFERROR('4. NPV'!#REF!/'4. NPV'!LFM$8,0)</f>
        <v>0</v>
      </c>
      <c r="LFM54" s="5">
        <f>-IFERROR('4. NPV'!#REF!/'4. NPV'!LFN$8,0)</f>
        <v>0</v>
      </c>
      <c r="LFN54" s="5">
        <f>-IFERROR('4. NPV'!#REF!/'4. NPV'!LFO$8,0)</f>
        <v>0</v>
      </c>
      <c r="LFO54" s="5">
        <f>-IFERROR('4. NPV'!#REF!/'4. NPV'!LFP$8,0)</f>
        <v>0</v>
      </c>
      <c r="LFP54" s="5">
        <f>-IFERROR('4. NPV'!#REF!/'4. NPV'!LFQ$8,0)</f>
        <v>0</v>
      </c>
      <c r="LFQ54" s="5">
        <f>-IFERROR('4. NPV'!#REF!/'4. NPV'!LFR$8,0)</f>
        <v>0</v>
      </c>
      <c r="LFR54" s="5">
        <f>-IFERROR('4. NPV'!#REF!/'4. NPV'!LFS$8,0)</f>
        <v>0</v>
      </c>
      <c r="LFS54" s="5">
        <f>-IFERROR('4. NPV'!#REF!/'4. NPV'!LFT$8,0)</f>
        <v>0</v>
      </c>
      <c r="LFT54" s="5">
        <f>-IFERROR('4. NPV'!#REF!/'4. NPV'!LFU$8,0)</f>
        <v>0</v>
      </c>
      <c r="LFU54" s="5">
        <f>-IFERROR('4. NPV'!#REF!/'4. NPV'!LFV$8,0)</f>
        <v>0</v>
      </c>
      <c r="LFV54" s="5">
        <f>-IFERROR('4. NPV'!#REF!/'4. NPV'!LFW$8,0)</f>
        <v>0</v>
      </c>
      <c r="LFW54" s="5">
        <f>-IFERROR('4. NPV'!#REF!/'4. NPV'!LFX$8,0)</f>
        <v>0</v>
      </c>
      <c r="LFX54" s="5">
        <f>-IFERROR('4. NPV'!#REF!/'4. NPV'!LFY$8,0)</f>
        <v>0</v>
      </c>
      <c r="LFY54" s="5">
        <f>-IFERROR('4. NPV'!#REF!/'4. NPV'!LFZ$8,0)</f>
        <v>0</v>
      </c>
      <c r="LFZ54" s="5">
        <f>-IFERROR('4. NPV'!#REF!/'4. NPV'!LGA$8,0)</f>
        <v>0</v>
      </c>
      <c r="LGA54" s="5">
        <f>-IFERROR('4. NPV'!#REF!/'4. NPV'!LGB$8,0)</f>
        <v>0</v>
      </c>
      <c r="LGB54" s="5">
        <f>-IFERROR('4. NPV'!#REF!/'4. NPV'!LGC$8,0)</f>
        <v>0</v>
      </c>
      <c r="LGC54" s="5">
        <f>-IFERROR('4. NPV'!#REF!/'4. NPV'!LGD$8,0)</f>
        <v>0</v>
      </c>
      <c r="LGD54" s="5">
        <f>-IFERROR('4. NPV'!#REF!/'4. NPV'!LGE$8,0)</f>
        <v>0</v>
      </c>
      <c r="LGE54" s="5">
        <f>-IFERROR('4. NPV'!#REF!/'4. NPV'!LGF$8,0)</f>
        <v>0</v>
      </c>
      <c r="LGF54" s="5">
        <f>-IFERROR('4. NPV'!#REF!/'4. NPV'!LGG$8,0)</f>
        <v>0</v>
      </c>
      <c r="LGG54" s="5">
        <f>-IFERROR('4. NPV'!#REF!/'4. NPV'!LGH$8,0)</f>
        <v>0</v>
      </c>
      <c r="LGH54" s="5">
        <f>-IFERROR('4. NPV'!#REF!/'4. NPV'!LGI$8,0)</f>
        <v>0</v>
      </c>
      <c r="LGI54" s="5">
        <f>-IFERROR('4. NPV'!#REF!/'4. NPV'!LGJ$8,0)</f>
        <v>0</v>
      </c>
      <c r="LGJ54" s="5">
        <f>-IFERROR('4. NPV'!#REF!/'4. NPV'!LGK$8,0)</f>
        <v>0</v>
      </c>
      <c r="LGK54" s="5">
        <f>-IFERROR('4. NPV'!#REF!/'4. NPV'!LGL$8,0)</f>
        <v>0</v>
      </c>
      <c r="LGL54" s="5">
        <f>-IFERROR('4. NPV'!#REF!/'4. NPV'!LGM$8,0)</f>
        <v>0</v>
      </c>
      <c r="LGM54" s="5">
        <f>-IFERROR('4. NPV'!#REF!/'4. NPV'!LGN$8,0)</f>
        <v>0</v>
      </c>
      <c r="LGN54" s="5">
        <f>-IFERROR('4. NPV'!#REF!/'4. NPV'!LGO$8,0)</f>
        <v>0</v>
      </c>
      <c r="LGO54" s="5">
        <f>-IFERROR('4. NPV'!#REF!/'4. NPV'!LGP$8,0)</f>
        <v>0</v>
      </c>
      <c r="LGP54" s="5">
        <f>-IFERROR('4. NPV'!#REF!/'4. NPV'!LGQ$8,0)</f>
        <v>0</v>
      </c>
      <c r="LGQ54" s="5">
        <f>-IFERROR('4. NPV'!#REF!/'4. NPV'!LGR$8,0)</f>
        <v>0</v>
      </c>
      <c r="LGR54" s="5">
        <f>-IFERROR('4. NPV'!#REF!/'4. NPV'!LGS$8,0)</f>
        <v>0</v>
      </c>
      <c r="LGS54" s="5">
        <f>-IFERROR('4. NPV'!#REF!/'4. NPV'!LGT$8,0)</f>
        <v>0</v>
      </c>
      <c r="LGT54" s="5">
        <f>-IFERROR('4. NPV'!#REF!/'4. NPV'!LGU$8,0)</f>
        <v>0</v>
      </c>
      <c r="LGU54" s="5">
        <f>-IFERROR('4. NPV'!#REF!/'4. NPV'!LGV$8,0)</f>
        <v>0</v>
      </c>
      <c r="LGV54" s="5">
        <f>-IFERROR('4. NPV'!#REF!/'4. NPV'!LGW$8,0)</f>
        <v>0</v>
      </c>
      <c r="LGW54" s="5">
        <f>-IFERROR('4. NPV'!#REF!/'4. NPV'!LGX$8,0)</f>
        <v>0</v>
      </c>
      <c r="LGX54" s="5">
        <f>-IFERROR('4. NPV'!#REF!/'4. NPV'!LGY$8,0)</f>
        <v>0</v>
      </c>
      <c r="LGY54" s="5">
        <f>-IFERROR('4. NPV'!#REF!/'4. NPV'!LGZ$8,0)</f>
        <v>0</v>
      </c>
      <c r="LGZ54" s="5">
        <f>-IFERROR('4. NPV'!#REF!/'4. NPV'!LHA$8,0)</f>
        <v>0</v>
      </c>
      <c r="LHA54" s="5">
        <f>-IFERROR('4. NPV'!#REF!/'4. NPV'!LHB$8,0)</f>
        <v>0</v>
      </c>
      <c r="LHB54" s="5">
        <f>-IFERROR('4. NPV'!#REF!/'4. NPV'!LHC$8,0)</f>
        <v>0</v>
      </c>
      <c r="LHC54" s="5">
        <f>-IFERROR('4. NPV'!#REF!/'4. NPV'!LHD$8,0)</f>
        <v>0</v>
      </c>
      <c r="LHD54" s="5">
        <f>-IFERROR('4. NPV'!#REF!/'4. NPV'!LHE$8,0)</f>
        <v>0</v>
      </c>
      <c r="LHE54" s="5">
        <f>-IFERROR('4. NPV'!#REF!/'4. NPV'!LHF$8,0)</f>
        <v>0</v>
      </c>
      <c r="LHF54" s="5">
        <f>-IFERROR('4. NPV'!#REF!/'4. NPV'!LHG$8,0)</f>
        <v>0</v>
      </c>
      <c r="LHG54" s="5">
        <f>-IFERROR('4. NPV'!#REF!/'4. NPV'!LHH$8,0)</f>
        <v>0</v>
      </c>
      <c r="LHH54" s="5">
        <f>-IFERROR('4. NPV'!#REF!/'4. NPV'!LHI$8,0)</f>
        <v>0</v>
      </c>
      <c r="LHI54" s="5">
        <f>-IFERROR('4. NPV'!#REF!/'4. NPV'!LHJ$8,0)</f>
        <v>0</v>
      </c>
      <c r="LHJ54" s="5">
        <f>-IFERROR('4. NPV'!#REF!/'4. NPV'!LHK$8,0)</f>
        <v>0</v>
      </c>
      <c r="LHK54" s="5">
        <f>-IFERROR('4. NPV'!#REF!/'4. NPV'!LHL$8,0)</f>
        <v>0</v>
      </c>
      <c r="LHL54" s="5">
        <f>-IFERROR('4. NPV'!#REF!/'4. NPV'!LHM$8,0)</f>
        <v>0</v>
      </c>
      <c r="LHM54" s="5">
        <f>-IFERROR('4. NPV'!#REF!/'4. NPV'!LHN$8,0)</f>
        <v>0</v>
      </c>
      <c r="LHN54" s="5">
        <f>-IFERROR('4. NPV'!#REF!/'4. NPV'!LHO$8,0)</f>
        <v>0</v>
      </c>
      <c r="LHO54" s="5">
        <f>-IFERROR('4. NPV'!#REF!/'4. NPV'!LHP$8,0)</f>
        <v>0</v>
      </c>
      <c r="LHP54" s="5">
        <f>-IFERROR('4. NPV'!#REF!/'4. NPV'!LHQ$8,0)</f>
        <v>0</v>
      </c>
      <c r="LHQ54" s="5">
        <f>-IFERROR('4. NPV'!#REF!/'4. NPV'!LHR$8,0)</f>
        <v>0</v>
      </c>
      <c r="LHR54" s="5">
        <f>-IFERROR('4. NPV'!#REF!/'4. NPV'!LHS$8,0)</f>
        <v>0</v>
      </c>
      <c r="LHS54" s="5">
        <f>-IFERROR('4. NPV'!#REF!/'4. NPV'!LHT$8,0)</f>
        <v>0</v>
      </c>
      <c r="LHT54" s="5">
        <f>-IFERROR('4. NPV'!#REF!/'4. NPV'!LHU$8,0)</f>
        <v>0</v>
      </c>
      <c r="LHU54" s="5">
        <f>-IFERROR('4. NPV'!#REF!/'4. NPV'!LHV$8,0)</f>
        <v>0</v>
      </c>
      <c r="LHV54" s="5">
        <f>-IFERROR('4. NPV'!#REF!/'4. NPV'!LHW$8,0)</f>
        <v>0</v>
      </c>
      <c r="LHW54" s="5">
        <f>-IFERROR('4. NPV'!#REF!/'4. NPV'!LHX$8,0)</f>
        <v>0</v>
      </c>
      <c r="LHX54" s="5">
        <f>-IFERROR('4. NPV'!#REF!/'4. NPV'!LHY$8,0)</f>
        <v>0</v>
      </c>
      <c r="LHY54" s="5">
        <f>-IFERROR('4. NPV'!#REF!/'4. NPV'!LHZ$8,0)</f>
        <v>0</v>
      </c>
      <c r="LHZ54" s="5">
        <f>-IFERROR('4. NPV'!#REF!/'4. NPV'!LIA$8,0)</f>
        <v>0</v>
      </c>
      <c r="LIA54" s="5">
        <f>-IFERROR('4. NPV'!#REF!/'4. NPV'!LIB$8,0)</f>
        <v>0</v>
      </c>
      <c r="LIB54" s="5">
        <f>-IFERROR('4. NPV'!#REF!/'4. NPV'!LIC$8,0)</f>
        <v>0</v>
      </c>
      <c r="LIC54" s="5">
        <f>-IFERROR('4. NPV'!#REF!/'4. NPV'!LID$8,0)</f>
        <v>0</v>
      </c>
      <c r="LID54" s="5">
        <f>-IFERROR('4. NPV'!#REF!/'4. NPV'!LIE$8,0)</f>
        <v>0</v>
      </c>
      <c r="LIE54" s="5">
        <f>-IFERROR('4. NPV'!#REF!/'4. NPV'!LIF$8,0)</f>
        <v>0</v>
      </c>
      <c r="LIF54" s="5">
        <f>-IFERROR('4. NPV'!#REF!/'4. NPV'!LIG$8,0)</f>
        <v>0</v>
      </c>
      <c r="LIG54" s="5">
        <f>-IFERROR('4. NPV'!#REF!/'4. NPV'!LIH$8,0)</f>
        <v>0</v>
      </c>
      <c r="LIH54" s="5">
        <f>-IFERROR('4. NPV'!#REF!/'4. NPV'!LII$8,0)</f>
        <v>0</v>
      </c>
      <c r="LII54" s="5">
        <f>-IFERROR('4. NPV'!#REF!/'4. NPV'!LIJ$8,0)</f>
        <v>0</v>
      </c>
      <c r="LIJ54" s="5">
        <f>-IFERROR('4. NPV'!#REF!/'4. NPV'!LIK$8,0)</f>
        <v>0</v>
      </c>
      <c r="LIK54" s="5">
        <f>-IFERROR('4. NPV'!#REF!/'4. NPV'!LIL$8,0)</f>
        <v>0</v>
      </c>
      <c r="LIL54" s="5">
        <f>-IFERROR('4. NPV'!#REF!/'4. NPV'!LIM$8,0)</f>
        <v>0</v>
      </c>
      <c r="LIM54" s="5">
        <f>-IFERROR('4. NPV'!#REF!/'4. NPV'!LIN$8,0)</f>
        <v>0</v>
      </c>
      <c r="LIN54" s="5">
        <f>-IFERROR('4. NPV'!#REF!/'4. NPV'!LIO$8,0)</f>
        <v>0</v>
      </c>
      <c r="LIO54" s="5">
        <f>-IFERROR('4. NPV'!#REF!/'4. NPV'!LIP$8,0)</f>
        <v>0</v>
      </c>
      <c r="LIP54" s="5">
        <f>-IFERROR('4. NPV'!#REF!/'4. NPV'!LIQ$8,0)</f>
        <v>0</v>
      </c>
      <c r="LIQ54" s="5">
        <f>-IFERROR('4. NPV'!#REF!/'4. NPV'!LIR$8,0)</f>
        <v>0</v>
      </c>
      <c r="LIR54" s="5">
        <f>-IFERROR('4. NPV'!#REF!/'4. NPV'!LIS$8,0)</f>
        <v>0</v>
      </c>
      <c r="LIS54" s="5">
        <f>-IFERROR('4. NPV'!#REF!/'4. NPV'!LIT$8,0)</f>
        <v>0</v>
      </c>
      <c r="LIT54" s="5">
        <f>-IFERROR('4. NPV'!#REF!/'4. NPV'!LIU$8,0)</f>
        <v>0</v>
      </c>
      <c r="LIU54" s="5">
        <f>-IFERROR('4. NPV'!#REF!/'4. NPV'!LIV$8,0)</f>
        <v>0</v>
      </c>
      <c r="LIV54" s="5">
        <f>-IFERROR('4. NPV'!#REF!/'4. NPV'!LIW$8,0)</f>
        <v>0</v>
      </c>
      <c r="LIW54" s="5">
        <f>-IFERROR('4. NPV'!#REF!/'4. NPV'!LIX$8,0)</f>
        <v>0</v>
      </c>
      <c r="LIX54" s="5">
        <f>-IFERROR('4. NPV'!#REF!/'4. NPV'!LIY$8,0)</f>
        <v>0</v>
      </c>
      <c r="LIY54" s="5">
        <f>-IFERROR('4. NPV'!#REF!/'4. NPV'!LIZ$8,0)</f>
        <v>0</v>
      </c>
      <c r="LIZ54" s="5">
        <f>-IFERROR('4. NPV'!#REF!/'4. NPV'!LJA$8,0)</f>
        <v>0</v>
      </c>
      <c r="LJA54" s="5">
        <f>-IFERROR('4. NPV'!#REF!/'4. NPV'!LJB$8,0)</f>
        <v>0</v>
      </c>
      <c r="LJB54" s="5">
        <f>-IFERROR('4. NPV'!#REF!/'4. NPV'!LJC$8,0)</f>
        <v>0</v>
      </c>
      <c r="LJC54" s="5">
        <f>-IFERROR('4. NPV'!#REF!/'4. NPV'!LJD$8,0)</f>
        <v>0</v>
      </c>
      <c r="LJD54" s="5">
        <f>-IFERROR('4. NPV'!#REF!/'4. NPV'!LJE$8,0)</f>
        <v>0</v>
      </c>
      <c r="LJE54" s="5">
        <f>-IFERROR('4. NPV'!#REF!/'4. NPV'!LJF$8,0)</f>
        <v>0</v>
      </c>
      <c r="LJF54" s="5">
        <f>-IFERROR('4. NPV'!#REF!/'4. NPV'!LJG$8,0)</f>
        <v>0</v>
      </c>
      <c r="LJG54" s="5">
        <f>-IFERROR('4. NPV'!#REF!/'4. NPV'!LJH$8,0)</f>
        <v>0</v>
      </c>
      <c r="LJH54" s="5">
        <f>-IFERROR('4. NPV'!#REF!/'4. NPV'!LJI$8,0)</f>
        <v>0</v>
      </c>
      <c r="LJI54" s="5">
        <f>-IFERROR('4. NPV'!#REF!/'4. NPV'!LJJ$8,0)</f>
        <v>0</v>
      </c>
      <c r="LJJ54" s="5">
        <f>-IFERROR('4. NPV'!#REF!/'4. NPV'!LJK$8,0)</f>
        <v>0</v>
      </c>
      <c r="LJK54" s="5">
        <f>-IFERROR('4. NPV'!#REF!/'4. NPV'!LJL$8,0)</f>
        <v>0</v>
      </c>
      <c r="LJL54" s="5">
        <f>-IFERROR('4. NPV'!#REF!/'4. NPV'!LJM$8,0)</f>
        <v>0</v>
      </c>
      <c r="LJM54" s="5">
        <f>-IFERROR('4. NPV'!#REF!/'4. NPV'!LJN$8,0)</f>
        <v>0</v>
      </c>
      <c r="LJN54" s="5">
        <f>-IFERROR('4. NPV'!#REF!/'4. NPV'!LJO$8,0)</f>
        <v>0</v>
      </c>
      <c r="LJO54" s="5">
        <f>-IFERROR('4. NPV'!#REF!/'4. NPV'!LJP$8,0)</f>
        <v>0</v>
      </c>
      <c r="LJP54" s="5">
        <f>-IFERROR('4. NPV'!#REF!/'4. NPV'!LJQ$8,0)</f>
        <v>0</v>
      </c>
      <c r="LJQ54" s="5">
        <f>-IFERROR('4. NPV'!#REF!/'4. NPV'!LJR$8,0)</f>
        <v>0</v>
      </c>
      <c r="LJR54" s="5">
        <f>-IFERROR('4. NPV'!#REF!/'4. NPV'!LJS$8,0)</f>
        <v>0</v>
      </c>
      <c r="LJS54" s="5">
        <f>-IFERROR('4. NPV'!#REF!/'4. NPV'!LJT$8,0)</f>
        <v>0</v>
      </c>
      <c r="LJT54" s="5">
        <f>-IFERROR('4. NPV'!#REF!/'4. NPV'!LJU$8,0)</f>
        <v>0</v>
      </c>
      <c r="LJU54" s="5">
        <f>-IFERROR('4. NPV'!#REF!/'4. NPV'!LJV$8,0)</f>
        <v>0</v>
      </c>
      <c r="LJV54" s="5">
        <f>-IFERROR('4. NPV'!#REF!/'4. NPV'!LJW$8,0)</f>
        <v>0</v>
      </c>
      <c r="LJW54" s="5">
        <f>-IFERROR('4. NPV'!#REF!/'4. NPV'!LJX$8,0)</f>
        <v>0</v>
      </c>
      <c r="LJX54" s="5">
        <f>-IFERROR('4. NPV'!#REF!/'4. NPV'!LJY$8,0)</f>
        <v>0</v>
      </c>
      <c r="LJY54" s="5">
        <f>-IFERROR('4. NPV'!#REF!/'4. NPV'!LJZ$8,0)</f>
        <v>0</v>
      </c>
      <c r="LJZ54" s="5">
        <f>-IFERROR('4. NPV'!#REF!/'4. NPV'!LKA$8,0)</f>
        <v>0</v>
      </c>
      <c r="LKA54" s="5">
        <f>-IFERROR('4. NPV'!#REF!/'4. NPV'!LKB$8,0)</f>
        <v>0</v>
      </c>
      <c r="LKB54" s="5">
        <f>-IFERROR('4. NPV'!#REF!/'4. NPV'!LKC$8,0)</f>
        <v>0</v>
      </c>
      <c r="LKC54" s="5">
        <f>-IFERROR('4. NPV'!#REF!/'4. NPV'!LKD$8,0)</f>
        <v>0</v>
      </c>
      <c r="LKD54" s="5">
        <f>-IFERROR('4. NPV'!#REF!/'4. NPV'!LKE$8,0)</f>
        <v>0</v>
      </c>
      <c r="LKE54" s="5">
        <f>-IFERROR('4. NPV'!#REF!/'4. NPV'!LKF$8,0)</f>
        <v>0</v>
      </c>
      <c r="LKF54" s="5">
        <f>-IFERROR('4. NPV'!#REF!/'4. NPV'!LKG$8,0)</f>
        <v>0</v>
      </c>
      <c r="LKG54" s="5">
        <f>-IFERROR('4. NPV'!#REF!/'4. NPV'!LKH$8,0)</f>
        <v>0</v>
      </c>
      <c r="LKH54" s="5">
        <f>-IFERROR('4. NPV'!#REF!/'4. NPV'!LKI$8,0)</f>
        <v>0</v>
      </c>
      <c r="LKI54" s="5">
        <f>-IFERROR('4. NPV'!#REF!/'4. NPV'!LKJ$8,0)</f>
        <v>0</v>
      </c>
      <c r="LKJ54" s="5">
        <f>-IFERROR('4. NPV'!#REF!/'4. NPV'!LKK$8,0)</f>
        <v>0</v>
      </c>
      <c r="LKK54" s="5">
        <f>-IFERROR('4. NPV'!#REF!/'4. NPV'!LKL$8,0)</f>
        <v>0</v>
      </c>
      <c r="LKL54" s="5">
        <f>-IFERROR('4. NPV'!#REF!/'4. NPV'!LKM$8,0)</f>
        <v>0</v>
      </c>
      <c r="LKM54" s="5">
        <f>-IFERROR('4. NPV'!#REF!/'4. NPV'!LKN$8,0)</f>
        <v>0</v>
      </c>
      <c r="LKN54" s="5">
        <f>-IFERROR('4. NPV'!#REF!/'4. NPV'!LKO$8,0)</f>
        <v>0</v>
      </c>
      <c r="LKO54" s="5">
        <f>-IFERROR('4. NPV'!#REF!/'4. NPV'!LKP$8,0)</f>
        <v>0</v>
      </c>
      <c r="LKP54" s="5">
        <f>-IFERROR('4. NPV'!#REF!/'4. NPV'!LKQ$8,0)</f>
        <v>0</v>
      </c>
      <c r="LKQ54" s="5">
        <f>-IFERROR('4. NPV'!#REF!/'4. NPV'!LKR$8,0)</f>
        <v>0</v>
      </c>
      <c r="LKR54" s="5">
        <f>-IFERROR('4. NPV'!#REF!/'4. NPV'!LKS$8,0)</f>
        <v>0</v>
      </c>
      <c r="LKS54" s="5">
        <f>-IFERROR('4. NPV'!#REF!/'4. NPV'!LKT$8,0)</f>
        <v>0</v>
      </c>
      <c r="LKT54" s="5">
        <f>-IFERROR('4. NPV'!#REF!/'4. NPV'!LKU$8,0)</f>
        <v>0</v>
      </c>
      <c r="LKU54" s="5">
        <f>-IFERROR('4. NPV'!#REF!/'4. NPV'!LKV$8,0)</f>
        <v>0</v>
      </c>
      <c r="LKV54" s="5">
        <f>-IFERROR('4. NPV'!#REF!/'4. NPV'!LKW$8,0)</f>
        <v>0</v>
      </c>
      <c r="LKW54" s="5">
        <f>-IFERROR('4. NPV'!#REF!/'4. NPV'!LKX$8,0)</f>
        <v>0</v>
      </c>
      <c r="LKX54" s="5">
        <f>-IFERROR('4. NPV'!#REF!/'4. NPV'!LKY$8,0)</f>
        <v>0</v>
      </c>
      <c r="LKY54" s="5">
        <f>-IFERROR('4. NPV'!#REF!/'4. NPV'!LKZ$8,0)</f>
        <v>0</v>
      </c>
      <c r="LKZ54" s="5">
        <f>-IFERROR('4. NPV'!#REF!/'4. NPV'!LLA$8,0)</f>
        <v>0</v>
      </c>
      <c r="LLA54" s="5">
        <f>-IFERROR('4. NPV'!#REF!/'4. NPV'!LLB$8,0)</f>
        <v>0</v>
      </c>
      <c r="LLB54" s="5">
        <f>-IFERROR('4. NPV'!#REF!/'4. NPV'!LLC$8,0)</f>
        <v>0</v>
      </c>
      <c r="LLC54" s="5">
        <f>-IFERROR('4. NPV'!#REF!/'4. NPV'!LLD$8,0)</f>
        <v>0</v>
      </c>
      <c r="LLD54" s="5">
        <f>-IFERROR('4. NPV'!#REF!/'4. NPV'!LLE$8,0)</f>
        <v>0</v>
      </c>
      <c r="LLE54" s="5">
        <f>-IFERROR('4. NPV'!#REF!/'4. NPV'!LLF$8,0)</f>
        <v>0</v>
      </c>
      <c r="LLF54" s="5">
        <f>-IFERROR('4. NPV'!#REF!/'4. NPV'!LLG$8,0)</f>
        <v>0</v>
      </c>
      <c r="LLG54" s="5">
        <f>-IFERROR('4. NPV'!#REF!/'4. NPV'!LLH$8,0)</f>
        <v>0</v>
      </c>
      <c r="LLH54" s="5">
        <f>-IFERROR('4. NPV'!#REF!/'4. NPV'!LLI$8,0)</f>
        <v>0</v>
      </c>
      <c r="LLI54" s="5">
        <f>-IFERROR('4. NPV'!#REF!/'4. NPV'!LLJ$8,0)</f>
        <v>0</v>
      </c>
      <c r="LLJ54" s="5">
        <f>-IFERROR('4. NPV'!#REF!/'4. NPV'!LLK$8,0)</f>
        <v>0</v>
      </c>
      <c r="LLK54" s="5">
        <f>-IFERROR('4. NPV'!#REF!/'4. NPV'!LLL$8,0)</f>
        <v>0</v>
      </c>
      <c r="LLL54" s="5">
        <f>-IFERROR('4. NPV'!#REF!/'4. NPV'!LLM$8,0)</f>
        <v>0</v>
      </c>
      <c r="LLM54" s="5">
        <f>-IFERROR('4. NPV'!#REF!/'4. NPV'!LLN$8,0)</f>
        <v>0</v>
      </c>
      <c r="LLN54" s="5">
        <f>-IFERROR('4. NPV'!#REF!/'4. NPV'!LLO$8,0)</f>
        <v>0</v>
      </c>
      <c r="LLO54" s="5">
        <f>-IFERROR('4. NPV'!#REF!/'4. NPV'!LLP$8,0)</f>
        <v>0</v>
      </c>
      <c r="LLP54" s="5">
        <f>-IFERROR('4. NPV'!#REF!/'4. NPV'!LLQ$8,0)</f>
        <v>0</v>
      </c>
      <c r="LLQ54" s="5">
        <f>-IFERROR('4. NPV'!#REF!/'4. NPV'!LLR$8,0)</f>
        <v>0</v>
      </c>
      <c r="LLR54" s="5">
        <f>-IFERROR('4. NPV'!#REF!/'4. NPV'!LLS$8,0)</f>
        <v>0</v>
      </c>
      <c r="LLS54" s="5">
        <f>-IFERROR('4. NPV'!#REF!/'4. NPV'!LLT$8,0)</f>
        <v>0</v>
      </c>
      <c r="LLT54" s="5">
        <f>-IFERROR('4. NPV'!#REF!/'4. NPV'!LLU$8,0)</f>
        <v>0</v>
      </c>
      <c r="LLU54" s="5">
        <f>-IFERROR('4. NPV'!#REF!/'4. NPV'!LLV$8,0)</f>
        <v>0</v>
      </c>
      <c r="LLV54" s="5">
        <f>-IFERROR('4. NPV'!#REF!/'4. NPV'!LLW$8,0)</f>
        <v>0</v>
      </c>
      <c r="LLW54" s="5">
        <f>-IFERROR('4. NPV'!#REF!/'4. NPV'!LLX$8,0)</f>
        <v>0</v>
      </c>
      <c r="LLX54" s="5">
        <f>-IFERROR('4. NPV'!#REF!/'4. NPV'!LLY$8,0)</f>
        <v>0</v>
      </c>
      <c r="LLY54" s="5">
        <f>-IFERROR('4. NPV'!#REF!/'4. NPV'!LLZ$8,0)</f>
        <v>0</v>
      </c>
      <c r="LLZ54" s="5">
        <f>-IFERROR('4. NPV'!#REF!/'4. NPV'!LMA$8,0)</f>
        <v>0</v>
      </c>
      <c r="LMA54" s="5">
        <f>-IFERROR('4. NPV'!#REF!/'4. NPV'!LMB$8,0)</f>
        <v>0</v>
      </c>
      <c r="LMB54" s="5">
        <f>-IFERROR('4. NPV'!#REF!/'4. NPV'!LMC$8,0)</f>
        <v>0</v>
      </c>
      <c r="LMC54" s="5">
        <f>-IFERROR('4. NPV'!#REF!/'4. NPV'!LMD$8,0)</f>
        <v>0</v>
      </c>
      <c r="LMD54" s="5">
        <f>-IFERROR('4. NPV'!#REF!/'4. NPV'!LME$8,0)</f>
        <v>0</v>
      </c>
      <c r="LME54" s="5">
        <f>-IFERROR('4. NPV'!#REF!/'4. NPV'!LMF$8,0)</f>
        <v>0</v>
      </c>
      <c r="LMF54" s="5">
        <f>-IFERROR('4. NPV'!#REF!/'4. NPV'!LMG$8,0)</f>
        <v>0</v>
      </c>
      <c r="LMG54" s="5">
        <f>-IFERROR('4. NPV'!#REF!/'4. NPV'!LMH$8,0)</f>
        <v>0</v>
      </c>
      <c r="LMH54" s="5">
        <f>-IFERROR('4. NPV'!#REF!/'4. NPV'!LMI$8,0)</f>
        <v>0</v>
      </c>
      <c r="LMI54" s="5">
        <f>-IFERROR('4. NPV'!#REF!/'4. NPV'!LMJ$8,0)</f>
        <v>0</v>
      </c>
      <c r="LMJ54" s="5">
        <f>-IFERROR('4. NPV'!#REF!/'4. NPV'!LMK$8,0)</f>
        <v>0</v>
      </c>
      <c r="LMK54" s="5">
        <f>-IFERROR('4. NPV'!#REF!/'4. NPV'!LML$8,0)</f>
        <v>0</v>
      </c>
      <c r="LML54" s="5">
        <f>-IFERROR('4. NPV'!#REF!/'4. NPV'!LMM$8,0)</f>
        <v>0</v>
      </c>
      <c r="LMM54" s="5">
        <f>-IFERROR('4. NPV'!#REF!/'4. NPV'!LMN$8,0)</f>
        <v>0</v>
      </c>
      <c r="LMN54" s="5">
        <f>-IFERROR('4. NPV'!#REF!/'4. NPV'!LMO$8,0)</f>
        <v>0</v>
      </c>
      <c r="LMO54" s="5">
        <f>-IFERROR('4. NPV'!#REF!/'4. NPV'!LMP$8,0)</f>
        <v>0</v>
      </c>
      <c r="LMP54" s="5">
        <f>-IFERROR('4. NPV'!#REF!/'4. NPV'!LMQ$8,0)</f>
        <v>0</v>
      </c>
      <c r="LMQ54" s="5">
        <f>-IFERROR('4. NPV'!#REF!/'4. NPV'!LMR$8,0)</f>
        <v>0</v>
      </c>
      <c r="LMR54" s="5">
        <f>-IFERROR('4. NPV'!#REF!/'4. NPV'!LMS$8,0)</f>
        <v>0</v>
      </c>
      <c r="LMS54" s="5">
        <f>-IFERROR('4. NPV'!#REF!/'4. NPV'!LMT$8,0)</f>
        <v>0</v>
      </c>
      <c r="LMT54" s="5">
        <f>-IFERROR('4. NPV'!#REF!/'4. NPV'!LMU$8,0)</f>
        <v>0</v>
      </c>
      <c r="LMU54" s="5">
        <f>-IFERROR('4. NPV'!#REF!/'4. NPV'!LMV$8,0)</f>
        <v>0</v>
      </c>
      <c r="LMV54" s="5">
        <f>-IFERROR('4. NPV'!#REF!/'4. NPV'!LMW$8,0)</f>
        <v>0</v>
      </c>
      <c r="LMW54" s="5">
        <f>-IFERROR('4. NPV'!#REF!/'4. NPV'!LMX$8,0)</f>
        <v>0</v>
      </c>
      <c r="LMX54" s="5">
        <f>-IFERROR('4. NPV'!#REF!/'4. NPV'!LMY$8,0)</f>
        <v>0</v>
      </c>
      <c r="LMY54" s="5">
        <f>-IFERROR('4. NPV'!#REF!/'4. NPV'!LMZ$8,0)</f>
        <v>0</v>
      </c>
      <c r="LMZ54" s="5">
        <f>-IFERROR('4. NPV'!#REF!/'4. NPV'!LNA$8,0)</f>
        <v>0</v>
      </c>
      <c r="LNA54" s="5">
        <f>-IFERROR('4. NPV'!#REF!/'4. NPV'!LNB$8,0)</f>
        <v>0</v>
      </c>
      <c r="LNB54" s="5">
        <f>-IFERROR('4. NPV'!#REF!/'4. NPV'!LNC$8,0)</f>
        <v>0</v>
      </c>
      <c r="LNC54" s="5">
        <f>-IFERROR('4. NPV'!#REF!/'4. NPV'!LND$8,0)</f>
        <v>0</v>
      </c>
      <c r="LND54" s="5">
        <f>-IFERROR('4. NPV'!#REF!/'4. NPV'!LNE$8,0)</f>
        <v>0</v>
      </c>
      <c r="LNE54" s="5">
        <f>-IFERROR('4. NPV'!#REF!/'4. NPV'!LNF$8,0)</f>
        <v>0</v>
      </c>
      <c r="LNF54" s="5">
        <f>-IFERROR('4. NPV'!#REF!/'4. NPV'!LNG$8,0)</f>
        <v>0</v>
      </c>
      <c r="LNG54" s="5">
        <f>-IFERROR('4. NPV'!#REF!/'4. NPV'!LNH$8,0)</f>
        <v>0</v>
      </c>
      <c r="LNH54" s="5">
        <f>-IFERROR('4. NPV'!#REF!/'4. NPV'!LNI$8,0)</f>
        <v>0</v>
      </c>
      <c r="LNI54" s="5">
        <f>-IFERROR('4. NPV'!#REF!/'4. NPV'!LNJ$8,0)</f>
        <v>0</v>
      </c>
      <c r="LNJ54" s="5">
        <f>-IFERROR('4. NPV'!#REF!/'4. NPV'!LNK$8,0)</f>
        <v>0</v>
      </c>
      <c r="LNK54" s="5">
        <f>-IFERROR('4. NPV'!#REF!/'4. NPV'!LNL$8,0)</f>
        <v>0</v>
      </c>
      <c r="LNL54" s="5">
        <f>-IFERROR('4. NPV'!#REF!/'4. NPV'!LNM$8,0)</f>
        <v>0</v>
      </c>
      <c r="LNM54" s="5">
        <f>-IFERROR('4. NPV'!#REF!/'4. NPV'!LNN$8,0)</f>
        <v>0</v>
      </c>
      <c r="LNN54" s="5">
        <f>-IFERROR('4. NPV'!#REF!/'4. NPV'!LNO$8,0)</f>
        <v>0</v>
      </c>
      <c r="LNO54" s="5">
        <f>-IFERROR('4. NPV'!#REF!/'4. NPV'!LNP$8,0)</f>
        <v>0</v>
      </c>
      <c r="LNP54" s="5">
        <f>-IFERROR('4. NPV'!#REF!/'4. NPV'!LNQ$8,0)</f>
        <v>0</v>
      </c>
      <c r="LNQ54" s="5">
        <f>-IFERROR('4. NPV'!#REF!/'4. NPV'!LNR$8,0)</f>
        <v>0</v>
      </c>
      <c r="LNR54" s="5">
        <f>-IFERROR('4. NPV'!#REF!/'4. NPV'!LNS$8,0)</f>
        <v>0</v>
      </c>
      <c r="LNS54" s="5">
        <f>-IFERROR('4. NPV'!#REF!/'4. NPV'!LNT$8,0)</f>
        <v>0</v>
      </c>
      <c r="LNT54" s="5">
        <f>-IFERROR('4. NPV'!#REF!/'4. NPV'!LNU$8,0)</f>
        <v>0</v>
      </c>
      <c r="LNU54" s="5">
        <f>-IFERROR('4. NPV'!#REF!/'4. NPV'!LNV$8,0)</f>
        <v>0</v>
      </c>
      <c r="LNV54" s="5">
        <f>-IFERROR('4. NPV'!#REF!/'4. NPV'!LNW$8,0)</f>
        <v>0</v>
      </c>
      <c r="LNW54" s="5">
        <f>-IFERROR('4. NPV'!#REF!/'4. NPV'!LNX$8,0)</f>
        <v>0</v>
      </c>
      <c r="LNX54" s="5">
        <f>-IFERROR('4. NPV'!#REF!/'4. NPV'!LNY$8,0)</f>
        <v>0</v>
      </c>
      <c r="LNY54" s="5">
        <f>-IFERROR('4. NPV'!#REF!/'4. NPV'!LNZ$8,0)</f>
        <v>0</v>
      </c>
      <c r="LNZ54" s="5">
        <f>-IFERROR('4. NPV'!#REF!/'4. NPV'!LOA$8,0)</f>
        <v>0</v>
      </c>
      <c r="LOA54" s="5">
        <f>-IFERROR('4. NPV'!#REF!/'4. NPV'!LOB$8,0)</f>
        <v>0</v>
      </c>
      <c r="LOB54" s="5">
        <f>-IFERROR('4. NPV'!#REF!/'4. NPV'!LOC$8,0)</f>
        <v>0</v>
      </c>
      <c r="LOC54" s="5">
        <f>-IFERROR('4. NPV'!#REF!/'4. NPV'!LOD$8,0)</f>
        <v>0</v>
      </c>
      <c r="LOD54" s="5">
        <f>-IFERROR('4. NPV'!#REF!/'4. NPV'!LOE$8,0)</f>
        <v>0</v>
      </c>
      <c r="LOE54" s="5">
        <f>-IFERROR('4. NPV'!#REF!/'4. NPV'!LOF$8,0)</f>
        <v>0</v>
      </c>
      <c r="LOF54" s="5">
        <f>-IFERROR('4. NPV'!#REF!/'4. NPV'!LOG$8,0)</f>
        <v>0</v>
      </c>
      <c r="LOG54" s="5">
        <f>-IFERROR('4. NPV'!#REF!/'4. NPV'!LOH$8,0)</f>
        <v>0</v>
      </c>
      <c r="LOH54" s="5">
        <f>-IFERROR('4. NPV'!#REF!/'4. NPV'!LOI$8,0)</f>
        <v>0</v>
      </c>
      <c r="LOI54" s="5">
        <f>-IFERROR('4. NPV'!#REF!/'4. NPV'!LOJ$8,0)</f>
        <v>0</v>
      </c>
      <c r="LOJ54" s="5">
        <f>-IFERROR('4. NPV'!#REF!/'4. NPV'!LOK$8,0)</f>
        <v>0</v>
      </c>
      <c r="LOK54" s="5">
        <f>-IFERROR('4. NPV'!#REF!/'4. NPV'!LOL$8,0)</f>
        <v>0</v>
      </c>
      <c r="LOL54" s="5">
        <f>-IFERROR('4. NPV'!#REF!/'4. NPV'!LOM$8,0)</f>
        <v>0</v>
      </c>
      <c r="LOM54" s="5">
        <f>-IFERROR('4. NPV'!#REF!/'4. NPV'!LON$8,0)</f>
        <v>0</v>
      </c>
      <c r="LON54" s="5">
        <f>-IFERROR('4. NPV'!#REF!/'4. NPV'!LOO$8,0)</f>
        <v>0</v>
      </c>
      <c r="LOO54" s="5">
        <f>-IFERROR('4. NPV'!#REF!/'4. NPV'!LOP$8,0)</f>
        <v>0</v>
      </c>
      <c r="LOP54" s="5">
        <f>-IFERROR('4. NPV'!#REF!/'4. NPV'!LOQ$8,0)</f>
        <v>0</v>
      </c>
      <c r="LOQ54" s="5">
        <f>-IFERROR('4. NPV'!#REF!/'4. NPV'!LOR$8,0)</f>
        <v>0</v>
      </c>
      <c r="LOR54" s="5">
        <f>-IFERROR('4. NPV'!#REF!/'4. NPV'!LOS$8,0)</f>
        <v>0</v>
      </c>
      <c r="LOS54" s="5">
        <f>-IFERROR('4. NPV'!#REF!/'4. NPV'!LOT$8,0)</f>
        <v>0</v>
      </c>
      <c r="LOT54" s="5">
        <f>-IFERROR('4. NPV'!#REF!/'4. NPV'!LOU$8,0)</f>
        <v>0</v>
      </c>
      <c r="LOU54" s="5">
        <f>-IFERROR('4. NPV'!#REF!/'4. NPV'!LOV$8,0)</f>
        <v>0</v>
      </c>
      <c r="LOV54" s="5">
        <f>-IFERROR('4. NPV'!#REF!/'4. NPV'!LOW$8,0)</f>
        <v>0</v>
      </c>
      <c r="LOW54" s="5">
        <f>-IFERROR('4. NPV'!#REF!/'4. NPV'!LOX$8,0)</f>
        <v>0</v>
      </c>
      <c r="LOX54" s="5">
        <f>-IFERROR('4. NPV'!#REF!/'4. NPV'!LOY$8,0)</f>
        <v>0</v>
      </c>
      <c r="LOY54" s="5">
        <f>-IFERROR('4. NPV'!#REF!/'4. NPV'!LOZ$8,0)</f>
        <v>0</v>
      </c>
      <c r="LOZ54" s="5">
        <f>-IFERROR('4. NPV'!#REF!/'4. NPV'!LPA$8,0)</f>
        <v>0</v>
      </c>
      <c r="LPA54" s="5">
        <f>-IFERROR('4. NPV'!#REF!/'4. NPV'!LPB$8,0)</f>
        <v>0</v>
      </c>
      <c r="LPB54" s="5">
        <f>-IFERROR('4. NPV'!#REF!/'4. NPV'!LPC$8,0)</f>
        <v>0</v>
      </c>
      <c r="LPC54" s="5">
        <f>-IFERROR('4. NPV'!#REF!/'4. NPV'!LPD$8,0)</f>
        <v>0</v>
      </c>
      <c r="LPD54" s="5">
        <f>-IFERROR('4. NPV'!#REF!/'4. NPV'!LPE$8,0)</f>
        <v>0</v>
      </c>
      <c r="LPE54" s="5">
        <f>-IFERROR('4. NPV'!#REF!/'4. NPV'!LPF$8,0)</f>
        <v>0</v>
      </c>
      <c r="LPF54" s="5">
        <f>-IFERROR('4. NPV'!#REF!/'4. NPV'!LPG$8,0)</f>
        <v>0</v>
      </c>
      <c r="LPG54" s="5">
        <f>-IFERROR('4. NPV'!#REF!/'4. NPV'!LPH$8,0)</f>
        <v>0</v>
      </c>
      <c r="LPH54" s="5">
        <f>-IFERROR('4. NPV'!#REF!/'4. NPV'!LPI$8,0)</f>
        <v>0</v>
      </c>
      <c r="LPI54" s="5">
        <f>-IFERROR('4. NPV'!#REF!/'4. NPV'!LPJ$8,0)</f>
        <v>0</v>
      </c>
      <c r="LPJ54" s="5">
        <f>-IFERROR('4. NPV'!#REF!/'4. NPV'!LPK$8,0)</f>
        <v>0</v>
      </c>
      <c r="LPK54" s="5">
        <f>-IFERROR('4. NPV'!#REF!/'4. NPV'!LPL$8,0)</f>
        <v>0</v>
      </c>
      <c r="LPL54" s="5">
        <f>-IFERROR('4. NPV'!#REF!/'4. NPV'!LPM$8,0)</f>
        <v>0</v>
      </c>
      <c r="LPM54" s="5">
        <f>-IFERROR('4. NPV'!#REF!/'4. NPV'!LPN$8,0)</f>
        <v>0</v>
      </c>
      <c r="LPN54" s="5">
        <f>-IFERROR('4. NPV'!#REF!/'4. NPV'!LPO$8,0)</f>
        <v>0</v>
      </c>
      <c r="LPO54" s="5">
        <f>-IFERROR('4. NPV'!#REF!/'4. NPV'!LPP$8,0)</f>
        <v>0</v>
      </c>
      <c r="LPP54" s="5">
        <f>-IFERROR('4. NPV'!#REF!/'4. NPV'!LPQ$8,0)</f>
        <v>0</v>
      </c>
      <c r="LPQ54" s="5">
        <f>-IFERROR('4. NPV'!#REF!/'4. NPV'!LPR$8,0)</f>
        <v>0</v>
      </c>
      <c r="LPR54" s="5">
        <f>-IFERROR('4. NPV'!#REF!/'4. NPV'!LPS$8,0)</f>
        <v>0</v>
      </c>
      <c r="LPS54" s="5">
        <f>-IFERROR('4. NPV'!#REF!/'4. NPV'!LPT$8,0)</f>
        <v>0</v>
      </c>
      <c r="LPT54" s="5">
        <f>-IFERROR('4. NPV'!#REF!/'4. NPV'!LPU$8,0)</f>
        <v>0</v>
      </c>
      <c r="LPU54" s="5">
        <f>-IFERROR('4. NPV'!#REF!/'4. NPV'!LPV$8,0)</f>
        <v>0</v>
      </c>
      <c r="LPV54" s="5">
        <f>-IFERROR('4. NPV'!#REF!/'4. NPV'!LPW$8,0)</f>
        <v>0</v>
      </c>
      <c r="LPW54" s="5">
        <f>-IFERROR('4. NPV'!#REF!/'4. NPV'!LPX$8,0)</f>
        <v>0</v>
      </c>
      <c r="LPX54" s="5">
        <f>-IFERROR('4. NPV'!#REF!/'4. NPV'!LPY$8,0)</f>
        <v>0</v>
      </c>
      <c r="LPY54" s="5">
        <f>-IFERROR('4. NPV'!#REF!/'4. NPV'!LPZ$8,0)</f>
        <v>0</v>
      </c>
      <c r="LPZ54" s="5">
        <f>-IFERROR('4. NPV'!#REF!/'4. NPV'!LQA$8,0)</f>
        <v>0</v>
      </c>
      <c r="LQA54" s="5">
        <f>-IFERROR('4. NPV'!#REF!/'4. NPV'!LQB$8,0)</f>
        <v>0</v>
      </c>
      <c r="LQB54" s="5">
        <f>-IFERROR('4. NPV'!#REF!/'4. NPV'!LQC$8,0)</f>
        <v>0</v>
      </c>
      <c r="LQC54" s="5">
        <f>-IFERROR('4. NPV'!#REF!/'4. NPV'!LQD$8,0)</f>
        <v>0</v>
      </c>
      <c r="LQD54" s="5">
        <f>-IFERROR('4. NPV'!#REF!/'4. NPV'!LQE$8,0)</f>
        <v>0</v>
      </c>
      <c r="LQE54" s="5">
        <f>-IFERROR('4. NPV'!#REF!/'4. NPV'!LQF$8,0)</f>
        <v>0</v>
      </c>
      <c r="LQF54" s="5">
        <f>-IFERROR('4. NPV'!#REF!/'4. NPV'!LQG$8,0)</f>
        <v>0</v>
      </c>
      <c r="LQG54" s="5">
        <f>-IFERROR('4. NPV'!#REF!/'4. NPV'!LQH$8,0)</f>
        <v>0</v>
      </c>
      <c r="LQH54" s="5">
        <f>-IFERROR('4. NPV'!#REF!/'4. NPV'!LQI$8,0)</f>
        <v>0</v>
      </c>
      <c r="LQI54" s="5">
        <f>-IFERROR('4. NPV'!#REF!/'4. NPV'!LQJ$8,0)</f>
        <v>0</v>
      </c>
      <c r="LQJ54" s="5">
        <f>-IFERROR('4. NPV'!#REF!/'4. NPV'!LQK$8,0)</f>
        <v>0</v>
      </c>
      <c r="LQK54" s="5">
        <f>-IFERROR('4. NPV'!#REF!/'4. NPV'!LQL$8,0)</f>
        <v>0</v>
      </c>
      <c r="LQL54" s="5">
        <f>-IFERROR('4. NPV'!#REF!/'4. NPV'!LQM$8,0)</f>
        <v>0</v>
      </c>
      <c r="LQM54" s="5">
        <f>-IFERROR('4. NPV'!#REF!/'4. NPV'!LQN$8,0)</f>
        <v>0</v>
      </c>
      <c r="LQN54" s="5">
        <f>-IFERROR('4. NPV'!#REF!/'4. NPV'!LQO$8,0)</f>
        <v>0</v>
      </c>
      <c r="LQO54" s="5">
        <f>-IFERROR('4. NPV'!#REF!/'4. NPV'!LQP$8,0)</f>
        <v>0</v>
      </c>
      <c r="LQP54" s="5">
        <f>-IFERROR('4. NPV'!#REF!/'4. NPV'!LQQ$8,0)</f>
        <v>0</v>
      </c>
      <c r="LQQ54" s="5">
        <f>-IFERROR('4. NPV'!#REF!/'4. NPV'!LQR$8,0)</f>
        <v>0</v>
      </c>
      <c r="LQR54" s="5">
        <f>-IFERROR('4. NPV'!#REF!/'4. NPV'!LQS$8,0)</f>
        <v>0</v>
      </c>
      <c r="LQS54" s="5">
        <f>-IFERROR('4. NPV'!#REF!/'4. NPV'!LQT$8,0)</f>
        <v>0</v>
      </c>
      <c r="LQT54" s="5">
        <f>-IFERROR('4. NPV'!#REF!/'4. NPV'!LQU$8,0)</f>
        <v>0</v>
      </c>
      <c r="LQU54" s="5">
        <f>-IFERROR('4. NPV'!#REF!/'4. NPV'!LQV$8,0)</f>
        <v>0</v>
      </c>
      <c r="LQV54" s="5">
        <f>-IFERROR('4. NPV'!#REF!/'4. NPV'!LQW$8,0)</f>
        <v>0</v>
      </c>
      <c r="LQW54" s="5">
        <f>-IFERROR('4. NPV'!#REF!/'4. NPV'!LQX$8,0)</f>
        <v>0</v>
      </c>
      <c r="LQX54" s="5">
        <f>-IFERROR('4. NPV'!#REF!/'4. NPV'!LQY$8,0)</f>
        <v>0</v>
      </c>
      <c r="LQY54" s="5">
        <f>-IFERROR('4. NPV'!#REF!/'4. NPV'!LQZ$8,0)</f>
        <v>0</v>
      </c>
      <c r="LQZ54" s="5">
        <f>-IFERROR('4. NPV'!#REF!/'4. NPV'!LRA$8,0)</f>
        <v>0</v>
      </c>
      <c r="LRA54" s="5">
        <f>-IFERROR('4. NPV'!#REF!/'4. NPV'!LRB$8,0)</f>
        <v>0</v>
      </c>
      <c r="LRB54" s="5">
        <f>-IFERROR('4. NPV'!#REF!/'4. NPV'!LRC$8,0)</f>
        <v>0</v>
      </c>
      <c r="LRC54" s="5">
        <f>-IFERROR('4. NPV'!#REF!/'4. NPV'!LRD$8,0)</f>
        <v>0</v>
      </c>
      <c r="LRD54" s="5">
        <f>-IFERROR('4. NPV'!#REF!/'4. NPV'!LRE$8,0)</f>
        <v>0</v>
      </c>
      <c r="LRE54" s="5">
        <f>-IFERROR('4. NPV'!#REF!/'4. NPV'!LRF$8,0)</f>
        <v>0</v>
      </c>
      <c r="LRF54" s="5">
        <f>-IFERROR('4. NPV'!#REF!/'4. NPV'!LRG$8,0)</f>
        <v>0</v>
      </c>
      <c r="LRG54" s="5">
        <f>-IFERROR('4. NPV'!#REF!/'4. NPV'!LRH$8,0)</f>
        <v>0</v>
      </c>
      <c r="LRH54" s="5">
        <f>-IFERROR('4. NPV'!#REF!/'4. NPV'!LRI$8,0)</f>
        <v>0</v>
      </c>
      <c r="LRI54" s="5">
        <f>-IFERROR('4. NPV'!#REF!/'4. NPV'!LRJ$8,0)</f>
        <v>0</v>
      </c>
      <c r="LRJ54" s="5">
        <f>-IFERROR('4. NPV'!#REF!/'4. NPV'!LRK$8,0)</f>
        <v>0</v>
      </c>
      <c r="LRK54" s="5">
        <f>-IFERROR('4. NPV'!#REF!/'4. NPV'!LRL$8,0)</f>
        <v>0</v>
      </c>
      <c r="LRL54" s="5">
        <f>-IFERROR('4. NPV'!#REF!/'4. NPV'!LRM$8,0)</f>
        <v>0</v>
      </c>
      <c r="LRM54" s="5">
        <f>-IFERROR('4. NPV'!#REF!/'4. NPV'!LRN$8,0)</f>
        <v>0</v>
      </c>
      <c r="LRN54" s="5">
        <f>-IFERROR('4. NPV'!#REF!/'4. NPV'!LRO$8,0)</f>
        <v>0</v>
      </c>
      <c r="LRO54" s="5">
        <f>-IFERROR('4. NPV'!#REF!/'4. NPV'!LRP$8,0)</f>
        <v>0</v>
      </c>
      <c r="LRP54" s="5">
        <f>-IFERROR('4. NPV'!#REF!/'4. NPV'!LRQ$8,0)</f>
        <v>0</v>
      </c>
      <c r="LRQ54" s="5">
        <f>-IFERROR('4. NPV'!#REF!/'4. NPV'!LRR$8,0)</f>
        <v>0</v>
      </c>
      <c r="LRR54" s="5">
        <f>-IFERROR('4. NPV'!#REF!/'4. NPV'!LRS$8,0)</f>
        <v>0</v>
      </c>
      <c r="LRS54" s="5">
        <f>-IFERROR('4. NPV'!#REF!/'4. NPV'!LRT$8,0)</f>
        <v>0</v>
      </c>
      <c r="LRT54" s="5">
        <f>-IFERROR('4. NPV'!#REF!/'4. NPV'!LRU$8,0)</f>
        <v>0</v>
      </c>
      <c r="LRU54" s="5">
        <f>-IFERROR('4. NPV'!#REF!/'4. NPV'!LRV$8,0)</f>
        <v>0</v>
      </c>
      <c r="LRV54" s="5">
        <f>-IFERROR('4. NPV'!#REF!/'4. NPV'!LRW$8,0)</f>
        <v>0</v>
      </c>
      <c r="LRW54" s="5">
        <f>-IFERROR('4. NPV'!#REF!/'4. NPV'!LRX$8,0)</f>
        <v>0</v>
      </c>
      <c r="LRX54" s="5">
        <f>-IFERROR('4. NPV'!#REF!/'4. NPV'!LRY$8,0)</f>
        <v>0</v>
      </c>
      <c r="LRY54" s="5">
        <f>-IFERROR('4. NPV'!#REF!/'4. NPV'!LRZ$8,0)</f>
        <v>0</v>
      </c>
      <c r="LRZ54" s="5">
        <f>-IFERROR('4. NPV'!#REF!/'4. NPV'!LSA$8,0)</f>
        <v>0</v>
      </c>
      <c r="LSA54" s="5">
        <f>-IFERROR('4. NPV'!#REF!/'4. NPV'!LSB$8,0)</f>
        <v>0</v>
      </c>
      <c r="LSB54" s="5">
        <f>-IFERROR('4. NPV'!#REF!/'4. NPV'!LSC$8,0)</f>
        <v>0</v>
      </c>
      <c r="LSC54" s="5">
        <f>-IFERROR('4. NPV'!#REF!/'4. NPV'!LSD$8,0)</f>
        <v>0</v>
      </c>
      <c r="LSD54" s="5">
        <f>-IFERROR('4. NPV'!#REF!/'4. NPV'!LSE$8,0)</f>
        <v>0</v>
      </c>
      <c r="LSE54" s="5">
        <f>-IFERROR('4. NPV'!#REF!/'4. NPV'!LSF$8,0)</f>
        <v>0</v>
      </c>
      <c r="LSF54" s="5">
        <f>-IFERROR('4. NPV'!#REF!/'4. NPV'!LSG$8,0)</f>
        <v>0</v>
      </c>
      <c r="LSG54" s="5">
        <f>-IFERROR('4. NPV'!#REF!/'4. NPV'!LSH$8,0)</f>
        <v>0</v>
      </c>
      <c r="LSH54" s="5">
        <f>-IFERROR('4. NPV'!#REF!/'4. NPV'!LSI$8,0)</f>
        <v>0</v>
      </c>
      <c r="LSI54" s="5">
        <f>-IFERROR('4. NPV'!#REF!/'4. NPV'!LSJ$8,0)</f>
        <v>0</v>
      </c>
      <c r="LSJ54" s="5">
        <f>-IFERROR('4. NPV'!#REF!/'4. NPV'!LSK$8,0)</f>
        <v>0</v>
      </c>
      <c r="LSK54" s="5">
        <f>-IFERROR('4. NPV'!#REF!/'4. NPV'!LSL$8,0)</f>
        <v>0</v>
      </c>
      <c r="LSL54" s="5">
        <f>-IFERROR('4. NPV'!#REF!/'4. NPV'!LSM$8,0)</f>
        <v>0</v>
      </c>
      <c r="LSM54" s="5">
        <f>-IFERROR('4. NPV'!#REF!/'4. NPV'!LSN$8,0)</f>
        <v>0</v>
      </c>
      <c r="LSN54" s="5">
        <f>-IFERROR('4. NPV'!#REF!/'4. NPV'!LSO$8,0)</f>
        <v>0</v>
      </c>
      <c r="LSO54" s="5">
        <f>-IFERROR('4. NPV'!#REF!/'4. NPV'!LSP$8,0)</f>
        <v>0</v>
      </c>
      <c r="LSP54" s="5">
        <f>-IFERROR('4. NPV'!#REF!/'4. NPV'!LSQ$8,0)</f>
        <v>0</v>
      </c>
      <c r="LSQ54" s="5">
        <f>-IFERROR('4. NPV'!#REF!/'4. NPV'!LSR$8,0)</f>
        <v>0</v>
      </c>
      <c r="LSR54" s="5">
        <f>-IFERROR('4. NPV'!#REF!/'4. NPV'!LSS$8,0)</f>
        <v>0</v>
      </c>
      <c r="LSS54" s="5">
        <f>-IFERROR('4. NPV'!#REF!/'4. NPV'!LST$8,0)</f>
        <v>0</v>
      </c>
      <c r="LST54" s="5">
        <f>-IFERROR('4. NPV'!#REF!/'4. NPV'!LSU$8,0)</f>
        <v>0</v>
      </c>
      <c r="LSU54" s="5">
        <f>-IFERROR('4. NPV'!#REF!/'4. NPV'!LSV$8,0)</f>
        <v>0</v>
      </c>
      <c r="LSV54" s="5">
        <f>-IFERROR('4. NPV'!#REF!/'4. NPV'!LSW$8,0)</f>
        <v>0</v>
      </c>
      <c r="LSW54" s="5">
        <f>-IFERROR('4. NPV'!#REF!/'4. NPV'!LSX$8,0)</f>
        <v>0</v>
      </c>
      <c r="LSX54" s="5">
        <f>-IFERROR('4. NPV'!#REF!/'4. NPV'!LSY$8,0)</f>
        <v>0</v>
      </c>
      <c r="LSY54" s="5">
        <f>-IFERROR('4. NPV'!#REF!/'4. NPV'!LSZ$8,0)</f>
        <v>0</v>
      </c>
      <c r="LSZ54" s="5">
        <f>-IFERROR('4. NPV'!#REF!/'4. NPV'!LTA$8,0)</f>
        <v>0</v>
      </c>
      <c r="LTA54" s="5">
        <f>-IFERROR('4. NPV'!#REF!/'4. NPV'!LTB$8,0)</f>
        <v>0</v>
      </c>
      <c r="LTB54" s="5">
        <f>-IFERROR('4. NPV'!#REF!/'4. NPV'!LTC$8,0)</f>
        <v>0</v>
      </c>
      <c r="LTC54" s="5">
        <f>-IFERROR('4. NPV'!#REF!/'4. NPV'!LTD$8,0)</f>
        <v>0</v>
      </c>
      <c r="LTD54" s="5">
        <f>-IFERROR('4. NPV'!#REF!/'4. NPV'!LTE$8,0)</f>
        <v>0</v>
      </c>
      <c r="LTE54" s="5">
        <f>-IFERROR('4. NPV'!#REF!/'4. NPV'!LTF$8,0)</f>
        <v>0</v>
      </c>
      <c r="LTF54" s="5">
        <f>-IFERROR('4. NPV'!#REF!/'4. NPV'!LTG$8,0)</f>
        <v>0</v>
      </c>
      <c r="LTG54" s="5">
        <f>-IFERROR('4. NPV'!#REF!/'4. NPV'!LTH$8,0)</f>
        <v>0</v>
      </c>
      <c r="LTH54" s="5">
        <f>-IFERROR('4. NPV'!#REF!/'4. NPV'!LTI$8,0)</f>
        <v>0</v>
      </c>
      <c r="LTI54" s="5">
        <f>-IFERROR('4. NPV'!#REF!/'4. NPV'!LTJ$8,0)</f>
        <v>0</v>
      </c>
      <c r="LTJ54" s="5">
        <f>-IFERROR('4. NPV'!#REF!/'4. NPV'!LTK$8,0)</f>
        <v>0</v>
      </c>
      <c r="LTK54" s="5">
        <f>-IFERROR('4. NPV'!#REF!/'4. NPV'!LTL$8,0)</f>
        <v>0</v>
      </c>
      <c r="LTL54" s="5">
        <f>-IFERROR('4. NPV'!#REF!/'4. NPV'!LTM$8,0)</f>
        <v>0</v>
      </c>
      <c r="LTM54" s="5">
        <f>-IFERROR('4. NPV'!#REF!/'4. NPV'!LTN$8,0)</f>
        <v>0</v>
      </c>
      <c r="LTN54" s="5">
        <f>-IFERROR('4. NPV'!#REF!/'4. NPV'!LTO$8,0)</f>
        <v>0</v>
      </c>
      <c r="LTO54" s="5">
        <f>-IFERROR('4. NPV'!#REF!/'4. NPV'!LTP$8,0)</f>
        <v>0</v>
      </c>
      <c r="LTP54" s="5">
        <f>-IFERROR('4. NPV'!#REF!/'4. NPV'!LTQ$8,0)</f>
        <v>0</v>
      </c>
      <c r="LTQ54" s="5">
        <f>-IFERROR('4. NPV'!#REF!/'4. NPV'!LTR$8,0)</f>
        <v>0</v>
      </c>
      <c r="LTR54" s="5">
        <f>-IFERROR('4. NPV'!#REF!/'4. NPV'!LTS$8,0)</f>
        <v>0</v>
      </c>
      <c r="LTS54" s="5">
        <f>-IFERROR('4. NPV'!#REF!/'4. NPV'!LTT$8,0)</f>
        <v>0</v>
      </c>
      <c r="LTT54" s="5">
        <f>-IFERROR('4. NPV'!#REF!/'4. NPV'!LTU$8,0)</f>
        <v>0</v>
      </c>
      <c r="LTU54" s="5">
        <f>-IFERROR('4. NPV'!#REF!/'4. NPV'!LTV$8,0)</f>
        <v>0</v>
      </c>
      <c r="LTV54" s="5">
        <f>-IFERROR('4. NPV'!#REF!/'4. NPV'!LTW$8,0)</f>
        <v>0</v>
      </c>
      <c r="LTW54" s="5">
        <f>-IFERROR('4. NPV'!#REF!/'4. NPV'!LTX$8,0)</f>
        <v>0</v>
      </c>
      <c r="LTX54" s="5">
        <f>-IFERROR('4. NPV'!#REF!/'4. NPV'!LTY$8,0)</f>
        <v>0</v>
      </c>
      <c r="LTY54" s="5">
        <f>-IFERROR('4. NPV'!#REF!/'4. NPV'!LTZ$8,0)</f>
        <v>0</v>
      </c>
      <c r="LTZ54" s="5">
        <f>-IFERROR('4. NPV'!#REF!/'4. NPV'!LUA$8,0)</f>
        <v>0</v>
      </c>
      <c r="LUA54" s="5">
        <f>-IFERROR('4. NPV'!#REF!/'4. NPV'!LUB$8,0)</f>
        <v>0</v>
      </c>
      <c r="LUB54" s="5">
        <f>-IFERROR('4. NPV'!#REF!/'4. NPV'!LUC$8,0)</f>
        <v>0</v>
      </c>
      <c r="LUC54" s="5">
        <f>-IFERROR('4. NPV'!#REF!/'4. NPV'!LUD$8,0)</f>
        <v>0</v>
      </c>
      <c r="LUD54" s="5">
        <f>-IFERROR('4. NPV'!#REF!/'4. NPV'!LUE$8,0)</f>
        <v>0</v>
      </c>
      <c r="LUE54" s="5">
        <f>-IFERROR('4. NPV'!#REF!/'4. NPV'!LUF$8,0)</f>
        <v>0</v>
      </c>
      <c r="LUF54" s="5">
        <f>-IFERROR('4. NPV'!#REF!/'4. NPV'!LUG$8,0)</f>
        <v>0</v>
      </c>
      <c r="LUG54" s="5">
        <f>-IFERROR('4. NPV'!#REF!/'4. NPV'!LUH$8,0)</f>
        <v>0</v>
      </c>
      <c r="LUH54" s="5">
        <f>-IFERROR('4. NPV'!#REF!/'4. NPV'!LUI$8,0)</f>
        <v>0</v>
      </c>
      <c r="LUI54" s="5">
        <f>-IFERROR('4. NPV'!#REF!/'4. NPV'!LUJ$8,0)</f>
        <v>0</v>
      </c>
      <c r="LUJ54" s="5">
        <f>-IFERROR('4. NPV'!#REF!/'4. NPV'!LUK$8,0)</f>
        <v>0</v>
      </c>
      <c r="LUK54" s="5">
        <f>-IFERROR('4. NPV'!#REF!/'4. NPV'!LUL$8,0)</f>
        <v>0</v>
      </c>
      <c r="LUL54" s="5">
        <f>-IFERROR('4. NPV'!#REF!/'4. NPV'!LUM$8,0)</f>
        <v>0</v>
      </c>
      <c r="LUM54" s="5">
        <f>-IFERROR('4. NPV'!#REF!/'4. NPV'!LUN$8,0)</f>
        <v>0</v>
      </c>
      <c r="LUN54" s="5">
        <f>-IFERROR('4. NPV'!#REF!/'4. NPV'!LUO$8,0)</f>
        <v>0</v>
      </c>
      <c r="LUO54" s="5">
        <f>-IFERROR('4. NPV'!#REF!/'4. NPV'!LUP$8,0)</f>
        <v>0</v>
      </c>
      <c r="LUP54" s="5">
        <f>-IFERROR('4. NPV'!#REF!/'4. NPV'!LUQ$8,0)</f>
        <v>0</v>
      </c>
      <c r="LUQ54" s="5">
        <f>-IFERROR('4. NPV'!#REF!/'4. NPV'!LUR$8,0)</f>
        <v>0</v>
      </c>
      <c r="LUR54" s="5">
        <f>-IFERROR('4. NPV'!#REF!/'4. NPV'!LUS$8,0)</f>
        <v>0</v>
      </c>
      <c r="LUS54" s="5">
        <f>-IFERROR('4. NPV'!#REF!/'4. NPV'!LUT$8,0)</f>
        <v>0</v>
      </c>
      <c r="LUT54" s="5">
        <f>-IFERROR('4. NPV'!#REF!/'4. NPV'!LUU$8,0)</f>
        <v>0</v>
      </c>
      <c r="LUU54" s="5">
        <f>-IFERROR('4. NPV'!#REF!/'4. NPV'!LUV$8,0)</f>
        <v>0</v>
      </c>
      <c r="LUV54" s="5">
        <f>-IFERROR('4. NPV'!#REF!/'4. NPV'!LUW$8,0)</f>
        <v>0</v>
      </c>
      <c r="LUW54" s="5">
        <f>-IFERROR('4. NPV'!#REF!/'4. NPV'!LUX$8,0)</f>
        <v>0</v>
      </c>
      <c r="LUX54" s="5">
        <f>-IFERROR('4. NPV'!#REF!/'4. NPV'!LUY$8,0)</f>
        <v>0</v>
      </c>
      <c r="LUY54" s="5">
        <f>-IFERROR('4. NPV'!#REF!/'4. NPV'!LUZ$8,0)</f>
        <v>0</v>
      </c>
      <c r="LUZ54" s="5">
        <f>-IFERROR('4. NPV'!#REF!/'4. NPV'!LVA$8,0)</f>
        <v>0</v>
      </c>
      <c r="LVA54" s="5">
        <f>-IFERROR('4. NPV'!#REF!/'4. NPV'!LVB$8,0)</f>
        <v>0</v>
      </c>
      <c r="LVB54" s="5">
        <f>-IFERROR('4. NPV'!#REF!/'4. NPV'!LVC$8,0)</f>
        <v>0</v>
      </c>
      <c r="LVC54" s="5">
        <f>-IFERROR('4. NPV'!#REF!/'4. NPV'!LVD$8,0)</f>
        <v>0</v>
      </c>
      <c r="LVD54" s="5">
        <f>-IFERROR('4. NPV'!#REF!/'4. NPV'!LVE$8,0)</f>
        <v>0</v>
      </c>
      <c r="LVE54" s="5">
        <f>-IFERROR('4. NPV'!#REF!/'4. NPV'!LVF$8,0)</f>
        <v>0</v>
      </c>
      <c r="LVF54" s="5">
        <f>-IFERROR('4. NPV'!#REF!/'4. NPV'!LVG$8,0)</f>
        <v>0</v>
      </c>
      <c r="LVG54" s="5">
        <f>-IFERROR('4. NPV'!#REF!/'4. NPV'!LVH$8,0)</f>
        <v>0</v>
      </c>
      <c r="LVH54" s="5">
        <f>-IFERROR('4. NPV'!#REF!/'4. NPV'!LVI$8,0)</f>
        <v>0</v>
      </c>
      <c r="LVI54" s="5">
        <f>-IFERROR('4. NPV'!#REF!/'4. NPV'!LVJ$8,0)</f>
        <v>0</v>
      </c>
      <c r="LVJ54" s="5">
        <f>-IFERROR('4. NPV'!#REF!/'4. NPV'!LVK$8,0)</f>
        <v>0</v>
      </c>
      <c r="LVK54" s="5">
        <f>-IFERROR('4. NPV'!#REF!/'4. NPV'!LVL$8,0)</f>
        <v>0</v>
      </c>
      <c r="LVL54" s="5">
        <f>-IFERROR('4. NPV'!#REF!/'4. NPV'!LVM$8,0)</f>
        <v>0</v>
      </c>
      <c r="LVM54" s="5">
        <f>-IFERROR('4. NPV'!#REF!/'4. NPV'!LVN$8,0)</f>
        <v>0</v>
      </c>
      <c r="LVN54" s="5">
        <f>-IFERROR('4. NPV'!#REF!/'4. NPV'!LVO$8,0)</f>
        <v>0</v>
      </c>
      <c r="LVO54" s="5">
        <f>-IFERROR('4. NPV'!#REF!/'4. NPV'!LVP$8,0)</f>
        <v>0</v>
      </c>
      <c r="LVP54" s="5">
        <f>-IFERROR('4. NPV'!#REF!/'4. NPV'!LVQ$8,0)</f>
        <v>0</v>
      </c>
      <c r="LVQ54" s="5">
        <f>-IFERROR('4. NPV'!#REF!/'4. NPV'!LVR$8,0)</f>
        <v>0</v>
      </c>
      <c r="LVR54" s="5">
        <f>-IFERROR('4. NPV'!#REF!/'4. NPV'!LVS$8,0)</f>
        <v>0</v>
      </c>
      <c r="LVS54" s="5">
        <f>-IFERROR('4. NPV'!#REF!/'4. NPV'!LVT$8,0)</f>
        <v>0</v>
      </c>
      <c r="LVT54" s="5">
        <f>-IFERROR('4. NPV'!#REF!/'4. NPV'!LVU$8,0)</f>
        <v>0</v>
      </c>
      <c r="LVU54" s="5">
        <f>-IFERROR('4. NPV'!#REF!/'4. NPV'!LVV$8,0)</f>
        <v>0</v>
      </c>
      <c r="LVV54" s="5">
        <f>-IFERROR('4. NPV'!#REF!/'4. NPV'!LVW$8,0)</f>
        <v>0</v>
      </c>
      <c r="LVW54" s="5">
        <f>-IFERROR('4. NPV'!#REF!/'4. NPV'!LVX$8,0)</f>
        <v>0</v>
      </c>
      <c r="LVX54" s="5">
        <f>-IFERROR('4. NPV'!#REF!/'4. NPV'!LVY$8,0)</f>
        <v>0</v>
      </c>
      <c r="LVY54" s="5">
        <f>-IFERROR('4. NPV'!#REF!/'4. NPV'!LVZ$8,0)</f>
        <v>0</v>
      </c>
      <c r="LVZ54" s="5">
        <f>-IFERROR('4. NPV'!#REF!/'4. NPV'!LWA$8,0)</f>
        <v>0</v>
      </c>
      <c r="LWA54" s="5">
        <f>-IFERROR('4. NPV'!#REF!/'4. NPV'!LWB$8,0)</f>
        <v>0</v>
      </c>
      <c r="LWB54" s="5">
        <f>-IFERROR('4. NPV'!#REF!/'4. NPV'!LWC$8,0)</f>
        <v>0</v>
      </c>
      <c r="LWC54" s="5">
        <f>-IFERROR('4. NPV'!#REF!/'4. NPV'!LWD$8,0)</f>
        <v>0</v>
      </c>
      <c r="LWD54" s="5">
        <f>-IFERROR('4. NPV'!#REF!/'4. NPV'!LWE$8,0)</f>
        <v>0</v>
      </c>
      <c r="LWE54" s="5">
        <f>-IFERROR('4. NPV'!#REF!/'4. NPV'!LWF$8,0)</f>
        <v>0</v>
      </c>
      <c r="LWF54" s="5">
        <f>-IFERROR('4. NPV'!#REF!/'4. NPV'!LWG$8,0)</f>
        <v>0</v>
      </c>
      <c r="LWG54" s="5">
        <f>-IFERROR('4. NPV'!#REF!/'4. NPV'!LWH$8,0)</f>
        <v>0</v>
      </c>
      <c r="LWH54" s="5">
        <f>-IFERROR('4. NPV'!#REF!/'4. NPV'!LWI$8,0)</f>
        <v>0</v>
      </c>
      <c r="LWI54" s="5">
        <f>-IFERROR('4. NPV'!#REF!/'4. NPV'!LWJ$8,0)</f>
        <v>0</v>
      </c>
      <c r="LWJ54" s="5">
        <f>-IFERROR('4. NPV'!#REF!/'4. NPV'!LWK$8,0)</f>
        <v>0</v>
      </c>
      <c r="LWK54" s="5">
        <f>-IFERROR('4. NPV'!#REF!/'4. NPV'!LWL$8,0)</f>
        <v>0</v>
      </c>
      <c r="LWL54" s="5">
        <f>-IFERROR('4. NPV'!#REF!/'4. NPV'!LWM$8,0)</f>
        <v>0</v>
      </c>
      <c r="LWM54" s="5">
        <f>-IFERROR('4. NPV'!#REF!/'4. NPV'!LWN$8,0)</f>
        <v>0</v>
      </c>
      <c r="LWN54" s="5">
        <f>-IFERROR('4. NPV'!#REF!/'4. NPV'!LWO$8,0)</f>
        <v>0</v>
      </c>
      <c r="LWO54" s="5">
        <f>-IFERROR('4. NPV'!#REF!/'4. NPV'!LWP$8,0)</f>
        <v>0</v>
      </c>
      <c r="LWP54" s="5">
        <f>-IFERROR('4. NPV'!#REF!/'4. NPV'!LWQ$8,0)</f>
        <v>0</v>
      </c>
      <c r="LWQ54" s="5">
        <f>-IFERROR('4. NPV'!#REF!/'4. NPV'!LWR$8,0)</f>
        <v>0</v>
      </c>
      <c r="LWR54" s="5">
        <f>-IFERROR('4. NPV'!#REF!/'4. NPV'!LWS$8,0)</f>
        <v>0</v>
      </c>
      <c r="LWS54" s="5">
        <f>-IFERROR('4. NPV'!#REF!/'4. NPV'!LWT$8,0)</f>
        <v>0</v>
      </c>
      <c r="LWT54" s="5">
        <f>-IFERROR('4. NPV'!#REF!/'4. NPV'!LWU$8,0)</f>
        <v>0</v>
      </c>
      <c r="LWU54" s="5">
        <f>-IFERROR('4. NPV'!#REF!/'4. NPV'!LWV$8,0)</f>
        <v>0</v>
      </c>
      <c r="LWV54" s="5">
        <f>-IFERROR('4. NPV'!#REF!/'4. NPV'!LWW$8,0)</f>
        <v>0</v>
      </c>
      <c r="LWW54" s="5">
        <f>-IFERROR('4. NPV'!#REF!/'4. NPV'!LWX$8,0)</f>
        <v>0</v>
      </c>
      <c r="LWX54" s="5">
        <f>-IFERROR('4. NPV'!#REF!/'4. NPV'!LWY$8,0)</f>
        <v>0</v>
      </c>
      <c r="LWY54" s="5">
        <f>-IFERROR('4. NPV'!#REF!/'4. NPV'!LWZ$8,0)</f>
        <v>0</v>
      </c>
      <c r="LWZ54" s="5">
        <f>-IFERROR('4. NPV'!#REF!/'4. NPV'!LXA$8,0)</f>
        <v>0</v>
      </c>
      <c r="LXA54" s="5">
        <f>-IFERROR('4. NPV'!#REF!/'4. NPV'!LXB$8,0)</f>
        <v>0</v>
      </c>
      <c r="LXB54" s="5">
        <f>-IFERROR('4. NPV'!#REF!/'4. NPV'!LXC$8,0)</f>
        <v>0</v>
      </c>
      <c r="LXC54" s="5">
        <f>-IFERROR('4. NPV'!#REF!/'4. NPV'!LXD$8,0)</f>
        <v>0</v>
      </c>
      <c r="LXD54" s="5">
        <f>-IFERROR('4. NPV'!#REF!/'4. NPV'!LXE$8,0)</f>
        <v>0</v>
      </c>
      <c r="LXE54" s="5">
        <f>-IFERROR('4. NPV'!#REF!/'4. NPV'!LXF$8,0)</f>
        <v>0</v>
      </c>
      <c r="LXF54" s="5">
        <f>-IFERROR('4. NPV'!#REF!/'4. NPV'!LXG$8,0)</f>
        <v>0</v>
      </c>
      <c r="LXG54" s="5">
        <f>-IFERROR('4. NPV'!#REF!/'4. NPV'!LXH$8,0)</f>
        <v>0</v>
      </c>
      <c r="LXH54" s="5">
        <f>-IFERROR('4. NPV'!#REF!/'4. NPV'!LXI$8,0)</f>
        <v>0</v>
      </c>
      <c r="LXI54" s="5">
        <f>-IFERROR('4. NPV'!#REF!/'4. NPV'!LXJ$8,0)</f>
        <v>0</v>
      </c>
      <c r="LXJ54" s="5">
        <f>-IFERROR('4. NPV'!#REF!/'4. NPV'!LXK$8,0)</f>
        <v>0</v>
      </c>
      <c r="LXK54" s="5">
        <f>-IFERROR('4. NPV'!#REF!/'4. NPV'!LXL$8,0)</f>
        <v>0</v>
      </c>
      <c r="LXL54" s="5">
        <f>-IFERROR('4. NPV'!#REF!/'4. NPV'!LXM$8,0)</f>
        <v>0</v>
      </c>
      <c r="LXM54" s="5">
        <f>-IFERROR('4. NPV'!#REF!/'4. NPV'!LXN$8,0)</f>
        <v>0</v>
      </c>
      <c r="LXN54" s="5">
        <f>-IFERROR('4. NPV'!#REF!/'4. NPV'!LXO$8,0)</f>
        <v>0</v>
      </c>
      <c r="LXO54" s="5">
        <f>-IFERROR('4. NPV'!#REF!/'4. NPV'!LXP$8,0)</f>
        <v>0</v>
      </c>
      <c r="LXP54" s="5">
        <f>-IFERROR('4. NPV'!#REF!/'4. NPV'!LXQ$8,0)</f>
        <v>0</v>
      </c>
      <c r="LXQ54" s="5">
        <f>-IFERROR('4. NPV'!#REF!/'4. NPV'!LXR$8,0)</f>
        <v>0</v>
      </c>
      <c r="LXR54" s="5">
        <f>-IFERROR('4. NPV'!#REF!/'4. NPV'!LXS$8,0)</f>
        <v>0</v>
      </c>
      <c r="LXS54" s="5">
        <f>-IFERROR('4. NPV'!#REF!/'4. NPV'!LXT$8,0)</f>
        <v>0</v>
      </c>
      <c r="LXT54" s="5">
        <f>-IFERROR('4. NPV'!#REF!/'4. NPV'!LXU$8,0)</f>
        <v>0</v>
      </c>
      <c r="LXU54" s="5">
        <f>-IFERROR('4. NPV'!#REF!/'4. NPV'!LXV$8,0)</f>
        <v>0</v>
      </c>
      <c r="LXV54" s="5">
        <f>-IFERROR('4. NPV'!#REF!/'4. NPV'!LXW$8,0)</f>
        <v>0</v>
      </c>
      <c r="LXW54" s="5">
        <f>-IFERROR('4. NPV'!#REF!/'4. NPV'!LXX$8,0)</f>
        <v>0</v>
      </c>
      <c r="LXX54" s="5">
        <f>-IFERROR('4. NPV'!#REF!/'4. NPV'!LXY$8,0)</f>
        <v>0</v>
      </c>
      <c r="LXY54" s="5">
        <f>-IFERROR('4. NPV'!#REF!/'4. NPV'!LXZ$8,0)</f>
        <v>0</v>
      </c>
      <c r="LXZ54" s="5">
        <f>-IFERROR('4. NPV'!#REF!/'4. NPV'!LYA$8,0)</f>
        <v>0</v>
      </c>
      <c r="LYA54" s="5">
        <f>-IFERROR('4. NPV'!#REF!/'4. NPV'!LYB$8,0)</f>
        <v>0</v>
      </c>
      <c r="LYB54" s="5">
        <f>-IFERROR('4. NPV'!#REF!/'4. NPV'!LYC$8,0)</f>
        <v>0</v>
      </c>
      <c r="LYC54" s="5">
        <f>-IFERROR('4. NPV'!#REF!/'4. NPV'!LYD$8,0)</f>
        <v>0</v>
      </c>
      <c r="LYD54" s="5">
        <f>-IFERROR('4. NPV'!#REF!/'4. NPV'!LYE$8,0)</f>
        <v>0</v>
      </c>
      <c r="LYE54" s="5">
        <f>-IFERROR('4. NPV'!#REF!/'4. NPV'!LYF$8,0)</f>
        <v>0</v>
      </c>
      <c r="LYF54" s="5">
        <f>-IFERROR('4. NPV'!#REF!/'4. NPV'!LYG$8,0)</f>
        <v>0</v>
      </c>
      <c r="LYG54" s="5">
        <f>-IFERROR('4. NPV'!#REF!/'4. NPV'!LYH$8,0)</f>
        <v>0</v>
      </c>
      <c r="LYH54" s="5">
        <f>-IFERROR('4. NPV'!#REF!/'4. NPV'!LYI$8,0)</f>
        <v>0</v>
      </c>
      <c r="LYI54" s="5">
        <f>-IFERROR('4. NPV'!#REF!/'4. NPV'!LYJ$8,0)</f>
        <v>0</v>
      </c>
      <c r="LYJ54" s="5">
        <f>-IFERROR('4. NPV'!#REF!/'4. NPV'!LYK$8,0)</f>
        <v>0</v>
      </c>
      <c r="LYK54" s="5">
        <f>-IFERROR('4. NPV'!#REF!/'4. NPV'!LYL$8,0)</f>
        <v>0</v>
      </c>
      <c r="LYL54" s="5">
        <f>-IFERROR('4. NPV'!#REF!/'4. NPV'!LYM$8,0)</f>
        <v>0</v>
      </c>
      <c r="LYM54" s="5">
        <f>-IFERROR('4. NPV'!#REF!/'4. NPV'!LYN$8,0)</f>
        <v>0</v>
      </c>
      <c r="LYN54" s="5">
        <f>-IFERROR('4. NPV'!#REF!/'4. NPV'!LYO$8,0)</f>
        <v>0</v>
      </c>
      <c r="LYO54" s="5">
        <f>-IFERROR('4. NPV'!#REF!/'4. NPV'!LYP$8,0)</f>
        <v>0</v>
      </c>
      <c r="LYP54" s="5">
        <f>-IFERROR('4. NPV'!#REF!/'4. NPV'!LYQ$8,0)</f>
        <v>0</v>
      </c>
      <c r="LYQ54" s="5">
        <f>-IFERROR('4. NPV'!#REF!/'4. NPV'!LYR$8,0)</f>
        <v>0</v>
      </c>
      <c r="LYR54" s="5">
        <f>-IFERROR('4. NPV'!#REF!/'4. NPV'!LYS$8,0)</f>
        <v>0</v>
      </c>
      <c r="LYS54" s="5">
        <f>-IFERROR('4. NPV'!#REF!/'4. NPV'!LYT$8,0)</f>
        <v>0</v>
      </c>
      <c r="LYT54" s="5">
        <f>-IFERROR('4. NPV'!#REF!/'4. NPV'!LYU$8,0)</f>
        <v>0</v>
      </c>
      <c r="LYU54" s="5">
        <f>-IFERROR('4. NPV'!#REF!/'4. NPV'!LYV$8,0)</f>
        <v>0</v>
      </c>
      <c r="LYV54" s="5">
        <f>-IFERROR('4. NPV'!#REF!/'4. NPV'!LYW$8,0)</f>
        <v>0</v>
      </c>
      <c r="LYW54" s="5">
        <f>-IFERROR('4. NPV'!#REF!/'4. NPV'!LYX$8,0)</f>
        <v>0</v>
      </c>
      <c r="LYX54" s="5">
        <f>-IFERROR('4. NPV'!#REF!/'4. NPV'!LYY$8,0)</f>
        <v>0</v>
      </c>
      <c r="LYY54" s="5">
        <f>-IFERROR('4. NPV'!#REF!/'4. NPV'!LYZ$8,0)</f>
        <v>0</v>
      </c>
      <c r="LYZ54" s="5">
        <f>-IFERROR('4. NPV'!#REF!/'4. NPV'!LZA$8,0)</f>
        <v>0</v>
      </c>
      <c r="LZA54" s="5">
        <f>-IFERROR('4. NPV'!#REF!/'4. NPV'!LZB$8,0)</f>
        <v>0</v>
      </c>
      <c r="LZB54" s="5">
        <f>-IFERROR('4. NPV'!#REF!/'4. NPV'!LZC$8,0)</f>
        <v>0</v>
      </c>
      <c r="LZC54" s="5">
        <f>-IFERROR('4. NPV'!#REF!/'4. NPV'!LZD$8,0)</f>
        <v>0</v>
      </c>
      <c r="LZD54" s="5">
        <f>-IFERROR('4. NPV'!#REF!/'4. NPV'!LZE$8,0)</f>
        <v>0</v>
      </c>
      <c r="LZE54" s="5">
        <f>-IFERROR('4. NPV'!#REF!/'4. NPV'!LZF$8,0)</f>
        <v>0</v>
      </c>
      <c r="LZF54" s="5">
        <f>-IFERROR('4. NPV'!#REF!/'4. NPV'!LZG$8,0)</f>
        <v>0</v>
      </c>
      <c r="LZG54" s="5">
        <f>-IFERROR('4. NPV'!#REF!/'4. NPV'!LZH$8,0)</f>
        <v>0</v>
      </c>
      <c r="LZH54" s="5">
        <f>-IFERROR('4. NPV'!#REF!/'4. NPV'!LZI$8,0)</f>
        <v>0</v>
      </c>
      <c r="LZI54" s="5">
        <f>-IFERROR('4. NPV'!#REF!/'4. NPV'!LZJ$8,0)</f>
        <v>0</v>
      </c>
      <c r="LZJ54" s="5">
        <f>-IFERROR('4. NPV'!#REF!/'4. NPV'!LZK$8,0)</f>
        <v>0</v>
      </c>
      <c r="LZK54" s="5">
        <f>-IFERROR('4. NPV'!#REF!/'4. NPV'!LZL$8,0)</f>
        <v>0</v>
      </c>
      <c r="LZL54" s="5">
        <f>-IFERROR('4. NPV'!#REF!/'4. NPV'!LZM$8,0)</f>
        <v>0</v>
      </c>
      <c r="LZM54" s="5">
        <f>-IFERROR('4. NPV'!#REF!/'4. NPV'!LZN$8,0)</f>
        <v>0</v>
      </c>
      <c r="LZN54" s="5">
        <f>-IFERROR('4. NPV'!#REF!/'4. NPV'!LZO$8,0)</f>
        <v>0</v>
      </c>
      <c r="LZO54" s="5">
        <f>-IFERROR('4. NPV'!#REF!/'4. NPV'!LZP$8,0)</f>
        <v>0</v>
      </c>
      <c r="LZP54" s="5">
        <f>-IFERROR('4. NPV'!#REF!/'4. NPV'!LZQ$8,0)</f>
        <v>0</v>
      </c>
      <c r="LZQ54" s="5">
        <f>-IFERROR('4. NPV'!#REF!/'4. NPV'!LZR$8,0)</f>
        <v>0</v>
      </c>
      <c r="LZR54" s="5">
        <f>-IFERROR('4. NPV'!#REF!/'4. NPV'!LZS$8,0)</f>
        <v>0</v>
      </c>
      <c r="LZS54" s="5">
        <f>-IFERROR('4. NPV'!#REF!/'4. NPV'!LZT$8,0)</f>
        <v>0</v>
      </c>
      <c r="LZT54" s="5">
        <f>-IFERROR('4. NPV'!#REF!/'4. NPV'!LZU$8,0)</f>
        <v>0</v>
      </c>
      <c r="LZU54" s="5">
        <f>-IFERROR('4. NPV'!#REF!/'4. NPV'!LZV$8,0)</f>
        <v>0</v>
      </c>
      <c r="LZV54" s="5">
        <f>-IFERROR('4. NPV'!#REF!/'4. NPV'!LZW$8,0)</f>
        <v>0</v>
      </c>
      <c r="LZW54" s="5">
        <f>-IFERROR('4. NPV'!#REF!/'4. NPV'!LZX$8,0)</f>
        <v>0</v>
      </c>
      <c r="LZX54" s="5">
        <f>-IFERROR('4. NPV'!#REF!/'4. NPV'!LZY$8,0)</f>
        <v>0</v>
      </c>
      <c r="LZY54" s="5">
        <f>-IFERROR('4. NPV'!#REF!/'4. NPV'!LZZ$8,0)</f>
        <v>0</v>
      </c>
      <c r="LZZ54" s="5">
        <f>-IFERROR('4. NPV'!#REF!/'4. NPV'!MAA$8,0)</f>
        <v>0</v>
      </c>
      <c r="MAA54" s="5">
        <f>-IFERROR('4. NPV'!#REF!/'4. NPV'!MAB$8,0)</f>
        <v>0</v>
      </c>
      <c r="MAB54" s="5">
        <f>-IFERROR('4. NPV'!#REF!/'4. NPV'!MAC$8,0)</f>
        <v>0</v>
      </c>
      <c r="MAC54" s="5">
        <f>-IFERROR('4. NPV'!#REF!/'4. NPV'!MAD$8,0)</f>
        <v>0</v>
      </c>
      <c r="MAD54" s="5">
        <f>-IFERROR('4. NPV'!#REF!/'4. NPV'!MAE$8,0)</f>
        <v>0</v>
      </c>
      <c r="MAE54" s="5">
        <f>-IFERROR('4. NPV'!#REF!/'4. NPV'!MAF$8,0)</f>
        <v>0</v>
      </c>
      <c r="MAF54" s="5">
        <f>-IFERROR('4. NPV'!#REF!/'4. NPV'!MAG$8,0)</f>
        <v>0</v>
      </c>
      <c r="MAG54" s="5">
        <f>-IFERROR('4. NPV'!#REF!/'4. NPV'!MAH$8,0)</f>
        <v>0</v>
      </c>
      <c r="MAH54" s="5">
        <f>-IFERROR('4. NPV'!#REF!/'4. NPV'!MAI$8,0)</f>
        <v>0</v>
      </c>
      <c r="MAI54" s="5">
        <f>-IFERROR('4. NPV'!#REF!/'4. NPV'!MAJ$8,0)</f>
        <v>0</v>
      </c>
      <c r="MAJ54" s="5">
        <f>-IFERROR('4. NPV'!#REF!/'4. NPV'!MAK$8,0)</f>
        <v>0</v>
      </c>
      <c r="MAK54" s="5">
        <f>-IFERROR('4. NPV'!#REF!/'4. NPV'!MAL$8,0)</f>
        <v>0</v>
      </c>
      <c r="MAL54" s="5">
        <f>-IFERROR('4. NPV'!#REF!/'4. NPV'!MAM$8,0)</f>
        <v>0</v>
      </c>
      <c r="MAM54" s="5">
        <f>-IFERROR('4. NPV'!#REF!/'4. NPV'!MAN$8,0)</f>
        <v>0</v>
      </c>
      <c r="MAN54" s="5">
        <f>-IFERROR('4. NPV'!#REF!/'4. NPV'!MAO$8,0)</f>
        <v>0</v>
      </c>
      <c r="MAO54" s="5">
        <f>-IFERROR('4. NPV'!#REF!/'4. NPV'!MAP$8,0)</f>
        <v>0</v>
      </c>
      <c r="MAP54" s="5">
        <f>-IFERROR('4. NPV'!#REF!/'4. NPV'!MAQ$8,0)</f>
        <v>0</v>
      </c>
      <c r="MAQ54" s="5">
        <f>-IFERROR('4. NPV'!#REF!/'4. NPV'!MAR$8,0)</f>
        <v>0</v>
      </c>
      <c r="MAR54" s="5">
        <f>-IFERROR('4. NPV'!#REF!/'4. NPV'!MAS$8,0)</f>
        <v>0</v>
      </c>
      <c r="MAS54" s="5">
        <f>-IFERROR('4. NPV'!#REF!/'4. NPV'!MAT$8,0)</f>
        <v>0</v>
      </c>
      <c r="MAT54" s="5">
        <f>-IFERROR('4. NPV'!#REF!/'4. NPV'!MAU$8,0)</f>
        <v>0</v>
      </c>
      <c r="MAU54" s="5">
        <f>-IFERROR('4. NPV'!#REF!/'4. NPV'!MAV$8,0)</f>
        <v>0</v>
      </c>
      <c r="MAV54" s="5">
        <f>-IFERROR('4. NPV'!#REF!/'4. NPV'!MAW$8,0)</f>
        <v>0</v>
      </c>
      <c r="MAW54" s="5">
        <f>-IFERROR('4. NPV'!#REF!/'4. NPV'!MAX$8,0)</f>
        <v>0</v>
      </c>
      <c r="MAX54" s="5">
        <f>-IFERROR('4. NPV'!#REF!/'4. NPV'!MAY$8,0)</f>
        <v>0</v>
      </c>
      <c r="MAY54" s="5">
        <f>-IFERROR('4. NPV'!#REF!/'4. NPV'!MAZ$8,0)</f>
        <v>0</v>
      </c>
      <c r="MAZ54" s="5">
        <f>-IFERROR('4. NPV'!#REF!/'4. NPV'!MBA$8,0)</f>
        <v>0</v>
      </c>
      <c r="MBA54" s="5">
        <f>-IFERROR('4. NPV'!#REF!/'4. NPV'!MBB$8,0)</f>
        <v>0</v>
      </c>
      <c r="MBB54" s="5">
        <f>-IFERROR('4. NPV'!#REF!/'4. NPV'!MBC$8,0)</f>
        <v>0</v>
      </c>
      <c r="MBC54" s="5">
        <f>-IFERROR('4. NPV'!#REF!/'4. NPV'!MBD$8,0)</f>
        <v>0</v>
      </c>
      <c r="MBD54" s="5">
        <f>-IFERROR('4. NPV'!#REF!/'4. NPV'!MBE$8,0)</f>
        <v>0</v>
      </c>
      <c r="MBE54" s="5">
        <f>-IFERROR('4. NPV'!#REF!/'4. NPV'!MBF$8,0)</f>
        <v>0</v>
      </c>
      <c r="MBF54" s="5">
        <f>-IFERROR('4. NPV'!#REF!/'4. NPV'!MBG$8,0)</f>
        <v>0</v>
      </c>
      <c r="MBG54" s="5">
        <f>-IFERROR('4. NPV'!#REF!/'4. NPV'!MBH$8,0)</f>
        <v>0</v>
      </c>
      <c r="MBH54" s="5">
        <f>-IFERROR('4. NPV'!#REF!/'4. NPV'!MBI$8,0)</f>
        <v>0</v>
      </c>
      <c r="MBI54" s="5">
        <f>-IFERROR('4. NPV'!#REF!/'4. NPV'!MBJ$8,0)</f>
        <v>0</v>
      </c>
      <c r="MBJ54" s="5">
        <f>-IFERROR('4. NPV'!#REF!/'4. NPV'!MBK$8,0)</f>
        <v>0</v>
      </c>
      <c r="MBK54" s="5">
        <f>-IFERROR('4. NPV'!#REF!/'4. NPV'!MBL$8,0)</f>
        <v>0</v>
      </c>
      <c r="MBL54" s="5">
        <f>-IFERROR('4. NPV'!#REF!/'4. NPV'!MBM$8,0)</f>
        <v>0</v>
      </c>
      <c r="MBM54" s="5">
        <f>-IFERROR('4. NPV'!#REF!/'4. NPV'!MBN$8,0)</f>
        <v>0</v>
      </c>
      <c r="MBN54" s="5">
        <f>-IFERROR('4. NPV'!#REF!/'4. NPV'!MBO$8,0)</f>
        <v>0</v>
      </c>
      <c r="MBO54" s="5">
        <f>-IFERROR('4. NPV'!#REF!/'4. NPV'!MBP$8,0)</f>
        <v>0</v>
      </c>
      <c r="MBP54" s="5">
        <f>-IFERROR('4. NPV'!#REF!/'4. NPV'!MBQ$8,0)</f>
        <v>0</v>
      </c>
      <c r="MBQ54" s="5">
        <f>-IFERROR('4. NPV'!#REF!/'4. NPV'!MBR$8,0)</f>
        <v>0</v>
      </c>
      <c r="MBR54" s="5">
        <f>-IFERROR('4. NPV'!#REF!/'4. NPV'!MBS$8,0)</f>
        <v>0</v>
      </c>
      <c r="MBS54" s="5">
        <f>-IFERROR('4. NPV'!#REF!/'4. NPV'!MBT$8,0)</f>
        <v>0</v>
      </c>
      <c r="MBT54" s="5">
        <f>-IFERROR('4. NPV'!#REF!/'4. NPV'!MBU$8,0)</f>
        <v>0</v>
      </c>
      <c r="MBU54" s="5">
        <f>-IFERROR('4. NPV'!#REF!/'4. NPV'!MBV$8,0)</f>
        <v>0</v>
      </c>
      <c r="MBV54" s="5">
        <f>-IFERROR('4. NPV'!#REF!/'4. NPV'!MBW$8,0)</f>
        <v>0</v>
      </c>
      <c r="MBW54" s="5">
        <f>-IFERROR('4. NPV'!#REF!/'4. NPV'!MBX$8,0)</f>
        <v>0</v>
      </c>
      <c r="MBX54" s="5">
        <f>-IFERROR('4. NPV'!#REF!/'4. NPV'!MBY$8,0)</f>
        <v>0</v>
      </c>
      <c r="MBY54" s="5">
        <f>-IFERROR('4. NPV'!#REF!/'4. NPV'!MBZ$8,0)</f>
        <v>0</v>
      </c>
      <c r="MBZ54" s="5">
        <f>-IFERROR('4. NPV'!#REF!/'4. NPV'!MCA$8,0)</f>
        <v>0</v>
      </c>
      <c r="MCA54" s="5">
        <f>-IFERROR('4. NPV'!#REF!/'4. NPV'!MCB$8,0)</f>
        <v>0</v>
      </c>
      <c r="MCB54" s="5">
        <f>-IFERROR('4. NPV'!#REF!/'4. NPV'!MCC$8,0)</f>
        <v>0</v>
      </c>
      <c r="MCC54" s="5">
        <f>-IFERROR('4. NPV'!#REF!/'4. NPV'!MCD$8,0)</f>
        <v>0</v>
      </c>
      <c r="MCD54" s="5">
        <f>-IFERROR('4. NPV'!#REF!/'4. NPV'!MCE$8,0)</f>
        <v>0</v>
      </c>
      <c r="MCE54" s="5">
        <f>-IFERROR('4. NPV'!#REF!/'4. NPV'!MCF$8,0)</f>
        <v>0</v>
      </c>
      <c r="MCF54" s="5">
        <f>-IFERROR('4. NPV'!#REF!/'4. NPV'!MCG$8,0)</f>
        <v>0</v>
      </c>
      <c r="MCG54" s="5">
        <f>-IFERROR('4. NPV'!#REF!/'4. NPV'!MCH$8,0)</f>
        <v>0</v>
      </c>
      <c r="MCH54" s="5">
        <f>-IFERROR('4. NPV'!#REF!/'4. NPV'!MCI$8,0)</f>
        <v>0</v>
      </c>
      <c r="MCI54" s="5">
        <f>-IFERROR('4. NPV'!#REF!/'4. NPV'!MCJ$8,0)</f>
        <v>0</v>
      </c>
      <c r="MCJ54" s="5">
        <f>-IFERROR('4. NPV'!#REF!/'4. NPV'!MCK$8,0)</f>
        <v>0</v>
      </c>
      <c r="MCK54" s="5">
        <f>-IFERROR('4. NPV'!#REF!/'4. NPV'!MCL$8,0)</f>
        <v>0</v>
      </c>
      <c r="MCL54" s="5">
        <f>-IFERROR('4. NPV'!#REF!/'4. NPV'!MCM$8,0)</f>
        <v>0</v>
      </c>
      <c r="MCM54" s="5">
        <f>-IFERROR('4. NPV'!#REF!/'4. NPV'!MCN$8,0)</f>
        <v>0</v>
      </c>
      <c r="MCN54" s="5">
        <f>-IFERROR('4. NPV'!#REF!/'4. NPV'!MCO$8,0)</f>
        <v>0</v>
      </c>
      <c r="MCO54" s="5">
        <f>-IFERROR('4. NPV'!#REF!/'4. NPV'!MCP$8,0)</f>
        <v>0</v>
      </c>
      <c r="MCP54" s="5">
        <f>-IFERROR('4. NPV'!#REF!/'4. NPV'!MCQ$8,0)</f>
        <v>0</v>
      </c>
      <c r="MCQ54" s="5">
        <f>-IFERROR('4. NPV'!#REF!/'4. NPV'!MCR$8,0)</f>
        <v>0</v>
      </c>
      <c r="MCR54" s="5">
        <f>-IFERROR('4. NPV'!#REF!/'4. NPV'!MCS$8,0)</f>
        <v>0</v>
      </c>
      <c r="MCS54" s="5">
        <f>-IFERROR('4. NPV'!#REF!/'4. NPV'!MCT$8,0)</f>
        <v>0</v>
      </c>
      <c r="MCT54" s="5">
        <f>-IFERROR('4. NPV'!#REF!/'4. NPV'!MCU$8,0)</f>
        <v>0</v>
      </c>
      <c r="MCU54" s="5">
        <f>-IFERROR('4. NPV'!#REF!/'4. NPV'!MCV$8,0)</f>
        <v>0</v>
      </c>
      <c r="MCV54" s="5">
        <f>-IFERROR('4. NPV'!#REF!/'4. NPV'!MCW$8,0)</f>
        <v>0</v>
      </c>
      <c r="MCW54" s="5">
        <f>-IFERROR('4. NPV'!#REF!/'4. NPV'!MCX$8,0)</f>
        <v>0</v>
      </c>
      <c r="MCX54" s="5">
        <f>-IFERROR('4. NPV'!#REF!/'4. NPV'!MCY$8,0)</f>
        <v>0</v>
      </c>
      <c r="MCY54" s="5">
        <f>-IFERROR('4. NPV'!#REF!/'4. NPV'!MCZ$8,0)</f>
        <v>0</v>
      </c>
      <c r="MCZ54" s="5">
        <f>-IFERROR('4. NPV'!#REF!/'4. NPV'!MDA$8,0)</f>
        <v>0</v>
      </c>
      <c r="MDA54" s="5">
        <f>-IFERROR('4. NPV'!#REF!/'4. NPV'!MDB$8,0)</f>
        <v>0</v>
      </c>
      <c r="MDB54" s="5">
        <f>-IFERROR('4. NPV'!#REF!/'4. NPV'!MDC$8,0)</f>
        <v>0</v>
      </c>
      <c r="MDC54" s="5">
        <f>-IFERROR('4. NPV'!#REF!/'4. NPV'!MDD$8,0)</f>
        <v>0</v>
      </c>
      <c r="MDD54" s="5">
        <f>-IFERROR('4. NPV'!#REF!/'4. NPV'!MDE$8,0)</f>
        <v>0</v>
      </c>
      <c r="MDE54" s="5">
        <f>-IFERROR('4. NPV'!#REF!/'4. NPV'!MDF$8,0)</f>
        <v>0</v>
      </c>
      <c r="MDF54" s="5">
        <f>-IFERROR('4. NPV'!#REF!/'4. NPV'!MDG$8,0)</f>
        <v>0</v>
      </c>
      <c r="MDG54" s="5">
        <f>-IFERROR('4. NPV'!#REF!/'4. NPV'!MDH$8,0)</f>
        <v>0</v>
      </c>
      <c r="MDH54" s="5">
        <f>-IFERROR('4. NPV'!#REF!/'4. NPV'!MDI$8,0)</f>
        <v>0</v>
      </c>
      <c r="MDI54" s="5">
        <f>-IFERROR('4. NPV'!#REF!/'4. NPV'!MDJ$8,0)</f>
        <v>0</v>
      </c>
      <c r="MDJ54" s="5">
        <f>-IFERROR('4. NPV'!#REF!/'4. NPV'!MDK$8,0)</f>
        <v>0</v>
      </c>
      <c r="MDK54" s="5">
        <f>-IFERROR('4. NPV'!#REF!/'4. NPV'!MDL$8,0)</f>
        <v>0</v>
      </c>
      <c r="MDL54" s="5">
        <f>-IFERROR('4. NPV'!#REF!/'4. NPV'!MDM$8,0)</f>
        <v>0</v>
      </c>
      <c r="MDM54" s="5">
        <f>-IFERROR('4. NPV'!#REF!/'4. NPV'!MDN$8,0)</f>
        <v>0</v>
      </c>
      <c r="MDN54" s="5">
        <f>-IFERROR('4. NPV'!#REF!/'4. NPV'!MDO$8,0)</f>
        <v>0</v>
      </c>
      <c r="MDO54" s="5">
        <f>-IFERROR('4. NPV'!#REF!/'4. NPV'!MDP$8,0)</f>
        <v>0</v>
      </c>
      <c r="MDP54" s="5">
        <f>-IFERROR('4. NPV'!#REF!/'4. NPV'!MDQ$8,0)</f>
        <v>0</v>
      </c>
      <c r="MDQ54" s="5">
        <f>-IFERROR('4. NPV'!#REF!/'4. NPV'!MDR$8,0)</f>
        <v>0</v>
      </c>
      <c r="MDR54" s="5">
        <f>-IFERROR('4. NPV'!#REF!/'4. NPV'!MDS$8,0)</f>
        <v>0</v>
      </c>
      <c r="MDS54" s="5">
        <f>-IFERROR('4. NPV'!#REF!/'4. NPV'!MDT$8,0)</f>
        <v>0</v>
      </c>
      <c r="MDT54" s="5">
        <f>-IFERROR('4. NPV'!#REF!/'4. NPV'!MDU$8,0)</f>
        <v>0</v>
      </c>
      <c r="MDU54" s="5">
        <f>-IFERROR('4. NPV'!#REF!/'4. NPV'!MDV$8,0)</f>
        <v>0</v>
      </c>
      <c r="MDV54" s="5">
        <f>-IFERROR('4. NPV'!#REF!/'4. NPV'!MDW$8,0)</f>
        <v>0</v>
      </c>
      <c r="MDW54" s="5">
        <f>-IFERROR('4. NPV'!#REF!/'4. NPV'!MDX$8,0)</f>
        <v>0</v>
      </c>
      <c r="MDX54" s="5">
        <f>-IFERROR('4. NPV'!#REF!/'4. NPV'!MDY$8,0)</f>
        <v>0</v>
      </c>
      <c r="MDY54" s="5">
        <f>-IFERROR('4. NPV'!#REF!/'4. NPV'!MDZ$8,0)</f>
        <v>0</v>
      </c>
      <c r="MDZ54" s="5">
        <f>-IFERROR('4. NPV'!#REF!/'4. NPV'!MEA$8,0)</f>
        <v>0</v>
      </c>
      <c r="MEA54" s="5">
        <f>-IFERROR('4. NPV'!#REF!/'4. NPV'!MEB$8,0)</f>
        <v>0</v>
      </c>
      <c r="MEB54" s="5">
        <f>-IFERROR('4. NPV'!#REF!/'4. NPV'!MEC$8,0)</f>
        <v>0</v>
      </c>
      <c r="MEC54" s="5">
        <f>-IFERROR('4. NPV'!#REF!/'4. NPV'!MED$8,0)</f>
        <v>0</v>
      </c>
      <c r="MED54" s="5">
        <f>-IFERROR('4. NPV'!#REF!/'4. NPV'!MEE$8,0)</f>
        <v>0</v>
      </c>
      <c r="MEE54" s="5">
        <f>-IFERROR('4. NPV'!#REF!/'4. NPV'!MEF$8,0)</f>
        <v>0</v>
      </c>
      <c r="MEF54" s="5">
        <f>-IFERROR('4. NPV'!#REF!/'4. NPV'!MEG$8,0)</f>
        <v>0</v>
      </c>
      <c r="MEG54" s="5">
        <f>-IFERROR('4. NPV'!#REF!/'4. NPV'!MEH$8,0)</f>
        <v>0</v>
      </c>
      <c r="MEH54" s="5">
        <f>-IFERROR('4. NPV'!#REF!/'4. NPV'!MEI$8,0)</f>
        <v>0</v>
      </c>
      <c r="MEI54" s="5">
        <f>-IFERROR('4. NPV'!#REF!/'4. NPV'!MEJ$8,0)</f>
        <v>0</v>
      </c>
      <c r="MEJ54" s="5">
        <f>-IFERROR('4. NPV'!#REF!/'4. NPV'!MEK$8,0)</f>
        <v>0</v>
      </c>
      <c r="MEK54" s="5">
        <f>-IFERROR('4. NPV'!#REF!/'4. NPV'!MEL$8,0)</f>
        <v>0</v>
      </c>
      <c r="MEL54" s="5">
        <f>-IFERROR('4. NPV'!#REF!/'4. NPV'!MEM$8,0)</f>
        <v>0</v>
      </c>
      <c r="MEM54" s="5">
        <f>-IFERROR('4. NPV'!#REF!/'4. NPV'!MEN$8,0)</f>
        <v>0</v>
      </c>
      <c r="MEN54" s="5">
        <f>-IFERROR('4. NPV'!#REF!/'4. NPV'!MEO$8,0)</f>
        <v>0</v>
      </c>
      <c r="MEO54" s="5">
        <f>-IFERROR('4. NPV'!#REF!/'4. NPV'!MEP$8,0)</f>
        <v>0</v>
      </c>
      <c r="MEP54" s="5">
        <f>-IFERROR('4. NPV'!#REF!/'4. NPV'!MEQ$8,0)</f>
        <v>0</v>
      </c>
      <c r="MEQ54" s="5">
        <f>-IFERROR('4. NPV'!#REF!/'4. NPV'!MER$8,0)</f>
        <v>0</v>
      </c>
      <c r="MER54" s="5">
        <f>-IFERROR('4. NPV'!#REF!/'4. NPV'!MES$8,0)</f>
        <v>0</v>
      </c>
      <c r="MES54" s="5">
        <f>-IFERROR('4. NPV'!#REF!/'4. NPV'!MET$8,0)</f>
        <v>0</v>
      </c>
      <c r="MET54" s="5">
        <f>-IFERROR('4. NPV'!#REF!/'4. NPV'!MEU$8,0)</f>
        <v>0</v>
      </c>
      <c r="MEU54" s="5">
        <f>-IFERROR('4. NPV'!#REF!/'4. NPV'!MEV$8,0)</f>
        <v>0</v>
      </c>
      <c r="MEV54" s="5">
        <f>-IFERROR('4. NPV'!#REF!/'4. NPV'!MEW$8,0)</f>
        <v>0</v>
      </c>
      <c r="MEW54" s="5">
        <f>-IFERROR('4. NPV'!#REF!/'4. NPV'!MEX$8,0)</f>
        <v>0</v>
      </c>
      <c r="MEX54" s="5">
        <f>-IFERROR('4. NPV'!#REF!/'4. NPV'!MEY$8,0)</f>
        <v>0</v>
      </c>
      <c r="MEY54" s="5">
        <f>-IFERROR('4. NPV'!#REF!/'4. NPV'!MEZ$8,0)</f>
        <v>0</v>
      </c>
      <c r="MEZ54" s="5">
        <f>-IFERROR('4. NPV'!#REF!/'4. NPV'!MFA$8,0)</f>
        <v>0</v>
      </c>
      <c r="MFA54" s="5">
        <f>-IFERROR('4. NPV'!#REF!/'4. NPV'!MFB$8,0)</f>
        <v>0</v>
      </c>
      <c r="MFB54" s="5">
        <f>-IFERROR('4. NPV'!#REF!/'4. NPV'!MFC$8,0)</f>
        <v>0</v>
      </c>
      <c r="MFC54" s="5">
        <f>-IFERROR('4. NPV'!#REF!/'4. NPV'!MFD$8,0)</f>
        <v>0</v>
      </c>
      <c r="MFD54" s="5">
        <f>-IFERROR('4. NPV'!#REF!/'4. NPV'!MFE$8,0)</f>
        <v>0</v>
      </c>
      <c r="MFE54" s="5">
        <f>-IFERROR('4. NPV'!#REF!/'4. NPV'!MFF$8,0)</f>
        <v>0</v>
      </c>
      <c r="MFF54" s="5">
        <f>-IFERROR('4. NPV'!#REF!/'4. NPV'!MFG$8,0)</f>
        <v>0</v>
      </c>
      <c r="MFG54" s="5">
        <f>-IFERROR('4. NPV'!#REF!/'4. NPV'!MFH$8,0)</f>
        <v>0</v>
      </c>
      <c r="MFH54" s="5">
        <f>-IFERROR('4. NPV'!#REF!/'4. NPV'!MFI$8,0)</f>
        <v>0</v>
      </c>
      <c r="MFI54" s="5">
        <f>-IFERROR('4. NPV'!#REF!/'4. NPV'!MFJ$8,0)</f>
        <v>0</v>
      </c>
      <c r="MFJ54" s="5">
        <f>-IFERROR('4. NPV'!#REF!/'4. NPV'!MFK$8,0)</f>
        <v>0</v>
      </c>
      <c r="MFK54" s="5">
        <f>-IFERROR('4. NPV'!#REF!/'4. NPV'!MFL$8,0)</f>
        <v>0</v>
      </c>
      <c r="MFL54" s="5">
        <f>-IFERROR('4. NPV'!#REF!/'4. NPV'!MFM$8,0)</f>
        <v>0</v>
      </c>
      <c r="MFM54" s="5">
        <f>-IFERROR('4. NPV'!#REF!/'4. NPV'!MFN$8,0)</f>
        <v>0</v>
      </c>
      <c r="MFN54" s="5">
        <f>-IFERROR('4. NPV'!#REF!/'4. NPV'!MFO$8,0)</f>
        <v>0</v>
      </c>
      <c r="MFO54" s="5">
        <f>-IFERROR('4. NPV'!#REF!/'4. NPV'!MFP$8,0)</f>
        <v>0</v>
      </c>
      <c r="MFP54" s="5">
        <f>-IFERROR('4. NPV'!#REF!/'4. NPV'!MFQ$8,0)</f>
        <v>0</v>
      </c>
      <c r="MFQ54" s="5">
        <f>-IFERROR('4. NPV'!#REF!/'4. NPV'!MFR$8,0)</f>
        <v>0</v>
      </c>
      <c r="MFR54" s="5">
        <f>-IFERROR('4. NPV'!#REF!/'4. NPV'!MFS$8,0)</f>
        <v>0</v>
      </c>
      <c r="MFS54" s="5">
        <f>-IFERROR('4. NPV'!#REF!/'4. NPV'!MFT$8,0)</f>
        <v>0</v>
      </c>
      <c r="MFT54" s="5">
        <f>-IFERROR('4. NPV'!#REF!/'4. NPV'!MFU$8,0)</f>
        <v>0</v>
      </c>
      <c r="MFU54" s="5">
        <f>-IFERROR('4. NPV'!#REF!/'4. NPV'!MFV$8,0)</f>
        <v>0</v>
      </c>
      <c r="MFV54" s="5">
        <f>-IFERROR('4. NPV'!#REF!/'4. NPV'!MFW$8,0)</f>
        <v>0</v>
      </c>
      <c r="MFW54" s="5">
        <f>-IFERROR('4. NPV'!#REF!/'4. NPV'!MFX$8,0)</f>
        <v>0</v>
      </c>
      <c r="MFX54" s="5">
        <f>-IFERROR('4. NPV'!#REF!/'4. NPV'!MFY$8,0)</f>
        <v>0</v>
      </c>
      <c r="MFY54" s="5">
        <f>-IFERROR('4. NPV'!#REF!/'4. NPV'!MFZ$8,0)</f>
        <v>0</v>
      </c>
      <c r="MFZ54" s="5">
        <f>-IFERROR('4. NPV'!#REF!/'4. NPV'!MGA$8,0)</f>
        <v>0</v>
      </c>
      <c r="MGA54" s="5">
        <f>-IFERROR('4. NPV'!#REF!/'4. NPV'!MGB$8,0)</f>
        <v>0</v>
      </c>
      <c r="MGB54" s="5">
        <f>-IFERROR('4. NPV'!#REF!/'4. NPV'!MGC$8,0)</f>
        <v>0</v>
      </c>
      <c r="MGC54" s="5">
        <f>-IFERROR('4. NPV'!#REF!/'4. NPV'!MGD$8,0)</f>
        <v>0</v>
      </c>
      <c r="MGD54" s="5">
        <f>-IFERROR('4. NPV'!#REF!/'4. NPV'!MGE$8,0)</f>
        <v>0</v>
      </c>
      <c r="MGE54" s="5">
        <f>-IFERROR('4. NPV'!#REF!/'4. NPV'!MGF$8,0)</f>
        <v>0</v>
      </c>
      <c r="MGF54" s="5">
        <f>-IFERROR('4. NPV'!#REF!/'4. NPV'!MGG$8,0)</f>
        <v>0</v>
      </c>
      <c r="MGG54" s="5">
        <f>-IFERROR('4. NPV'!#REF!/'4. NPV'!MGH$8,0)</f>
        <v>0</v>
      </c>
      <c r="MGH54" s="5">
        <f>-IFERROR('4. NPV'!#REF!/'4. NPV'!MGI$8,0)</f>
        <v>0</v>
      </c>
      <c r="MGI54" s="5">
        <f>-IFERROR('4. NPV'!#REF!/'4. NPV'!MGJ$8,0)</f>
        <v>0</v>
      </c>
      <c r="MGJ54" s="5">
        <f>-IFERROR('4. NPV'!#REF!/'4. NPV'!MGK$8,0)</f>
        <v>0</v>
      </c>
      <c r="MGK54" s="5">
        <f>-IFERROR('4. NPV'!#REF!/'4. NPV'!MGL$8,0)</f>
        <v>0</v>
      </c>
      <c r="MGL54" s="5">
        <f>-IFERROR('4. NPV'!#REF!/'4. NPV'!MGM$8,0)</f>
        <v>0</v>
      </c>
      <c r="MGM54" s="5">
        <f>-IFERROR('4. NPV'!#REF!/'4. NPV'!MGN$8,0)</f>
        <v>0</v>
      </c>
      <c r="MGN54" s="5">
        <f>-IFERROR('4. NPV'!#REF!/'4. NPV'!MGO$8,0)</f>
        <v>0</v>
      </c>
      <c r="MGO54" s="5">
        <f>-IFERROR('4. NPV'!#REF!/'4. NPV'!MGP$8,0)</f>
        <v>0</v>
      </c>
      <c r="MGP54" s="5">
        <f>-IFERROR('4. NPV'!#REF!/'4. NPV'!MGQ$8,0)</f>
        <v>0</v>
      </c>
      <c r="MGQ54" s="5">
        <f>-IFERROR('4. NPV'!#REF!/'4. NPV'!MGR$8,0)</f>
        <v>0</v>
      </c>
      <c r="MGR54" s="5">
        <f>-IFERROR('4. NPV'!#REF!/'4. NPV'!MGS$8,0)</f>
        <v>0</v>
      </c>
      <c r="MGS54" s="5">
        <f>-IFERROR('4. NPV'!#REF!/'4. NPV'!MGT$8,0)</f>
        <v>0</v>
      </c>
      <c r="MGT54" s="5">
        <f>-IFERROR('4. NPV'!#REF!/'4. NPV'!MGU$8,0)</f>
        <v>0</v>
      </c>
      <c r="MGU54" s="5">
        <f>-IFERROR('4. NPV'!#REF!/'4. NPV'!MGV$8,0)</f>
        <v>0</v>
      </c>
      <c r="MGV54" s="5">
        <f>-IFERROR('4. NPV'!#REF!/'4. NPV'!MGW$8,0)</f>
        <v>0</v>
      </c>
      <c r="MGW54" s="5">
        <f>-IFERROR('4. NPV'!#REF!/'4. NPV'!MGX$8,0)</f>
        <v>0</v>
      </c>
      <c r="MGX54" s="5">
        <f>-IFERROR('4. NPV'!#REF!/'4. NPV'!MGY$8,0)</f>
        <v>0</v>
      </c>
      <c r="MGY54" s="5">
        <f>-IFERROR('4. NPV'!#REF!/'4. NPV'!MGZ$8,0)</f>
        <v>0</v>
      </c>
      <c r="MGZ54" s="5">
        <f>-IFERROR('4. NPV'!#REF!/'4. NPV'!MHA$8,0)</f>
        <v>0</v>
      </c>
      <c r="MHA54" s="5">
        <f>-IFERROR('4. NPV'!#REF!/'4. NPV'!MHB$8,0)</f>
        <v>0</v>
      </c>
      <c r="MHB54" s="5">
        <f>-IFERROR('4. NPV'!#REF!/'4. NPV'!MHC$8,0)</f>
        <v>0</v>
      </c>
      <c r="MHC54" s="5">
        <f>-IFERROR('4. NPV'!#REF!/'4. NPV'!MHD$8,0)</f>
        <v>0</v>
      </c>
      <c r="MHD54" s="5">
        <f>-IFERROR('4. NPV'!#REF!/'4. NPV'!MHE$8,0)</f>
        <v>0</v>
      </c>
      <c r="MHE54" s="5">
        <f>-IFERROR('4. NPV'!#REF!/'4. NPV'!MHF$8,0)</f>
        <v>0</v>
      </c>
      <c r="MHF54" s="5">
        <f>-IFERROR('4. NPV'!#REF!/'4. NPV'!MHG$8,0)</f>
        <v>0</v>
      </c>
      <c r="MHG54" s="5">
        <f>-IFERROR('4. NPV'!#REF!/'4. NPV'!MHH$8,0)</f>
        <v>0</v>
      </c>
      <c r="MHH54" s="5">
        <f>-IFERROR('4. NPV'!#REF!/'4. NPV'!MHI$8,0)</f>
        <v>0</v>
      </c>
      <c r="MHI54" s="5">
        <f>-IFERROR('4. NPV'!#REF!/'4. NPV'!MHJ$8,0)</f>
        <v>0</v>
      </c>
      <c r="MHJ54" s="5">
        <f>-IFERROR('4. NPV'!#REF!/'4. NPV'!MHK$8,0)</f>
        <v>0</v>
      </c>
      <c r="MHK54" s="5">
        <f>-IFERROR('4. NPV'!#REF!/'4. NPV'!MHL$8,0)</f>
        <v>0</v>
      </c>
      <c r="MHL54" s="5">
        <f>-IFERROR('4. NPV'!#REF!/'4. NPV'!MHM$8,0)</f>
        <v>0</v>
      </c>
      <c r="MHM54" s="5">
        <f>-IFERROR('4. NPV'!#REF!/'4. NPV'!MHN$8,0)</f>
        <v>0</v>
      </c>
      <c r="MHN54" s="5">
        <f>-IFERROR('4. NPV'!#REF!/'4. NPV'!MHO$8,0)</f>
        <v>0</v>
      </c>
      <c r="MHO54" s="5">
        <f>-IFERROR('4. NPV'!#REF!/'4. NPV'!MHP$8,0)</f>
        <v>0</v>
      </c>
      <c r="MHP54" s="5">
        <f>-IFERROR('4. NPV'!#REF!/'4. NPV'!MHQ$8,0)</f>
        <v>0</v>
      </c>
      <c r="MHQ54" s="5">
        <f>-IFERROR('4. NPV'!#REF!/'4. NPV'!MHR$8,0)</f>
        <v>0</v>
      </c>
      <c r="MHR54" s="5">
        <f>-IFERROR('4. NPV'!#REF!/'4. NPV'!MHS$8,0)</f>
        <v>0</v>
      </c>
      <c r="MHS54" s="5">
        <f>-IFERROR('4. NPV'!#REF!/'4. NPV'!MHT$8,0)</f>
        <v>0</v>
      </c>
      <c r="MHT54" s="5">
        <f>-IFERROR('4. NPV'!#REF!/'4. NPV'!MHU$8,0)</f>
        <v>0</v>
      </c>
      <c r="MHU54" s="5">
        <f>-IFERROR('4. NPV'!#REF!/'4. NPV'!MHV$8,0)</f>
        <v>0</v>
      </c>
      <c r="MHV54" s="5">
        <f>-IFERROR('4. NPV'!#REF!/'4. NPV'!MHW$8,0)</f>
        <v>0</v>
      </c>
      <c r="MHW54" s="5">
        <f>-IFERROR('4. NPV'!#REF!/'4. NPV'!MHX$8,0)</f>
        <v>0</v>
      </c>
      <c r="MHX54" s="5">
        <f>-IFERROR('4. NPV'!#REF!/'4. NPV'!MHY$8,0)</f>
        <v>0</v>
      </c>
      <c r="MHY54" s="5">
        <f>-IFERROR('4. NPV'!#REF!/'4. NPV'!MHZ$8,0)</f>
        <v>0</v>
      </c>
      <c r="MHZ54" s="5">
        <f>-IFERROR('4. NPV'!#REF!/'4. NPV'!MIA$8,0)</f>
        <v>0</v>
      </c>
      <c r="MIA54" s="5">
        <f>-IFERROR('4. NPV'!#REF!/'4. NPV'!MIB$8,0)</f>
        <v>0</v>
      </c>
      <c r="MIB54" s="5">
        <f>-IFERROR('4. NPV'!#REF!/'4. NPV'!MIC$8,0)</f>
        <v>0</v>
      </c>
      <c r="MIC54" s="5">
        <f>-IFERROR('4. NPV'!#REF!/'4. NPV'!MID$8,0)</f>
        <v>0</v>
      </c>
      <c r="MID54" s="5">
        <f>-IFERROR('4. NPV'!#REF!/'4. NPV'!MIE$8,0)</f>
        <v>0</v>
      </c>
      <c r="MIE54" s="5">
        <f>-IFERROR('4. NPV'!#REF!/'4. NPV'!MIF$8,0)</f>
        <v>0</v>
      </c>
      <c r="MIF54" s="5">
        <f>-IFERROR('4. NPV'!#REF!/'4. NPV'!MIG$8,0)</f>
        <v>0</v>
      </c>
      <c r="MIG54" s="5">
        <f>-IFERROR('4. NPV'!#REF!/'4. NPV'!MIH$8,0)</f>
        <v>0</v>
      </c>
      <c r="MIH54" s="5">
        <f>-IFERROR('4. NPV'!#REF!/'4. NPV'!MII$8,0)</f>
        <v>0</v>
      </c>
      <c r="MII54" s="5">
        <f>-IFERROR('4. NPV'!#REF!/'4. NPV'!MIJ$8,0)</f>
        <v>0</v>
      </c>
      <c r="MIJ54" s="5">
        <f>-IFERROR('4. NPV'!#REF!/'4. NPV'!MIK$8,0)</f>
        <v>0</v>
      </c>
      <c r="MIK54" s="5">
        <f>-IFERROR('4. NPV'!#REF!/'4. NPV'!MIL$8,0)</f>
        <v>0</v>
      </c>
      <c r="MIL54" s="5">
        <f>-IFERROR('4. NPV'!#REF!/'4. NPV'!MIM$8,0)</f>
        <v>0</v>
      </c>
      <c r="MIM54" s="5">
        <f>-IFERROR('4. NPV'!#REF!/'4. NPV'!MIN$8,0)</f>
        <v>0</v>
      </c>
      <c r="MIN54" s="5">
        <f>-IFERROR('4. NPV'!#REF!/'4. NPV'!MIO$8,0)</f>
        <v>0</v>
      </c>
      <c r="MIO54" s="5">
        <f>-IFERROR('4. NPV'!#REF!/'4. NPV'!MIP$8,0)</f>
        <v>0</v>
      </c>
      <c r="MIP54" s="5">
        <f>-IFERROR('4. NPV'!#REF!/'4. NPV'!MIQ$8,0)</f>
        <v>0</v>
      </c>
      <c r="MIQ54" s="5">
        <f>-IFERROR('4. NPV'!#REF!/'4. NPV'!MIR$8,0)</f>
        <v>0</v>
      </c>
      <c r="MIR54" s="5">
        <f>-IFERROR('4. NPV'!#REF!/'4. NPV'!MIS$8,0)</f>
        <v>0</v>
      </c>
      <c r="MIS54" s="5">
        <f>-IFERROR('4. NPV'!#REF!/'4. NPV'!MIT$8,0)</f>
        <v>0</v>
      </c>
      <c r="MIT54" s="5">
        <f>-IFERROR('4. NPV'!#REF!/'4. NPV'!MIU$8,0)</f>
        <v>0</v>
      </c>
      <c r="MIU54" s="5">
        <f>-IFERROR('4. NPV'!#REF!/'4. NPV'!MIV$8,0)</f>
        <v>0</v>
      </c>
      <c r="MIV54" s="5">
        <f>-IFERROR('4. NPV'!#REF!/'4. NPV'!MIW$8,0)</f>
        <v>0</v>
      </c>
      <c r="MIW54" s="5">
        <f>-IFERROR('4. NPV'!#REF!/'4. NPV'!MIX$8,0)</f>
        <v>0</v>
      </c>
      <c r="MIX54" s="5">
        <f>-IFERROR('4. NPV'!#REF!/'4. NPV'!MIY$8,0)</f>
        <v>0</v>
      </c>
      <c r="MIY54" s="5">
        <f>-IFERROR('4. NPV'!#REF!/'4. NPV'!MIZ$8,0)</f>
        <v>0</v>
      </c>
      <c r="MIZ54" s="5">
        <f>-IFERROR('4. NPV'!#REF!/'4. NPV'!MJA$8,0)</f>
        <v>0</v>
      </c>
      <c r="MJA54" s="5">
        <f>-IFERROR('4. NPV'!#REF!/'4. NPV'!MJB$8,0)</f>
        <v>0</v>
      </c>
      <c r="MJB54" s="5">
        <f>-IFERROR('4. NPV'!#REF!/'4. NPV'!MJC$8,0)</f>
        <v>0</v>
      </c>
      <c r="MJC54" s="5">
        <f>-IFERROR('4. NPV'!#REF!/'4. NPV'!MJD$8,0)</f>
        <v>0</v>
      </c>
      <c r="MJD54" s="5">
        <f>-IFERROR('4. NPV'!#REF!/'4. NPV'!MJE$8,0)</f>
        <v>0</v>
      </c>
      <c r="MJE54" s="5">
        <f>-IFERROR('4. NPV'!#REF!/'4. NPV'!MJF$8,0)</f>
        <v>0</v>
      </c>
      <c r="MJF54" s="5">
        <f>-IFERROR('4. NPV'!#REF!/'4. NPV'!MJG$8,0)</f>
        <v>0</v>
      </c>
      <c r="MJG54" s="5">
        <f>-IFERROR('4. NPV'!#REF!/'4. NPV'!MJH$8,0)</f>
        <v>0</v>
      </c>
      <c r="MJH54" s="5">
        <f>-IFERROR('4. NPV'!#REF!/'4. NPV'!MJI$8,0)</f>
        <v>0</v>
      </c>
      <c r="MJI54" s="5">
        <f>-IFERROR('4. NPV'!#REF!/'4. NPV'!MJJ$8,0)</f>
        <v>0</v>
      </c>
      <c r="MJJ54" s="5">
        <f>-IFERROR('4. NPV'!#REF!/'4. NPV'!MJK$8,0)</f>
        <v>0</v>
      </c>
      <c r="MJK54" s="5">
        <f>-IFERROR('4. NPV'!#REF!/'4. NPV'!MJL$8,0)</f>
        <v>0</v>
      </c>
      <c r="MJL54" s="5">
        <f>-IFERROR('4. NPV'!#REF!/'4. NPV'!MJM$8,0)</f>
        <v>0</v>
      </c>
      <c r="MJM54" s="5">
        <f>-IFERROR('4. NPV'!#REF!/'4. NPV'!MJN$8,0)</f>
        <v>0</v>
      </c>
      <c r="MJN54" s="5">
        <f>-IFERROR('4. NPV'!#REF!/'4. NPV'!MJO$8,0)</f>
        <v>0</v>
      </c>
      <c r="MJO54" s="5">
        <f>-IFERROR('4. NPV'!#REF!/'4. NPV'!MJP$8,0)</f>
        <v>0</v>
      </c>
      <c r="MJP54" s="5">
        <f>-IFERROR('4. NPV'!#REF!/'4. NPV'!MJQ$8,0)</f>
        <v>0</v>
      </c>
      <c r="MJQ54" s="5">
        <f>-IFERROR('4. NPV'!#REF!/'4. NPV'!MJR$8,0)</f>
        <v>0</v>
      </c>
      <c r="MJR54" s="5">
        <f>-IFERROR('4. NPV'!#REF!/'4. NPV'!MJS$8,0)</f>
        <v>0</v>
      </c>
      <c r="MJS54" s="5">
        <f>-IFERROR('4. NPV'!#REF!/'4. NPV'!MJT$8,0)</f>
        <v>0</v>
      </c>
      <c r="MJT54" s="5">
        <f>-IFERROR('4. NPV'!#REF!/'4. NPV'!MJU$8,0)</f>
        <v>0</v>
      </c>
      <c r="MJU54" s="5">
        <f>-IFERROR('4. NPV'!#REF!/'4. NPV'!MJV$8,0)</f>
        <v>0</v>
      </c>
      <c r="MJV54" s="5">
        <f>-IFERROR('4. NPV'!#REF!/'4. NPV'!MJW$8,0)</f>
        <v>0</v>
      </c>
      <c r="MJW54" s="5">
        <f>-IFERROR('4. NPV'!#REF!/'4. NPV'!MJX$8,0)</f>
        <v>0</v>
      </c>
      <c r="MJX54" s="5">
        <f>-IFERROR('4. NPV'!#REF!/'4. NPV'!MJY$8,0)</f>
        <v>0</v>
      </c>
      <c r="MJY54" s="5">
        <f>-IFERROR('4. NPV'!#REF!/'4. NPV'!MJZ$8,0)</f>
        <v>0</v>
      </c>
      <c r="MJZ54" s="5">
        <f>-IFERROR('4. NPV'!#REF!/'4. NPV'!MKA$8,0)</f>
        <v>0</v>
      </c>
      <c r="MKA54" s="5">
        <f>-IFERROR('4. NPV'!#REF!/'4. NPV'!MKB$8,0)</f>
        <v>0</v>
      </c>
      <c r="MKB54" s="5">
        <f>-IFERROR('4. NPV'!#REF!/'4. NPV'!MKC$8,0)</f>
        <v>0</v>
      </c>
      <c r="MKC54" s="5">
        <f>-IFERROR('4. NPV'!#REF!/'4. NPV'!MKD$8,0)</f>
        <v>0</v>
      </c>
      <c r="MKD54" s="5">
        <f>-IFERROR('4. NPV'!#REF!/'4. NPV'!MKE$8,0)</f>
        <v>0</v>
      </c>
      <c r="MKE54" s="5">
        <f>-IFERROR('4. NPV'!#REF!/'4. NPV'!MKF$8,0)</f>
        <v>0</v>
      </c>
      <c r="MKF54" s="5">
        <f>-IFERROR('4. NPV'!#REF!/'4. NPV'!MKG$8,0)</f>
        <v>0</v>
      </c>
      <c r="MKG54" s="5">
        <f>-IFERROR('4. NPV'!#REF!/'4. NPV'!MKH$8,0)</f>
        <v>0</v>
      </c>
      <c r="MKH54" s="5">
        <f>-IFERROR('4. NPV'!#REF!/'4. NPV'!MKI$8,0)</f>
        <v>0</v>
      </c>
      <c r="MKI54" s="5">
        <f>-IFERROR('4. NPV'!#REF!/'4. NPV'!MKJ$8,0)</f>
        <v>0</v>
      </c>
      <c r="MKJ54" s="5">
        <f>-IFERROR('4. NPV'!#REF!/'4. NPV'!MKK$8,0)</f>
        <v>0</v>
      </c>
      <c r="MKK54" s="5">
        <f>-IFERROR('4. NPV'!#REF!/'4. NPV'!MKL$8,0)</f>
        <v>0</v>
      </c>
      <c r="MKL54" s="5">
        <f>-IFERROR('4. NPV'!#REF!/'4. NPV'!MKM$8,0)</f>
        <v>0</v>
      </c>
      <c r="MKM54" s="5">
        <f>-IFERROR('4. NPV'!#REF!/'4. NPV'!MKN$8,0)</f>
        <v>0</v>
      </c>
      <c r="MKN54" s="5">
        <f>-IFERROR('4. NPV'!#REF!/'4. NPV'!MKO$8,0)</f>
        <v>0</v>
      </c>
      <c r="MKO54" s="5">
        <f>-IFERROR('4. NPV'!#REF!/'4. NPV'!MKP$8,0)</f>
        <v>0</v>
      </c>
      <c r="MKP54" s="5">
        <f>-IFERROR('4. NPV'!#REF!/'4. NPV'!MKQ$8,0)</f>
        <v>0</v>
      </c>
      <c r="MKQ54" s="5">
        <f>-IFERROR('4. NPV'!#REF!/'4. NPV'!MKR$8,0)</f>
        <v>0</v>
      </c>
      <c r="MKR54" s="5">
        <f>-IFERROR('4. NPV'!#REF!/'4. NPV'!MKS$8,0)</f>
        <v>0</v>
      </c>
      <c r="MKS54" s="5">
        <f>-IFERROR('4. NPV'!#REF!/'4. NPV'!MKT$8,0)</f>
        <v>0</v>
      </c>
      <c r="MKT54" s="5">
        <f>-IFERROR('4. NPV'!#REF!/'4. NPV'!MKU$8,0)</f>
        <v>0</v>
      </c>
      <c r="MKU54" s="5">
        <f>-IFERROR('4. NPV'!#REF!/'4. NPV'!MKV$8,0)</f>
        <v>0</v>
      </c>
      <c r="MKV54" s="5">
        <f>-IFERROR('4. NPV'!#REF!/'4. NPV'!MKW$8,0)</f>
        <v>0</v>
      </c>
      <c r="MKW54" s="5">
        <f>-IFERROR('4. NPV'!#REF!/'4. NPV'!MKX$8,0)</f>
        <v>0</v>
      </c>
      <c r="MKX54" s="5">
        <f>-IFERROR('4. NPV'!#REF!/'4. NPV'!MKY$8,0)</f>
        <v>0</v>
      </c>
      <c r="MKY54" s="5">
        <f>-IFERROR('4. NPV'!#REF!/'4. NPV'!MKZ$8,0)</f>
        <v>0</v>
      </c>
      <c r="MKZ54" s="5">
        <f>-IFERROR('4. NPV'!#REF!/'4. NPV'!MLA$8,0)</f>
        <v>0</v>
      </c>
      <c r="MLA54" s="5">
        <f>-IFERROR('4. NPV'!#REF!/'4. NPV'!MLB$8,0)</f>
        <v>0</v>
      </c>
      <c r="MLB54" s="5">
        <f>-IFERROR('4. NPV'!#REF!/'4. NPV'!MLC$8,0)</f>
        <v>0</v>
      </c>
      <c r="MLC54" s="5">
        <f>-IFERROR('4. NPV'!#REF!/'4. NPV'!MLD$8,0)</f>
        <v>0</v>
      </c>
      <c r="MLD54" s="5">
        <f>-IFERROR('4. NPV'!#REF!/'4. NPV'!MLE$8,0)</f>
        <v>0</v>
      </c>
      <c r="MLE54" s="5">
        <f>-IFERROR('4. NPV'!#REF!/'4. NPV'!MLF$8,0)</f>
        <v>0</v>
      </c>
      <c r="MLF54" s="5">
        <f>-IFERROR('4. NPV'!#REF!/'4. NPV'!MLG$8,0)</f>
        <v>0</v>
      </c>
      <c r="MLG54" s="5">
        <f>-IFERROR('4. NPV'!#REF!/'4. NPV'!MLH$8,0)</f>
        <v>0</v>
      </c>
      <c r="MLH54" s="5">
        <f>-IFERROR('4. NPV'!#REF!/'4. NPV'!MLI$8,0)</f>
        <v>0</v>
      </c>
      <c r="MLI54" s="5">
        <f>-IFERROR('4. NPV'!#REF!/'4. NPV'!MLJ$8,0)</f>
        <v>0</v>
      </c>
      <c r="MLJ54" s="5">
        <f>-IFERROR('4. NPV'!#REF!/'4. NPV'!MLK$8,0)</f>
        <v>0</v>
      </c>
      <c r="MLK54" s="5">
        <f>-IFERROR('4. NPV'!#REF!/'4. NPV'!MLL$8,0)</f>
        <v>0</v>
      </c>
      <c r="MLL54" s="5">
        <f>-IFERROR('4. NPV'!#REF!/'4. NPV'!MLM$8,0)</f>
        <v>0</v>
      </c>
      <c r="MLM54" s="5">
        <f>-IFERROR('4. NPV'!#REF!/'4. NPV'!MLN$8,0)</f>
        <v>0</v>
      </c>
      <c r="MLN54" s="5">
        <f>-IFERROR('4. NPV'!#REF!/'4. NPV'!MLO$8,0)</f>
        <v>0</v>
      </c>
      <c r="MLO54" s="5">
        <f>-IFERROR('4. NPV'!#REF!/'4. NPV'!MLP$8,0)</f>
        <v>0</v>
      </c>
      <c r="MLP54" s="5">
        <f>-IFERROR('4. NPV'!#REF!/'4. NPV'!MLQ$8,0)</f>
        <v>0</v>
      </c>
      <c r="MLQ54" s="5">
        <f>-IFERROR('4. NPV'!#REF!/'4. NPV'!MLR$8,0)</f>
        <v>0</v>
      </c>
      <c r="MLR54" s="5">
        <f>-IFERROR('4. NPV'!#REF!/'4. NPV'!MLS$8,0)</f>
        <v>0</v>
      </c>
      <c r="MLS54" s="5">
        <f>-IFERROR('4. NPV'!#REF!/'4. NPV'!MLT$8,0)</f>
        <v>0</v>
      </c>
      <c r="MLT54" s="5">
        <f>-IFERROR('4. NPV'!#REF!/'4. NPV'!MLU$8,0)</f>
        <v>0</v>
      </c>
      <c r="MLU54" s="5">
        <f>-IFERROR('4. NPV'!#REF!/'4. NPV'!MLV$8,0)</f>
        <v>0</v>
      </c>
      <c r="MLV54" s="5">
        <f>-IFERROR('4. NPV'!#REF!/'4. NPV'!MLW$8,0)</f>
        <v>0</v>
      </c>
      <c r="MLW54" s="5">
        <f>-IFERROR('4. NPV'!#REF!/'4. NPV'!MLX$8,0)</f>
        <v>0</v>
      </c>
      <c r="MLX54" s="5">
        <f>-IFERROR('4. NPV'!#REF!/'4. NPV'!MLY$8,0)</f>
        <v>0</v>
      </c>
      <c r="MLY54" s="5">
        <f>-IFERROR('4. NPV'!#REF!/'4. NPV'!MLZ$8,0)</f>
        <v>0</v>
      </c>
      <c r="MLZ54" s="5">
        <f>-IFERROR('4. NPV'!#REF!/'4. NPV'!MMA$8,0)</f>
        <v>0</v>
      </c>
      <c r="MMA54" s="5">
        <f>-IFERROR('4. NPV'!#REF!/'4. NPV'!MMB$8,0)</f>
        <v>0</v>
      </c>
      <c r="MMB54" s="5">
        <f>-IFERROR('4. NPV'!#REF!/'4. NPV'!MMC$8,0)</f>
        <v>0</v>
      </c>
      <c r="MMC54" s="5">
        <f>-IFERROR('4. NPV'!#REF!/'4. NPV'!MMD$8,0)</f>
        <v>0</v>
      </c>
      <c r="MMD54" s="5">
        <f>-IFERROR('4. NPV'!#REF!/'4. NPV'!MME$8,0)</f>
        <v>0</v>
      </c>
      <c r="MME54" s="5">
        <f>-IFERROR('4. NPV'!#REF!/'4. NPV'!MMF$8,0)</f>
        <v>0</v>
      </c>
      <c r="MMF54" s="5">
        <f>-IFERROR('4. NPV'!#REF!/'4. NPV'!MMG$8,0)</f>
        <v>0</v>
      </c>
      <c r="MMG54" s="5">
        <f>-IFERROR('4. NPV'!#REF!/'4. NPV'!MMH$8,0)</f>
        <v>0</v>
      </c>
      <c r="MMH54" s="5">
        <f>-IFERROR('4. NPV'!#REF!/'4. NPV'!MMI$8,0)</f>
        <v>0</v>
      </c>
      <c r="MMI54" s="5">
        <f>-IFERROR('4. NPV'!#REF!/'4. NPV'!MMJ$8,0)</f>
        <v>0</v>
      </c>
      <c r="MMJ54" s="5">
        <f>-IFERROR('4. NPV'!#REF!/'4. NPV'!MMK$8,0)</f>
        <v>0</v>
      </c>
      <c r="MMK54" s="5">
        <f>-IFERROR('4. NPV'!#REF!/'4. NPV'!MML$8,0)</f>
        <v>0</v>
      </c>
      <c r="MML54" s="5">
        <f>-IFERROR('4. NPV'!#REF!/'4. NPV'!MMM$8,0)</f>
        <v>0</v>
      </c>
      <c r="MMM54" s="5">
        <f>-IFERROR('4. NPV'!#REF!/'4. NPV'!MMN$8,0)</f>
        <v>0</v>
      </c>
      <c r="MMN54" s="5">
        <f>-IFERROR('4. NPV'!#REF!/'4. NPV'!MMO$8,0)</f>
        <v>0</v>
      </c>
      <c r="MMO54" s="5">
        <f>-IFERROR('4. NPV'!#REF!/'4. NPV'!MMP$8,0)</f>
        <v>0</v>
      </c>
      <c r="MMP54" s="5">
        <f>-IFERROR('4. NPV'!#REF!/'4. NPV'!MMQ$8,0)</f>
        <v>0</v>
      </c>
      <c r="MMQ54" s="5">
        <f>-IFERROR('4. NPV'!#REF!/'4. NPV'!MMR$8,0)</f>
        <v>0</v>
      </c>
      <c r="MMR54" s="5">
        <f>-IFERROR('4. NPV'!#REF!/'4. NPV'!MMS$8,0)</f>
        <v>0</v>
      </c>
      <c r="MMS54" s="5">
        <f>-IFERROR('4. NPV'!#REF!/'4. NPV'!MMT$8,0)</f>
        <v>0</v>
      </c>
      <c r="MMT54" s="5">
        <f>-IFERROR('4. NPV'!#REF!/'4. NPV'!MMU$8,0)</f>
        <v>0</v>
      </c>
      <c r="MMU54" s="5">
        <f>-IFERROR('4. NPV'!#REF!/'4. NPV'!MMV$8,0)</f>
        <v>0</v>
      </c>
      <c r="MMV54" s="5">
        <f>-IFERROR('4. NPV'!#REF!/'4. NPV'!MMW$8,0)</f>
        <v>0</v>
      </c>
      <c r="MMW54" s="5">
        <f>-IFERROR('4. NPV'!#REF!/'4. NPV'!MMX$8,0)</f>
        <v>0</v>
      </c>
      <c r="MMX54" s="5">
        <f>-IFERROR('4. NPV'!#REF!/'4. NPV'!MMY$8,0)</f>
        <v>0</v>
      </c>
      <c r="MMY54" s="5">
        <f>-IFERROR('4. NPV'!#REF!/'4. NPV'!MMZ$8,0)</f>
        <v>0</v>
      </c>
      <c r="MMZ54" s="5">
        <f>-IFERROR('4. NPV'!#REF!/'4. NPV'!MNA$8,0)</f>
        <v>0</v>
      </c>
      <c r="MNA54" s="5">
        <f>-IFERROR('4. NPV'!#REF!/'4. NPV'!MNB$8,0)</f>
        <v>0</v>
      </c>
      <c r="MNB54" s="5">
        <f>-IFERROR('4. NPV'!#REF!/'4. NPV'!MNC$8,0)</f>
        <v>0</v>
      </c>
      <c r="MNC54" s="5">
        <f>-IFERROR('4. NPV'!#REF!/'4. NPV'!MND$8,0)</f>
        <v>0</v>
      </c>
      <c r="MND54" s="5">
        <f>-IFERROR('4. NPV'!#REF!/'4. NPV'!MNE$8,0)</f>
        <v>0</v>
      </c>
      <c r="MNE54" s="5">
        <f>-IFERROR('4. NPV'!#REF!/'4. NPV'!MNF$8,0)</f>
        <v>0</v>
      </c>
      <c r="MNF54" s="5">
        <f>-IFERROR('4. NPV'!#REF!/'4. NPV'!MNG$8,0)</f>
        <v>0</v>
      </c>
      <c r="MNG54" s="5">
        <f>-IFERROR('4. NPV'!#REF!/'4. NPV'!MNH$8,0)</f>
        <v>0</v>
      </c>
      <c r="MNH54" s="5">
        <f>-IFERROR('4. NPV'!#REF!/'4. NPV'!MNI$8,0)</f>
        <v>0</v>
      </c>
      <c r="MNI54" s="5">
        <f>-IFERROR('4. NPV'!#REF!/'4. NPV'!MNJ$8,0)</f>
        <v>0</v>
      </c>
      <c r="MNJ54" s="5">
        <f>-IFERROR('4. NPV'!#REF!/'4. NPV'!MNK$8,0)</f>
        <v>0</v>
      </c>
      <c r="MNK54" s="5">
        <f>-IFERROR('4. NPV'!#REF!/'4. NPV'!MNL$8,0)</f>
        <v>0</v>
      </c>
      <c r="MNL54" s="5">
        <f>-IFERROR('4. NPV'!#REF!/'4. NPV'!MNM$8,0)</f>
        <v>0</v>
      </c>
      <c r="MNM54" s="5">
        <f>-IFERROR('4. NPV'!#REF!/'4. NPV'!MNN$8,0)</f>
        <v>0</v>
      </c>
      <c r="MNN54" s="5">
        <f>-IFERROR('4. NPV'!#REF!/'4. NPV'!MNO$8,0)</f>
        <v>0</v>
      </c>
      <c r="MNO54" s="5">
        <f>-IFERROR('4. NPV'!#REF!/'4. NPV'!MNP$8,0)</f>
        <v>0</v>
      </c>
      <c r="MNP54" s="5">
        <f>-IFERROR('4. NPV'!#REF!/'4. NPV'!MNQ$8,0)</f>
        <v>0</v>
      </c>
      <c r="MNQ54" s="5">
        <f>-IFERROR('4. NPV'!#REF!/'4. NPV'!MNR$8,0)</f>
        <v>0</v>
      </c>
      <c r="MNR54" s="5">
        <f>-IFERROR('4. NPV'!#REF!/'4. NPV'!MNS$8,0)</f>
        <v>0</v>
      </c>
      <c r="MNS54" s="5">
        <f>-IFERROR('4. NPV'!#REF!/'4. NPV'!MNT$8,0)</f>
        <v>0</v>
      </c>
      <c r="MNT54" s="5">
        <f>-IFERROR('4. NPV'!#REF!/'4. NPV'!MNU$8,0)</f>
        <v>0</v>
      </c>
      <c r="MNU54" s="5">
        <f>-IFERROR('4. NPV'!#REF!/'4. NPV'!MNV$8,0)</f>
        <v>0</v>
      </c>
      <c r="MNV54" s="5">
        <f>-IFERROR('4. NPV'!#REF!/'4. NPV'!MNW$8,0)</f>
        <v>0</v>
      </c>
      <c r="MNW54" s="5">
        <f>-IFERROR('4. NPV'!#REF!/'4. NPV'!MNX$8,0)</f>
        <v>0</v>
      </c>
      <c r="MNX54" s="5">
        <f>-IFERROR('4. NPV'!#REF!/'4. NPV'!MNY$8,0)</f>
        <v>0</v>
      </c>
      <c r="MNY54" s="5">
        <f>-IFERROR('4. NPV'!#REF!/'4. NPV'!MNZ$8,0)</f>
        <v>0</v>
      </c>
      <c r="MNZ54" s="5">
        <f>-IFERROR('4. NPV'!#REF!/'4. NPV'!MOA$8,0)</f>
        <v>0</v>
      </c>
      <c r="MOA54" s="5">
        <f>-IFERROR('4. NPV'!#REF!/'4. NPV'!MOB$8,0)</f>
        <v>0</v>
      </c>
      <c r="MOB54" s="5">
        <f>-IFERROR('4. NPV'!#REF!/'4. NPV'!MOC$8,0)</f>
        <v>0</v>
      </c>
      <c r="MOC54" s="5">
        <f>-IFERROR('4. NPV'!#REF!/'4. NPV'!MOD$8,0)</f>
        <v>0</v>
      </c>
      <c r="MOD54" s="5">
        <f>-IFERROR('4. NPV'!#REF!/'4. NPV'!MOE$8,0)</f>
        <v>0</v>
      </c>
      <c r="MOE54" s="5">
        <f>-IFERROR('4. NPV'!#REF!/'4. NPV'!MOF$8,0)</f>
        <v>0</v>
      </c>
      <c r="MOF54" s="5">
        <f>-IFERROR('4. NPV'!#REF!/'4. NPV'!MOG$8,0)</f>
        <v>0</v>
      </c>
      <c r="MOG54" s="5">
        <f>-IFERROR('4. NPV'!#REF!/'4. NPV'!MOH$8,0)</f>
        <v>0</v>
      </c>
      <c r="MOH54" s="5">
        <f>-IFERROR('4. NPV'!#REF!/'4. NPV'!MOI$8,0)</f>
        <v>0</v>
      </c>
      <c r="MOI54" s="5">
        <f>-IFERROR('4. NPV'!#REF!/'4. NPV'!MOJ$8,0)</f>
        <v>0</v>
      </c>
      <c r="MOJ54" s="5">
        <f>-IFERROR('4. NPV'!#REF!/'4. NPV'!MOK$8,0)</f>
        <v>0</v>
      </c>
      <c r="MOK54" s="5">
        <f>-IFERROR('4. NPV'!#REF!/'4. NPV'!MOL$8,0)</f>
        <v>0</v>
      </c>
      <c r="MOL54" s="5">
        <f>-IFERROR('4. NPV'!#REF!/'4. NPV'!MOM$8,0)</f>
        <v>0</v>
      </c>
      <c r="MOM54" s="5">
        <f>-IFERROR('4. NPV'!#REF!/'4. NPV'!MON$8,0)</f>
        <v>0</v>
      </c>
      <c r="MON54" s="5">
        <f>-IFERROR('4. NPV'!#REF!/'4. NPV'!MOO$8,0)</f>
        <v>0</v>
      </c>
      <c r="MOO54" s="5">
        <f>-IFERROR('4. NPV'!#REF!/'4. NPV'!MOP$8,0)</f>
        <v>0</v>
      </c>
      <c r="MOP54" s="5">
        <f>-IFERROR('4. NPV'!#REF!/'4. NPV'!MOQ$8,0)</f>
        <v>0</v>
      </c>
      <c r="MOQ54" s="5">
        <f>-IFERROR('4. NPV'!#REF!/'4. NPV'!MOR$8,0)</f>
        <v>0</v>
      </c>
      <c r="MOR54" s="5">
        <f>-IFERROR('4. NPV'!#REF!/'4. NPV'!MOS$8,0)</f>
        <v>0</v>
      </c>
      <c r="MOS54" s="5">
        <f>-IFERROR('4. NPV'!#REF!/'4. NPV'!MOT$8,0)</f>
        <v>0</v>
      </c>
      <c r="MOT54" s="5">
        <f>-IFERROR('4. NPV'!#REF!/'4. NPV'!MOU$8,0)</f>
        <v>0</v>
      </c>
      <c r="MOU54" s="5">
        <f>-IFERROR('4. NPV'!#REF!/'4. NPV'!MOV$8,0)</f>
        <v>0</v>
      </c>
      <c r="MOV54" s="5">
        <f>-IFERROR('4. NPV'!#REF!/'4. NPV'!MOW$8,0)</f>
        <v>0</v>
      </c>
      <c r="MOW54" s="5">
        <f>-IFERROR('4. NPV'!#REF!/'4. NPV'!MOX$8,0)</f>
        <v>0</v>
      </c>
      <c r="MOX54" s="5">
        <f>-IFERROR('4. NPV'!#REF!/'4. NPV'!MOY$8,0)</f>
        <v>0</v>
      </c>
      <c r="MOY54" s="5">
        <f>-IFERROR('4. NPV'!#REF!/'4. NPV'!MOZ$8,0)</f>
        <v>0</v>
      </c>
      <c r="MOZ54" s="5">
        <f>-IFERROR('4. NPV'!#REF!/'4. NPV'!MPA$8,0)</f>
        <v>0</v>
      </c>
      <c r="MPA54" s="5">
        <f>-IFERROR('4. NPV'!#REF!/'4. NPV'!MPB$8,0)</f>
        <v>0</v>
      </c>
      <c r="MPB54" s="5">
        <f>-IFERROR('4. NPV'!#REF!/'4. NPV'!MPC$8,0)</f>
        <v>0</v>
      </c>
      <c r="MPC54" s="5">
        <f>-IFERROR('4. NPV'!#REF!/'4. NPV'!MPD$8,0)</f>
        <v>0</v>
      </c>
      <c r="MPD54" s="5">
        <f>-IFERROR('4. NPV'!#REF!/'4. NPV'!MPE$8,0)</f>
        <v>0</v>
      </c>
      <c r="MPE54" s="5">
        <f>-IFERROR('4. NPV'!#REF!/'4. NPV'!MPF$8,0)</f>
        <v>0</v>
      </c>
      <c r="MPF54" s="5">
        <f>-IFERROR('4. NPV'!#REF!/'4. NPV'!MPG$8,0)</f>
        <v>0</v>
      </c>
      <c r="MPG54" s="5">
        <f>-IFERROR('4. NPV'!#REF!/'4. NPV'!MPH$8,0)</f>
        <v>0</v>
      </c>
      <c r="MPH54" s="5">
        <f>-IFERROR('4. NPV'!#REF!/'4. NPV'!MPI$8,0)</f>
        <v>0</v>
      </c>
      <c r="MPI54" s="5">
        <f>-IFERROR('4. NPV'!#REF!/'4. NPV'!MPJ$8,0)</f>
        <v>0</v>
      </c>
      <c r="MPJ54" s="5">
        <f>-IFERROR('4. NPV'!#REF!/'4. NPV'!MPK$8,0)</f>
        <v>0</v>
      </c>
      <c r="MPK54" s="5">
        <f>-IFERROR('4. NPV'!#REF!/'4. NPV'!MPL$8,0)</f>
        <v>0</v>
      </c>
      <c r="MPL54" s="5">
        <f>-IFERROR('4. NPV'!#REF!/'4. NPV'!MPM$8,0)</f>
        <v>0</v>
      </c>
      <c r="MPM54" s="5">
        <f>-IFERROR('4. NPV'!#REF!/'4. NPV'!MPN$8,0)</f>
        <v>0</v>
      </c>
      <c r="MPN54" s="5">
        <f>-IFERROR('4. NPV'!#REF!/'4. NPV'!MPO$8,0)</f>
        <v>0</v>
      </c>
      <c r="MPO54" s="5">
        <f>-IFERROR('4. NPV'!#REF!/'4. NPV'!MPP$8,0)</f>
        <v>0</v>
      </c>
      <c r="MPP54" s="5">
        <f>-IFERROR('4. NPV'!#REF!/'4. NPV'!MPQ$8,0)</f>
        <v>0</v>
      </c>
      <c r="MPQ54" s="5">
        <f>-IFERROR('4. NPV'!#REF!/'4. NPV'!MPR$8,0)</f>
        <v>0</v>
      </c>
      <c r="MPR54" s="5">
        <f>-IFERROR('4. NPV'!#REF!/'4. NPV'!MPS$8,0)</f>
        <v>0</v>
      </c>
      <c r="MPS54" s="5">
        <f>-IFERROR('4. NPV'!#REF!/'4. NPV'!MPT$8,0)</f>
        <v>0</v>
      </c>
      <c r="MPT54" s="5">
        <f>-IFERROR('4. NPV'!#REF!/'4. NPV'!MPU$8,0)</f>
        <v>0</v>
      </c>
      <c r="MPU54" s="5">
        <f>-IFERROR('4. NPV'!#REF!/'4. NPV'!MPV$8,0)</f>
        <v>0</v>
      </c>
      <c r="MPV54" s="5">
        <f>-IFERROR('4. NPV'!#REF!/'4. NPV'!MPW$8,0)</f>
        <v>0</v>
      </c>
      <c r="MPW54" s="5">
        <f>-IFERROR('4. NPV'!#REF!/'4. NPV'!MPX$8,0)</f>
        <v>0</v>
      </c>
      <c r="MPX54" s="5">
        <f>-IFERROR('4. NPV'!#REF!/'4. NPV'!MPY$8,0)</f>
        <v>0</v>
      </c>
      <c r="MPY54" s="5">
        <f>-IFERROR('4. NPV'!#REF!/'4. NPV'!MPZ$8,0)</f>
        <v>0</v>
      </c>
      <c r="MPZ54" s="5">
        <f>-IFERROR('4. NPV'!#REF!/'4. NPV'!MQA$8,0)</f>
        <v>0</v>
      </c>
      <c r="MQA54" s="5">
        <f>-IFERROR('4. NPV'!#REF!/'4. NPV'!MQB$8,0)</f>
        <v>0</v>
      </c>
      <c r="MQB54" s="5">
        <f>-IFERROR('4. NPV'!#REF!/'4. NPV'!MQC$8,0)</f>
        <v>0</v>
      </c>
      <c r="MQC54" s="5">
        <f>-IFERROR('4. NPV'!#REF!/'4. NPV'!MQD$8,0)</f>
        <v>0</v>
      </c>
      <c r="MQD54" s="5">
        <f>-IFERROR('4. NPV'!#REF!/'4. NPV'!MQE$8,0)</f>
        <v>0</v>
      </c>
      <c r="MQE54" s="5">
        <f>-IFERROR('4. NPV'!#REF!/'4. NPV'!MQF$8,0)</f>
        <v>0</v>
      </c>
      <c r="MQF54" s="5">
        <f>-IFERROR('4. NPV'!#REF!/'4. NPV'!MQG$8,0)</f>
        <v>0</v>
      </c>
      <c r="MQG54" s="5">
        <f>-IFERROR('4. NPV'!#REF!/'4. NPV'!MQH$8,0)</f>
        <v>0</v>
      </c>
      <c r="MQH54" s="5">
        <f>-IFERROR('4. NPV'!#REF!/'4. NPV'!MQI$8,0)</f>
        <v>0</v>
      </c>
      <c r="MQI54" s="5">
        <f>-IFERROR('4. NPV'!#REF!/'4. NPV'!MQJ$8,0)</f>
        <v>0</v>
      </c>
      <c r="MQJ54" s="5">
        <f>-IFERROR('4. NPV'!#REF!/'4. NPV'!MQK$8,0)</f>
        <v>0</v>
      </c>
      <c r="MQK54" s="5">
        <f>-IFERROR('4. NPV'!#REF!/'4. NPV'!MQL$8,0)</f>
        <v>0</v>
      </c>
      <c r="MQL54" s="5">
        <f>-IFERROR('4. NPV'!#REF!/'4. NPV'!MQM$8,0)</f>
        <v>0</v>
      </c>
      <c r="MQM54" s="5">
        <f>-IFERROR('4. NPV'!#REF!/'4. NPV'!MQN$8,0)</f>
        <v>0</v>
      </c>
      <c r="MQN54" s="5">
        <f>-IFERROR('4. NPV'!#REF!/'4. NPV'!MQO$8,0)</f>
        <v>0</v>
      </c>
      <c r="MQO54" s="5">
        <f>-IFERROR('4. NPV'!#REF!/'4. NPV'!MQP$8,0)</f>
        <v>0</v>
      </c>
      <c r="MQP54" s="5">
        <f>-IFERROR('4. NPV'!#REF!/'4. NPV'!MQQ$8,0)</f>
        <v>0</v>
      </c>
      <c r="MQQ54" s="5">
        <f>-IFERROR('4. NPV'!#REF!/'4. NPV'!MQR$8,0)</f>
        <v>0</v>
      </c>
      <c r="MQR54" s="5">
        <f>-IFERROR('4. NPV'!#REF!/'4. NPV'!MQS$8,0)</f>
        <v>0</v>
      </c>
      <c r="MQS54" s="5">
        <f>-IFERROR('4. NPV'!#REF!/'4. NPV'!MQT$8,0)</f>
        <v>0</v>
      </c>
      <c r="MQT54" s="5">
        <f>-IFERROR('4. NPV'!#REF!/'4. NPV'!MQU$8,0)</f>
        <v>0</v>
      </c>
      <c r="MQU54" s="5">
        <f>-IFERROR('4. NPV'!#REF!/'4. NPV'!MQV$8,0)</f>
        <v>0</v>
      </c>
      <c r="MQV54" s="5">
        <f>-IFERROR('4. NPV'!#REF!/'4. NPV'!MQW$8,0)</f>
        <v>0</v>
      </c>
      <c r="MQW54" s="5">
        <f>-IFERROR('4. NPV'!#REF!/'4. NPV'!MQX$8,0)</f>
        <v>0</v>
      </c>
      <c r="MQX54" s="5">
        <f>-IFERROR('4. NPV'!#REF!/'4. NPV'!MQY$8,0)</f>
        <v>0</v>
      </c>
      <c r="MQY54" s="5">
        <f>-IFERROR('4. NPV'!#REF!/'4. NPV'!MQZ$8,0)</f>
        <v>0</v>
      </c>
      <c r="MQZ54" s="5">
        <f>-IFERROR('4. NPV'!#REF!/'4. NPV'!MRA$8,0)</f>
        <v>0</v>
      </c>
      <c r="MRA54" s="5">
        <f>-IFERROR('4. NPV'!#REF!/'4. NPV'!MRB$8,0)</f>
        <v>0</v>
      </c>
      <c r="MRB54" s="5">
        <f>-IFERROR('4. NPV'!#REF!/'4. NPV'!MRC$8,0)</f>
        <v>0</v>
      </c>
      <c r="MRC54" s="5">
        <f>-IFERROR('4. NPV'!#REF!/'4. NPV'!MRD$8,0)</f>
        <v>0</v>
      </c>
      <c r="MRD54" s="5">
        <f>-IFERROR('4. NPV'!#REF!/'4. NPV'!MRE$8,0)</f>
        <v>0</v>
      </c>
      <c r="MRE54" s="5">
        <f>-IFERROR('4. NPV'!#REF!/'4. NPV'!MRF$8,0)</f>
        <v>0</v>
      </c>
      <c r="MRF54" s="5">
        <f>-IFERROR('4. NPV'!#REF!/'4. NPV'!MRG$8,0)</f>
        <v>0</v>
      </c>
      <c r="MRG54" s="5">
        <f>-IFERROR('4. NPV'!#REF!/'4. NPV'!MRH$8,0)</f>
        <v>0</v>
      </c>
      <c r="MRH54" s="5">
        <f>-IFERROR('4. NPV'!#REF!/'4. NPV'!MRI$8,0)</f>
        <v>0</v>
      </c>
      <c r="MRI54" s="5">
        <f>-IFERROR('4. NPV'!#REF!/'4. NPV'!MRJ$8,0)</f>
        <v>0</v>
      </c>
      <c r="MRJ54" s="5">
        <f>-IFERROR('4. NPV'!#REF!/'4. NPV'!MRK$8,0)</f>
        <v>0</v>
      </c>
      <c r="MRK54" s="5">
        <f>-IFERROR('4. NPV'!#REF!/'4. NPV'!MRL$8,0)</f>
        <v>0</v>
      </c>
      <c r="MRL54" s="5">
        <f>-IFERROR('4. NPV'!#REF!/'4. NPV'!MRM$8,0)</f>
        <v>0</v>
      </c>
      <c r="MRM54" s="5">
        <f>-IFERROR('4. NPV'!#REF!/'4. NPV'!MRN$8,0)</f>
        <v>0</v>
      </c>
      <c r="MRN54" s="5">
        <f>-IFERROR('4. NPV'!#REF!/'4. NPV'!MRO$8,0)</f>
        <v>0</v>
      </c>
      <c r="MRO54" s="5">
        <f>-IFERROR('4. NPV'!#REF!/'4. NPV'!MRP$8,0)</f>
        <v>0</v>
      </c>
      <c r="MRP54" s="5">
        <f>-IFERROR('4. NPV'!#REF!/'4. NPV'!MRQ$8,0)</f>
        <v>0</v>
      </c>
      <c r="MRQ54" s="5">
        <f>-IFERROR('4. NPV'!#REF!/'4. NPV'!MRR$8,0)</f>
        <v>0</v>
      </c>
      <c r="MRR54" s="5">
        <f>-IFERROR('4. NPV'!#REF!/'4. NPV'!MRS$8,0)</f>
        <v>0</v>
      </c>
      <c r="MRS54" s="5">
        <f>-IFERROR('4. NPV'!#REF!/'4. NPV'!MRT$8,0)</f>
        <v>0</v>
      </c>
      <c r="MRT54" s="5">
        <f>-IFERROR('4. NPV'!#REF!/'4. NPV'!MRU$8,0)</f>
        <v>0</v>
      </c>
      <c r="MRU54" s="5">
        <f>-IFERROR('4. NPV'!#REF!/'4. NPV'!MRV$8,0)</f>
        <v>0</v>
      </c>
      <c r="MRV54" s="5">
        <f>-IFERROR('4. NPV'!#REF!/'4. NPV'!MRW$8,0)</f>
        <v>0</v>
      </c>
      <c r="MRW54" s="5">
        <f>-IFERROR('4. NPV'!#REF!/'4. NPV'!MRX$8,0)</f>
        <v>0</v>
      </c>
      <c r="MRX54" s="5">
        <f>-IFERROR('4. NPV'!#REF!/'4. NPV'!MRY$8,0)</f>
        <v>0</v>
      </c>
      <c r="MRY54" s="5">
        <f>-IFERROR('4. NPV'!#REF!/'4. NPV'!MRZ$8,0)</f>
        <v>0</v>
      </c>
      <c r="MRZ54" s="5">
        <f>-IFERROR('4. NPV'!#REF!/'4. NPV'!MSA$8,0)</f>
        <v>0</v>
      </c>
      <c r="MSA54" s="5">
        <f>-IFERROR('4. NPV'!#REF!/'4. NPV'!MSB$8,0)</f>
        <v>0</v>
      </c>
      <c r="MSB54" s="5">
        <f>-IFERROR('4. NPV'!#REF!/'4. NPV'!MSC$8,0)</f>
        <v>0</v>
      </c>
      <c r="MSC54" s="5">
        <f>-IFERROR('4. NPV'!#REF!/'4. NPV'!MSD$8,0)</f>
        <v>0</v>
      </c>
      <c r="MSD54" s="5">
        <f>-IFERROR('4. NPV'!#REF!/'4. NPV'!MSE$8,0)</f>
        <v>0</v>
      </c>
      <c r="MSE54" s="5">
        <f>-IFERROR('4. NPV'!#REF!/'4. NPV'!MSF$8,0)</f>
        <v>0</v>
      </c>
      <c r="MSF54" s="5">
        <f>-IFERROR('4. NPV'!#REF!/'4. NPV'!MSG$8,0)</f>
        <v>0</v>
      </c>
      <c r="MSG54" s="5">
        <f>-IFERROR('4. NPV'!#REF!/'4. NPV'!MSH$8,0)</f>
        <v>0</v>
      </c>
      <c r="MSH54" s="5">
        <f>-IFERROR('4. NPV'!#REF!/'4. NPV'!MSI$8,0)</f>
        <v>0</v>
      </c>
      <c r="MSI54" s="5">
        <f>-IFERROR('4. NPV'!#REF!/'4. NPV'!MSJ$8,0)</f>
        <v>0</v>
      </c>
      <c r="MSJ54" s="5">
        <f>-IFERROR('4. NPV'!#REF!/'4. NPV'!MSK$8,0)</f>
        <v>0</v>
      </c>
      <c r="MSK54" s="5">
        <f>-IFERROR('4. NPV'!#REF!/'4. NPV'!MSL$8,0)</f>
        <v>0</v>
      </c>
      <c r="MSL54" s="5">
        <f>-IFERROR('4. NPV'!#REF!/'4. NPV'!MSM$8,0)</f>
        <v>0</v>
      </c>
      <c r="MSM54" s="5">
        <f>-IFERROR('4. NPV'!#REF!/'4. NPV'!MSN$8,0)</f>
        <v>0</v>
      </c>
      <c r="MSN54" s="5">
        <f>-IFERROR('4. NPV'!#REF!/'4. NPV'!MSO$8,0)</f>
        <v>0</v>
      </c>
      <c r="MSO54" s="5">
        <f>-IFERROR('4. NPV'!#REF!/'4. NPV'!MSP$8,0)</f>
        <v>0</v>
      </c>
      <c r="MSP54" s="5">
        <f>-IFERROR('4. NPV'!#REF!/'4. NPV'!MSQ$8,0)</f>
        <v>0</v>
      </c>
      <c r="MSQ54" s="5">
        <f>-IFERROR('4. NPV'!#REF!/'4. NPV'!MSR$8,0)</f>
        <v>0</v>
      </c>
      <c r="MSR54" s="5">
        <f>-IFERROR('4. NPV'!#REF!/'4. NPV'!MSS$8,0)</f>
        <v>0</v>
      </c>
      <c r="MSS54" s="5">
        <f>-IFERROR('4. NPV'!#REF!/'4. NPV'!MST$8,0)</f>
        <v>0</v>
      </c>
      <c r="MST54" s="5">
        <f>-IFERROR('4. NPV'!#REF!/'4. NPV'!MSU$8,0)</f>
        <v>0</v>
      </c>
      <c r="MSU54" s="5">
        <f>-IFERROR('4. NPV'!#REF!/'4. NPV'!MSV$8,0)</f>
        <v>0</v>
      </c>
      <c r="MSV54" s="5">
        <f>-IFERROR('4. NPV'!#REF!/'4. NPV'!MSW$8,0)</f>
        <v>0</v>
      </c>
      <c r="MSW54" s="5">
        <f>-IFERROR('4. NPV'!#REF!/'4. NPV'!MSX$8,0)</f>
        <v>0</v>
      </c>
      <c r="MSX54" s="5">
        <f>-IFERROR('4. NPV'!#REF!/'4. NPV'!MSY$8,0)</f>
        <v>0</v>
      </c>
      <c r="MSY54" s="5">
        <f>-IFERROR('4. NPV'!#REF!/'4. NPV'!MSZ$8,0)</f>
        <v>0</v>
      </c>
      <c r="MSZ54" s="5">
        <f>-IFERROR('4. NPV'!#REF!/'4. NPV'!MTA$8,0)</f>
        <v>0</v>
      </c>
      <c r="MTA54" s="5">
        <f>-IFERROR('4. NPV'!#REF!/'4. NPV'!MTB$8,0)</f>
        <v>0</v>
      </c>
      <c r="MTB54" s="5">
        <f>-IFERROR('4. NPV'!#REF!/'4. NPV'!MTC$8,0)</f>
        <v>0</v>
      </c>
      <c r="MTC54" s="5">
        <f>-IFERROR('4. NPV'!#REF!/'4. NPV'!MTD$8,0)</f>
        <v>0</v>
      </c>
      <c r="MTD54" s="5">
        <f>-IFERROR('4. NPV'!#REF!/'4. NPV'!MTE$8,0)</f>
        <v>0</v>
      </c>
      <c r="MTE54" s="5">
        <f>-IFERROR('4. NPV'!#REF!/'4. NPV'!MTF$8,0)</f>
        <v>0</v>
      </c>
      <c r="MTF54" s="5">
        <f>-IFERROR('4. NPV'!#REF!/'4. NPV'!MTG$8,0)</f>
        <v>0</v>
      </c>
      <c r="MTG54" s="5">
        <f>-IFERROR('4. NPV'!#REF!/'4. NPV'!MTH$8,0)</f>
        <v>0</v>
      </c>
      <c r="MTH54" s="5">
        <f>-IFERROR('4. NPV'!#REF!/'4. NPV'!MTI$8,0)</f>
        <v>0</v>
      </c>
      <c r="MTI54" s="5">
        <f>-IFERROR('4. NPV'!#REF!/'4. NPV'!MTJ$8,0)</f>
        <v>0</v>
      </c>
      <c r="MTJ54" s="5">
        <f>-IFERROR('4. NPV'!#REF!/'4. NPV'!MTK$8,0)</f>
        <v>0</v>
      </c>
      <c r="MTK54" s="5">
        <f>-IFERROR('4. NPV'!#REF!/'4. NPV'!MTL$8,0)</f>
        <v>0</v>
      </c>
      <c r="MTL54" s="5">
        <f>-IFERROR('4. NPV'!#REF!/'4. NPV'!MTM$8,0)</f>
        <v>0</v>
      </c>
      <c r="MTM54" s="5">
        <f>-IFERROR('4. NPV'!#REF!/'4. NPV'!MTN$8,0)</f>
        <v>0</v>
      </c>
      <c r="MTN54" s="5">
        <f>-IFERROR('4. NPV'!#REF!/'4. NPV'!MTO$8,0)</f>
        <v>0</v>
      </c>
      <c r="MTO54" s="5">
        <f>-IFERROR('4. NPV'!#REF!/'4. NPV'!MTP$8,0)</f>
        <v>0</v>
      </c>
      <c r="MTP54" s="5">
        <f>-IFERROR('4. NPV'!#REF!/'4. NPV'!MTQ$8,0)</f>
        <v>0</v>
      </c>
      <c r="MTQ54" s="5">
        <f>-IFERROR('4. NPV'!#REF!/'4. NPV'!MTR$8,0)</f>
        <v>0</v>
      </c>
      <c r="MTR54" s="5">
        <f>-IFERROR('4. NPV'!#REF!/'4. NPV'!MTS$8,0)</f>
        <v>0</v>
      </c>
      <c r="MTS54" s="5">
        <f>-IFERROR('4. NPV'!#REF!/'4. NPV'!MTT$8,0)</f>
        <v>0</v>
      </c>
      <c r="MTT54" s="5">
        <f>-IFERROR('4. NPV'!#REF!/'4. NPV'!MTU$8,0)</f>
        <v>0</v>
      </c>
      <c r="MTU54" s="5">
        <f>-IFERROR('4. NPV'!#REF!/'4. NPV'!MTV$8,0)</f>
        <v>0</v>
      </c>
      <c r="MTV54" s="5">
        <f>-IFERROR('4. NPV'!#REF!/'4. NPV'!MTW$8,0)</f>
        <v>0</v>
      </c>
      <c r="MTW54" s="5">
        <f>-IFERROR('4. NPV'!#REF!/'4. NPV'!MTX$8,0)</f>
        <v>0</v>
      </c>
      <c r="MTX54" s="5">
        <f>-IFERROR('4. NPV'!#REF!/'4. NPV'!MTY$8,0)</f>
        <v>0</v>
      </c>
      <c r="MTY54" s="5">
        <f>-IFERROR('4. NPV'!#REF!/'4. NPV'!MTZ$8,0)</f>
        <v>0</v>
      </c>
      <c r="MTZ54" s="5">
        <f>-IFERROR('4. NPV'!#REF!/'4. NPV'!MUA$8,0)</f>
        <v>0</v>
      </c>
      <c r="MUA54" s="5">
        <f>-IFERROR('4. NPV'!#REF!/'4. NPV'!MUB$8,0)</f>
        <v>0</v>
      </c>
      <c r="MUB54" s="5">
        <f>-IFERROR('4. NPV'!#REF!/'4. NPV'!MUC$8,0)</f>
        <v>0</v>
      </c>
      <c r="MUC54" s="5">
        <f>-IFERROR('4. NPV'!#REF!/'4. NPV'!MUD$8,0)</f>
        <v>0</v>
      </c>
      <c r="MUD54" s="5">
        <f>-IFERROR('4. NPV'!#REF!/'4. NPV'!MUE$8,0)</f>
        <v>0</v>
      </c>
      <c r="MUE54" s="5">
        <f>-IFERROR('4. NPV'!#REF!/'4. NPV'!MUF$8,0)</f>
        <v>0</v>
      </c>
      <c r="MUF54" s="5">
        <f>-IFERROR('4. NPV'!#REF!/'4. NPV'!MUG$8,0)</f>
        <v>0</v>
      </c>
      <c r="MUG54" s="5">
        <f>-IFERROR('4. NPV'!#REF!/'4. NPV'!MUH$8,0)</f>
        <v>0</v>
      </c>
      <c r="MUH54" s="5">
        <f>-IFERROR('4. NPV'!#REF!/'4. NPV'!MUI$8,0)</f>
        <v>0</v>
      </c>
      <c r="MUI54" s="5">
        <f>-IFERROR('4. NPV'!#REF!/'4. NPV'!MUJ$8,0)</f>
        <v>0</v>
      </c>
      <c r="MUJ54" s="5">
        <f>-IFERROR('4. NPV'!#REF!/'4. NPV'!MUK$8,0)</f>
        <v>0</v>
      </c>
      <c r="MUK54" s="5">
        <f>-IFERROR('4. NPV'!#REF!/'4. NPV'!MUL$8,0)</f>
        <v>0</v>
      </c>
      <c r="MUL54" s="5">
        <f>-IFERROR('4. NPV'!#REF!/'4. NPV'!MUM$8,0)</f>
        <v>0</v>
      </c>
      <c r="MUM54" s="5">
        <f>-IFERROR('4. NPV'!#REF!/'4. NPV'!MUN$8,0)</f>
        <v>0</v>
      </c>
      <c r="MUN54" s="5">
        <f>-IFERROR('4. NPV'!#REF!/'4. NPV'!MUO$8,0)</f>
        <v>0</v>
      </c>
      <c r="MUO54" s="5">
        <f>-IFERROR('4. NPV'!#REF!/'4. NPV'!MUP$8,0)</f>
        <v>0</v>
      </c>
      <c r="MUP54" s="5">
        <f>-IFERROR('4. NPV'!#REF!/'4. NPV'!MUQ$8,0)</f>
        <v>0</v>
      </c>
      <c r="MUQ54" s="5">
        <f>-IFERROR('4. NPV'!#REF!/'4. NPV'!MUR$8,0)</f>
        <v>0</v>
      </c>
      <c r="MUR54" s="5">
        <f>-IFERROR('4. NPV'!#REF!/'4. NPV'!MUS$8,0)</f>
        <v>0</v>
      </c>
      <c r="MUS54" s="5">
        <f>-IFERROR('4. NPV'!#REF!/'4. NPV'!MUT$8,0)</f>
        <v>0</v>
      </c>
      <c r="MUT54" s="5">
        <f>-IFERROR('4. NPV'!#REF!/'4. NPV'!MUU$8,0)</f>
        <v>0</v>
      </c>
      <c r="MUU54" s="5">
        <f>-IFERROR('4. NPV'!#REF!/'4. NPV'!MUV$8,0)</f>
        <v>0</v>
      </c>
      <c r="MUV54" s="5">
        <f>-IFERROR('4. NPV'!#REF!/'4. NPV'!MUW$8,0)</f>
        <v>0</v>
      </c>
      <c r="MUW54" s="5">
        <f>-IFERROR('4. NPV'!#REF!/'4. NPV'!MUX$8,0)</f>
        <v>0</v>
      </c>
      <c r="MUX54" s="5">
        <f>-IFERROR('4. NPV'!#REF!/'4. NPV'!MUY$8,0)</f>
        <v>0</v>
      </c>
      <c r="MUY54" s="5">
        <f>-IFERROR('4. NPV'!#REF!/'4. NPV'!MUZ$8,0)</f>
        <v>0</v>
      </c>
      <c r="MUZ54" s="5">
        <f>-IFERROR('4. NPV'!#REF!/'4. NPV'!MVA$8,0)</f>
        <v>0</v>
      </c>
      <c r="MVA54" s="5">
        <f>-IFERROR('4. NPV'!#REF!/'4. NPV'!MVB$8,0)</f>
        <v>0</v>
      </c>
      <c r="MVB54" s="5">
        <f>-IFERROR('4. NPV'!#REF!/'4. NPV'!MVC$8,0)</f>
        <v>0</v>
      </c>
      <c r="MVC54" s="5">
        <f>-IFERROR('4. NPV'!#REF!/'4. NPV'!MVD$8,0)</f>
        <v>0</v>
      </c>
      <c r="MVD54" s="5">
        <f>-IFERROR('4. NPV'!#REF!/'4. NPV'!MVE$8,0)</f>
        <v>0</v>
      </c>
      <c r="MVE54" s="5">
        <f>-IFERROR('4. NPV'!#REF!/'4. NPV'!MVF$8,0)</f>
        <v>0</v>
      </c>
      <c r="MVF54" s="5">
        <f>-IFERROR('4. NPV'!#REF!/'4. NPV'!MVG$8,0)</f>
        <v>0</v>
      </c>
      <c r="MVG54" s="5">
        <f>-IFERROR('4. NPV'!#REF!/'4. NPV'!MVH$8,0)</f>
        <v>0</v>
      </c>
      <c r="MVH54" s="5">
        <f>-IFERROR('4. NPV'!#REF!/'4. NPV'!MVI$8,0)</f>
        <v>0</v>
      </c>
      <c r="MVI54" s="5">
        <f>-IFERROR('4. NPV'!#REF!/'4. NPV'!MVJ$8,0)</f>
        <v>0</v>
      </c>
      <c r="MVJ54" s="5">
        <f>-IFERROR('4. NPV'!#REF!/'4. NPV'!MVK$8,0)</f>
        <v>0</v>
      </c>
      <c r="MVK54" s="5">
        <f>-IFERROR('4. NPV'!#REF!/'4. NPV'!MVL$8,0)</f>
        <v>0</v>
      </c>
      <c r="MVL54" s="5">
        <f>-IFERROR('4. NPV'!#REF!/'4. NPV'!MVM$8,0)</f>
        <v>0</v>
      </c>
      <c r="MVM54" s="5">
        <f>-IFERROR('4. NPV'!#REF!/'4. NPV'!MVN$8,0)</f>
        <v>0</v>
      </c>
      <c r="MVN54" s="5">
        <f>-IFERROR('4. NPV'!#REF!/'4. NPV'!MVO$8,0)</f>
        <v>0</v>
      </c>
      <c r="MVO54" s="5">
        <f>-IFERROR('4. NPV'!#REF!/'4. NPV'!MVP$8,0)</f>
        <v>0</v>
      </c>
      <c r="MVP54" s="5">
        <f>-IFERROR('4. NPV'!#REF!/'4. NPV'!MVQ$8,0)</f>
        <v>0</v>
      </c>
      <c r="MVQ54" s="5">
        <f>-IFERROR('4. NPV'!#REF!/'4. NPV'!MVR$8,0)</f>
        <v>0</v>
      </c>
      <c r="MVR54" s="5">
        <f>-IFERROR('4. NPV'!#REF!/'4. NPV'!MVS$8,0)</f>
        <v>0</v>
      </c>
      <c r="MVS54" s="5">
        <f>-IFERROR('4. NPV'!#REF!/'4. NPV'!MVT$8,0)</f>
        <v>0</v>
      </c>
      <c r="MVT54" s="5">
        <f>-IFERROR('4. NPV'!#REF!/'4. NPV'!MVU$8,0)</f>
        <v>0</v>
      </c>
      <c r="MVU54" s="5">
        <f>-IFERROR('4. NPV'!#REF!/'4. NPV'!MVV$8,0)</f>
        <v>0</v>
      </c>
      <c r="MVV54" s="5">
        <f>-IFERROR('4. NPV'!#REF!/'4. NPV'!MVW$8,0)</f>
        <v>0</v>
      </c>
      <c r="MVW54" s="5">
        <f>-IFERROR('4. NPV'!#REF!/'4. NPV'!MVX$8,0)</f>
        <v>0</v>
      </c>
      <c r="MVX54" s="5">
        <f>-IFERROR('4. NPV'!#REF!/'4. NPV'!MVY$8,0)</f>
        <v>0</v>
      </c>
      <c r="MVY54" s="5">
        <f>-IFERROR('4. NPV'!#REF!/'4. NPV'!MVZ$8,0)</f>
        <v>0</v>
      </c>
      <c r="MVZ54" s="5">
        <f>-IFERROR('4. NPV'!#REF!/'4. NPV'!MWA$8,0)</f>
        <v>0</v>
      </c>
      <c r="MWA54" s="5">
        <f>-IFERROR('4. NPV'!#REF!/'4. NPV'!MWB$8,0)</f>
        <v>0</v>
      </c>
      <c r="MWB54" s="5">
        <f>-IFERROR('4. NPV'!#REF!/'4. NPV'!MWC$8,0)</f>
        <v>0</v>
      </c>
      <c r="MWC54" s="5">
        <f>-IFERROR('4. NPV'!#REF!/'4. NPV'!MWD$8,0)</f>
        <v>0</v>
      </c>
      <c r="MWD54" s="5">
        <f>-IFERROR('4. NPV'!#REF!/'4. NPV'!MWE$8,0)</f>
        <v>0</v>
      </c>
      <c r="MWE54" s="5">
        <f>-IFERROR('4. NPV'!#REF!/'4. NPV'!MWF$8,0)</f>
        <v>0</v>
      </c>
      <c r="MWF54" s="5">
        <f>-IFERROR('4. NPV'!#REF!/'4. NPV'!MWG$8,0)</f>
        <v>0</v>
      </c>
      <c r="MWG54" s="5">
        <f>-IFERROR('4. NPV'!#REF!/'4. NPV'!MWH$8,0)</f>
        <v>0</v>
      </c>
      <c r="MWH54" s="5">
        <f>-IFERROR('4. NPV'!#REF!/'4. NPV'!MWI$8,0)</f>
        <v>0</v>
      </c>
      <c r="MWI54" s="5">
        <f>-IFERROR('4. NPV'!#REF!/'4. NPV'!MWJ$8,0)</f>
        <v>0</v>
      </c>
      <c r="MWJ54" s="5">
        <f>-IFERROR('4. NPV'!#REF!/'4. NPV'!MWK$8,0)</f>
        <v>0</v>
      </c>
      <c r="MWK54" s="5">
        <f>-IFERROR('4. NPV'!#REF!/'4. NPV'!MWL$8,0)</f>
        <v>0</v>
      </c>
      <c r="MWL54" s="5">
        <f>-IFERROR('4. NPV'!#REF!/'4. NPV'!MWM$8,0)</f>
        <v>0</v>
      </c>
      <c r="MWM54" s="5">
        <f>-IFERROR('4. NPV'!#REF!/'4. NPV'!MWN$8,0)</f>
        <v>0</v>
      </c>
      <c r="MWN54" s="5">
        <f>-IFERROR('4. NPV'!#REF!/'4. NPV'!MWO$8,0)</f>
        <v>0</v>
      </c>
      <c r="MWO54" s="5">
        <f>-IFERROR('4. NPV'!#REF!/'4. NPV'!MWP$8,0)</f>
        <v>0</v>
      </c>
      <c r="MWP54" s="5">
        <f>-IFERROR('4. NPV'!#REF!/'4. NPV'!MWQ$8,0)</f>
        <v>0</v>
      </c>
      <c r="MWQ54" s="5">
        <f>-IFERROR('4. NPV'!#REF!/'4. NPV'!MWR$8,0)</f>
        <v>0</v>
      </c>
      <c r="MWR54" s="5">
        <f>-IFERROR('4. NPV'!#REF!/'4. NPV'!MWS$8,0)</f>
        <v>0</v>
      </c>
      <c r="MWS54" s="5">
        <f>-IFERROR('4. NPV'!#REF!/'4. NPV'!MWT$8,0)</f>
        <v>0</v>
      </c>
      <c r="MWT54" s="5">
        <f>-IFERROR('4. NPV'!#REF!/'4. NPV'!MWU$8,0)</f>
        <v>0</v>
      </c>
      <c r="MWU54" s="5">
        <f>-IFERROR('4. NPV'!#REF!/'4. NPV'!MWV$8,0)</f>
        <v>0</v>
      </c>
      <c r="MWV54" s="5">
        <f>-IFERROR('4. NPV'!#REF!/'4. NPV'!MWW$8,0)</f>
        <v>0</v>
      </c>
      <c r="MWW54" s="5">
        <f>-IFERROR('4. NPV'!#REF!/'4. NPV'!MWX$8,0)</f>
        <v>0</v>
      </c>
      <c r="MWX54" s="5">
        <f>-IFERROR('4. NPV'!#REF!/'4. NPV'!MWY$8,0)</f>
        <v>0</v>
      </c>
      <c r="MWY54" s="5">
        <f>-IFERROR('4. NPV'!#REF!/'4. NPV'!MWZ$8,0)</f>
        <v>0</v>
      </c>
      <c r="MWZ54" s="5">
        <f>-IFERROR('4. NPV'!#REF!/'4. NPV'!MXA$8,0)</f>
        <v>0</v>
      </c>
      <c r="MXA54" s="5">
        <f>-IFERROR('4. NPV'!#REF!/'4. NPV'!MXB$8,0)</f>
        <v>0</v>
      </c>
      <c r="MXB54" s="5">
        <f>-IFERROR('4. NPV'!#REF!/'4. NPV'!MXC$8,0)</f>
        <v>0</v>
      </c>
      <c r="MXC54" s="5">
        <f>-IFERROR('4. NPV'!#REF!/'4. NPV'!MXD$8,0)</f>
        <v>0</v>
      </c>
      <c r="MXD54" s="5">
        <f>-IFERROR('4. NPV'!#REF!/'4. NPV'!MXE$8,0)</f>
        <v>0</v>
      </c>
      <c r="MXE54" s="5">
        <f>-IFERROR('4. NPV'!#REF!/'4. NPV'!MXF$8,0)</f>
        <v>0</v>
      </c>
      <c r="MXF54" s="5">
        <f>-IFERROR('4. NPV'!#REF!/'4. NPV'!MXG$8,0)</f>
        <v>0</v>
      </c>
      <c r="MXG54" s="5">
        <f>-IFERROR('4. NPV'!#REF!/'4. NPV'!MXH$8,0)</f>
        <v>0</v>
      </c>
      <c r="MXH54" s="5">
        <f>-IFERROR('4. NPV'!#REF!/'4. NPV'!MXI$8,0)</f>
        <v>0</v>
      </c>
      <c r="MXI54" s="5">
        <f>-IFERROR('4. NPV'!#REF!/'4. NPV'!MXJ$8,0)</f>
        <v>0</v>
      </c>
      <c r="MXJ54" s="5">
        <f>-IFERROR('4. NPV'!#REF!/'4. NPV'!MXK$8,0)</f>
        <v>0</v>
      </c>
      <c r="MXK54" s="5">
        <f>-IFERROR('4. NPV'!#REF!/'4. NPV'!MXL$8,0)</f>
        <v>0</v>
      </c>
      <c r="MXL54" s="5">
        <f>-IFERROR('4. NPV'!#REF!/'4. NPV'!MXM$8,0)</f>
        <v>0</v>
      </c>
      <c r="MXM54" s="5">
        <f>-IFERROR('4. NPV'!#REF!/'4. NPV'!MXN$8,0)</f>
        <v>0</v>
      </c>
      <c r="MXN54" s="5">
        <f>-IFERROR('4. NPV'!#REF!/'4. NPV'!MXO$8,0)</f>
        <v>0</v>
      </c>
      <c r="MXO54" s="5">
        <f>-IFERROR('4. NPV'!#REF!/'4. NPV'!MXP$8,0)</f>
        <v>0</v>
      </c>
      <c r="MXP54" s="5">
        <f>-IFERROR('4. NPV'!#REF!/'4. NPV'!MXQ$8,0)</f>
        <v>0</v>
      </c>
      <c r="MXQ54" s="5">
        <f>-IFERROR('4. NPV'!#REF!/'4. NPV'!MXR$8,0)</f>
        <v>0</v>
      </c>
      <c r="MXR54" s="5">
        <f>-IFERROR('4. NPV'!#REF!/'4. NPV'!MXS$8,0)</f>
        <v>0</v>
      </c>
      <c r="MXS54" s="5">
        <f>-IFERROR('4. NPV'!#REF!/'4. NPV'!MXT$8,0)</f>
        <v>0</v>
      </c>
      <c r="MXT54" s="5">
        <f>-IFERROR('4. NPV'!#REF!/'4. NPV'!MXU$8,0)</f>
        <v>0</v>
      </c>
      <c r="MXU54" s="5">
        <f>-IFERROR('4. NPV'!#REF!/'4. NPV'!MXV$8,0)</f>
        <v>0</v>
      </c>
      <c r="MXV54" s="5">
        <f>-IFERROR('4. NPV'!#REF!/'4. NPV'!MXW$8,0)</f>
        <v>0</v>
      </c>
      <c r="MXW54" s="5">
        <f>-IFERROR('4. NPV'!#REF!/'4. NPV'!MXX$8,0)</f>
        <v>0</v>
      </c>
      <c r="MXX54" s="5">
        <f>-IFERROR('4. NPV'!#REF!/'4. NPV'!MXY$8,0)</f>
        <v>0</v>
      </c>
      <c r="MXY54" s="5">
        <f>-IFERROR('4. NPV'!#REF!/'4. NPV'!MXZ$8,0)</f>
        <v>0</v>
      </c>
      <c r="MXZ54" s="5">
        <f>-IFERROR('4. NPV'!#REF!/'4. NPV'!MYA$8,0)</f>
        <v>0</v>
      </c>
      <c r="MYA54" s="5">
        <f>-IFERROR('4. NPV'!#REF!/'4. NPV'!MYB$8,0)</f>
        <v>0</v>
      </c>
      <c r="MYB54" s="5">
        <f>-IFERROR('4. NPV'!#REF!/'4. NPV'!MYC$8,0)</f>
        <v>0</v>
      </c>
      <c r="MYC54" s="5">
        <f>-IFERROR('4. NPV'!#REF!/'4. NPV'!MYD$8,0)</f>
        <v>0</v>
      </c>
      <c r="MYD54" s="5">
        <f>-IFERROR('4. NPV'!#REF!/'4. NPV'!MYE$8,0)</f>
        <v>0</v>
      </c>
      <c r="MYE54" s="5">
        <f>-IFERROR('4. NPV'!#REF!/'4. NPV'!MYF$8,0)</f>
        <v>0</v>
      </c>
      <c r="MYF54" s="5">
        <f>-IFERROR('4. NPV'!#REF!/'4. NPV'!MYG$8,0)</f>
        <v>0</v>
      </c>
      <c r="MYG54" s="5">
        <f>-IFERROR('4. NPV'!#REF!/'4. NPV'!MYH$8,0)</f>
        <v>0</v>
      </c>
      <c r="MYH54" s="5">
        <f>-IFERROR('4. NPV'!#REF!/'4. NPV'!MYI$8,0)</f>
        <v>0</v>
      </c>
      <c r="MYI54" s="5">
        <f>-IFERROR('4. NPV'!#REF!/'4. NPV'!MYJ$8,0)</f>
        <v>0</v>
      </c>
      <c r="MYJ54" s="5">
        <f>-IFERROR('4. NPV'!#REF!/'4. NPV'!MYK$8,0)</f>
        <v>0</v>
      </c>
      <c r="MYK54" s="5">
        <f>-IFERROR('4. NPV'!#REF!/'4. NPV'!MYL$8,0)</f>
        <v>0</v>
      </c>
      <c r="MYL54" s="5">
        <f>-IFERROR('4. NPV'!#REF!/'4. NPV'!MYM$8,0)</f>
        <v>0</v>
      </c>
      <c r="MYM54" s="5">
        <f>-IFERROR('4. NPV'!#REF!/'4. NPV'!MYN$8,0)</f>
        <v>0</v>
      </c>
      <c r="MYN54" s="5">
        <f>-IFERROR('4. NPV'!#REF!/'4. NPV'!MYO$8,0)</f>
        <v>0</v>
      </c>
      <c r="MYO54" s="5">
        <f>-IFERROR('4. NPV'!#REF!/'4. NPV'!MYP$8,0)</f>
        <v>0</v>
      </c>
      <c r="MYP54" s="5">
        <f>-IFERROR('4. NPV'!#REF!/'4. NPV'!MYQ$8,0)</f>
        <v>0</v>
      </c>
      <c r="MYQ54" s="5">
        <f>-IFERROR('4. NPV'!#REF!/'4. NPV'!MYR$8,0)</f>
        <v>0</v>
      </c>
      <c r="MYR54" s="5">
        <f>-IFERROR('4. NPV'!#REF!/'4. NPV'!MYS$8,0)</f>
        <v>0</v>
      </c>
      <c r="MYS54" s="5">
        <f>-IFERROR('4. NPV'!#REF!/'4. NPV'!MYT$8,0)</f>
        <v>0</v>
      </c>
      <c r="MYT54" s="5">
        <f>-IFERROR('4. NPV'!#REF!/'4. NPV'!MYU$8,0)</f>
        <v>0</v>
      </c>
      <c r="MYU54" s="5">
        <f>-IFERROR('4. NPV'!#REF!/'4. NPV'!MYV$8,0)</f>
        <v>0</v>
      </c>
      <c r="MYV54" s="5">
        <f>-IFERROR('4. NPV'!#REF!/'4. NPV'!MYW$8,0)</f>
        <v>0</v>
      </c>
      <c r="MYW54" s="5">
        <f>-IFERROR('4. NPV'!#REF!/'4. NPV'!MYX$8,0)</f>
        <v>0</v>
      </c>
      <c r="MYX54" s="5">
        <f>-IFERROR('4. NPV'!#REF!/'4. NPV'!MYY$8,0)</f>
        <v>0</v>
      </c>
      <c r="MYY54" s="5">
        <f>-IFERROR('4. NPV'!#REF!/'4. NPV'!MYZ$8,0)</f>
        <v>0</v>
      </c>
      <c r="MYZ54" s="5">
        <f>-IFERROR('4. NPV'!#REF!/'4. NPV'!MZA$8,0)</f>
        <v>0</v>
      </c>
      <c r="MZA54" s="5">
        <f>-IFERROR('4. NPV'!#REF!/'4. NPV'!MZB$8,0)</f>
        <v>0</v>
      </c>
      <c r="MZB54" s="5">
        <f>-IFERROR('4. NPV'!#REF!/'4. NPV'!MZC$8,0)</f>
        <v>0</v>
      </c>
      <c r="MZC54" s="5">
        <f>-IFERROR('4. NPV'!#REF!/'4. NPV'!MZD$8,0)</f>
        <v>0</v>
      </c>
      <c r="MZD54" s="5">
        <f>-IFERROR('4. NPV'!#REF!/'4. NPV'!MZE$8,0)</f>
        <v>0</v>
      </c>
      <c r="MZE54" s="5">
        <f>-IFERROR('4. NPV'!#REF!/'4. NPV'!MZF$8,0)</f>
        <v>0</v>
      </c>
      <c r="MZF54" s="5">
        <f>-IFERROR('4. NPV'!#REF!/'4. NPV'!MZG$8,0)</f>
        <v>0</v>
      </c>
      <c r="MZG54" s="5">
        <f>-IFERROR('4. NPV'!#REF!/'4. NPV'!MZH$8,0)</f>
        <v>0</v>
      </c>
      <c r="MZH54" s="5">
        <f>-IFERROR('4. NPV'!#REF!/'4. NPV'!MZI$8,0)</f>
        <v>0</v>
      </c>
      <c r="MZI54" s="5">
        <f>-IFERROR('4. NPV'!#REF!/'4. NPV'!MZJ$8,0)</f>
        <v>0</v>
      </c>
      <c r="MZJ54" s="5">
        <f>-IFERROR('4. NPV'!#REF!/'4. NPV'!MZK$8,0)</f>
        <v>0</v>
      </c>
      <c r="MZK54" s="5">
        <f>-IFERROR('4. NPV'!#REF!/'4. NPV'!MZL$8,0)</f>
        <v>0</v>
      </c>
      <c r="MZL54" s="5">
        <f>-IFERROR('4. NPV'!#REF!/'4. NPV'!MZM$8,0)</f>
        <v>0</v>
      </c>
      <c r="MZM54" s="5">
        <f>-IFERROR('4. NPV'!#REF!/'4. NPV'!MZN$8,0)</f>
        <v>0</v>
      </c>
      <c r="MZN54" s="5">
        <f>-IFERROR('4. NPV'!#REF!/'4. NPV'!MZO$8,0)</f>
        <v>0</v>
      </c>
      <c r="MZO54" s="5">
        <f>-IFERROR('4. NPV'!#REF!/'4. NPV'!MZP$8,0)</f>
        <v>0</v>
      </c>
      <c r="MZP54" s="5">
        <f>-IFERROR('4. NPV'!#REF!/'4. NPV'!MZQ$8,0)</f>
        <v>0</v>
      </c>
      <c r="MZQ54" s="5">
        <f>-IFERROR('4. NPV'!#REF!/'4. NPV'!MZR$8,0)</f>
        <v>0</v>
      </c>
      <c r="MZR54" s="5">
        <f>-IFERROR('4. NPV'!#REF!/'4. NPV'!MZS$8,0)</f>
        <v>0</v>
      </c>
      <c r="MZS54" s="5">
        <f>-IFERROR('4. NPV'!#REF!/'4. NPV'!MZT$8,0)</f>
        <v>0</v>
      </c>
      <c r="MZT54" s="5">
        <f>-IFERROR('4. NPV'!#REF!/'4. NPV'!MZU$8,0)</f>
        <v>0</v>
      </c>
      <c r="MZU54" s="5">
        <f>-IFERROR('4. NPV'!#REF!/'4. NPV'!MZV$8,0)</f>
        <v>0</v>
      </c>
      <c r="MZV54" s="5">
        <f>-IFERROR('4. NPV'!#REF!/'4. NPV'!MZW$8,0)</f>
        <v>0</v>
      </c>
      <c r="MZW54" s="5">
        <f>-IFERROR('4. NPV'!#REF!/'4. NPV'!MZX$8,0)</f>
        <v>0</v>
      </c>
      <c r="MZX54" s="5">
        <f>-IFERROR('4. NPV'!#REF!/'4. NPV'!MZY$8,0)</f>
        <v>0</v>
      </c>
      <c r="MZY54" s="5">
        <f>-IFERROR('4. NPV'!#REF!/'4. NPV'!MZZ$8,0)</f>
        <v>0</v>
      </c>
      <c r="MZZ54" s="5">
        <f>-IFERROR('4. NPV'!#REF!/'4. NPV'!NAA$8,0)</f>
        <v>0</v>
      </c>
      <c r="NAA54" s="5">
        <f>-IFERROR('4. NPV'!#REF!/'4. NPV'!NAB$8,0)</f>
        <v>0</v>
      </c>
      <c r="NAB54" s="5">
        <f>-IFERROR('4. NPV'!#REF!/'4. NPV'!NAC$8,0)</f>
        <v>0</v>
      </c>
      <c r="NAC54" s="5">
        <f>-IFERROR('4. NPV'!#REF!/'4. NPV'!NAD$8,0)</f>
        <v>0</v>
      </c>
      <c r="NAD54" s="5">
        <f>-IFERROR('4. NPV'!#REF!/'4. NPV'!NAE$8,0)</f>
        <v>0</v>
      </c>
      <c r="NAE54" s="5">
        <f>-IFERROR('4. NPV'!#REF!/'4. NPV'!NAF$8,0)</f>
        <v>0</v>
      </c>
      <c r="NAF54" s="5">
        <f>-IFERROR('4. NPV'!#REF!/'4. NPV'!NAG$8,0)</f>
        <v>0</v>
      </c>
      <c r="NAG54" s="5">
        <f>-IFERROR('4. NPV'!#REF!/'4. NPV'!NAH$8,0)</f>
        <v>0</v>
      </c>
      <c r="NAH54" s="5">
        <f>-IFERROR('4. NPV'!#REF!/'4. NPV'!NAI$8,0)</f>
        <v>0</v>
      </c>
      <c r="NAI54" s="5">
        <f>-IFERROR('4. NPV'!#REF!/'4. NPV'!NAJ$8,0)</f>
        <v>0</v>
      </c>
      <c r="NAJ54" s="5">
        <f>-IFERROR('4. NPV'!#REF!/'4. NPV'!NAK$8,0)</f>
        <v>0</v>
      </c>
      <c r="NAK54" s="5">
        <f>-IFERROR('4. NPV'!#REF!/'4. NPV'!NAL$8,0)</f>
        <v>0</v>
      </c>
      <c r="NAL54" s="5">
        <f>-IFERROR('4. NPV'!#REF!/'4. NPV'!NAM$8,0)</f>
        <v>0</v>
      </c>
      <c r="NAM54" s="5">
        <f>-IFERROR('4. NPV'!#REF!/'4. NPV'!NAN$8,0)</f>
        <v>0</v>
      </c>
      <c r="NAN54" s="5">
        <f>-IFERROR('4. NPV'!#REF!/'4. NPV'!NAO$8,0)</f>
        <v>0</v>
      </c>
      <c r="NAO54" s="5">
        <f>-IFERROR('4. NPV'!#REF!/'4. NPV'!NAP$8,0)</f>
        <v>0</v>
      </c>
      <c r="NAP54" s="5">
        <f>-IFERROR('4. NPV'!#REF!/'4. NPV'!NAQ$8,0)</f>
        <v>0</v>
      </c>
      <c r="NAQ54" s="5">
        <f>-IFERROR('4. NPV'!#REF!/'4. NPV'!NAR$8,0)</f>
        <v>0</v>
      </c>
      <c r="NAR54" s="5">
        <f>-IFERROR('4. NPV'!#REF!/'4. NPV'!NAS$8,0)</f>
        <v>0</v>
      </c>
      <c r="NAS54" s="5">
        <f>-IFERROR('4. NPV'!#REF!/'4. NPV'!NAT$8,0)</f>
        <v>0</v>
      </c>
      <c r="NAT54" s="5">
        <f>-IFERROR('4. NPV'!#REF!/'4. NPV'!NAU$8,0)</f>
        <v>0</v>
      </c>
      <c r="NAU54" s="5">
        <f>-IFERROR('4. NPV'!#REF!/'4. NPV'!NAV$8,0)</f>
        <v>0</v>
      </c>
      <c r="NAV54" s="5">
        <f>-IFERROR('4. NPV'!#REF!/'4. NPV'!NAW$8,0)</f>
        <v>0</v>
      </c>
      <c r="NAW54" s="5">
        <f>-IFERROR('4. NPV'!#REF!/'4. NPV'!NAX$8,0)</f>
        <v>0</v>
      </c>
      <c r="NAX54" s="5">
        <f>-IFERROR('4. NPV'!#REF!/'4. NPV'!NAY$8,0)</f>
        <v>0</v>
      </c>
      <c r="NAY54" s="5">
        <f>-IFERROR('4. NPV'!#REF!/'4. NPV'!NAZ$8,0)</f>
        <v>0</v>
      </c>
      <c r="NAZ54" s="5">
        <f>-IFERROR('4. NPV'!#REF!/'4. NPV'!NBA$8,0)</f>
        <v>0</v>
      </c>
      <c r="NBA54" s="5">
        <f>-IFERROR('4. NPV'!#REF!/'4. NPV'!NBB$8,0)</f>
        <v>0</v>
      </c>
      <c r="NBB54" s="5">
        <f>-IFERROR('4. NPV'!#REF!/'4. NPV'!NBC$8,0)</f>
        <v>0</v>
      </c>
      <c r="NBC54" s="5">
        <f>-IFERROR('4. NPV'!#REF!/'4. NPV'!NBD$8,0)</f>
        <v>0</v>
      </c>
      <c r="NBD54" s="5">
        <f>-IFERROR('4. NPV'!#REF!/'4. NPV'!NBE$8,0)</f>
        <v>0</v>
      </c>
      <c r="NBE54" s="5">
        <f>-IFERROR('4. NPV'!#REF!/'4. NPV'!NBF$8,0)</f>
        <v>0</v>
      </c>
      <c r="NBF54" s="5">
        <f>-IFERROR('4. NPV'!#REF!/'4. NPV'!NBG$8,0)</f>
        <v>0</v>
      </c>
      <c r="NBG54" s="5">
        <f>-IFERROR('4. NPV'!#REF!/'4. NPV'!NBH$8,0)</f>
        <v>0</v>
      </c>
      <c r="NBH54" s="5">
        <f>-IFERROR('4. NPV'!#REF!/'4. NPV'!NBI$8,0)</f>
        <v>0</v>
      </c>
      <c r="NBI54" s="5">
        <f>-IFERROR('4. NPV'!#REF!/'4. NPV'!NBJ$8,0)</f>
        <v>0</v>
      </c>
      <c r="NBJ54" s="5">
        <f>-IFERROR('4. NPV'!#REF!/'4. NPV'!NBK$8,0)</f>
        <v>0</v>
      </c>
      <c r="NBK54" s="5">
        <f>-IFERROR('4. NPV'!#REF!/'4. NPV'!NBL$8,0)</f>
        <v>0</v>
      </c>
      <c r="NBL54" s="5">
        <f>-IFERROR('4. NPV'!#REF!/'4. NPV'!NBM$8,0)</f>
        <v>0</v>
      </c>
      <c r="NBM54" s="5">
        <f>-IFERROR('4. NPV'!#REF!/'4. NPV'!NBN$8,0)</f>
        <v>0</v>
      </c>
      <c r="NBN54" s="5">
        <f>-IFERROR('4. NPV'!#REF!/'4. NPV'!NBO$8,0)</f>
        <v>0</v>
      </c>
      <c r="NBO54" s="5">
        <f>-IFERROR('4. NPV'!#REF!/'4. NPV'!NBP$8,0)</f>
        <v>0</v>
      </c>
      <c r="NBP54" s="5">
        <f>-IFERROR('4. NPV'!#REF!/'4. NPV'!NBQ$8,0)</f>
        <v>0</v>
      </c>
      <c r="NBQ54" s="5">
        <f>-IFERROR('4. NPV'!#REF!/'4. NPV'!NBR$8,0)</f>
        <v>0</v>
      </c>
      <c r="NBR54" s="5">
        <f>-IFERROR('4. NPV'!#REF!/'4. NPV'!NBS$8,0)</f>
        <v>0</v>
      </c>
      <c r="NBS54" s="5">
        <f>-IFERROR('4. NPV'!#REF!/'4. NPV'!NBT$8,0)</f>
        <v>0</v>
      </c>
      <c r="NBT54" s="5">
        <f>-IFERROR('4. NPV'!#REF!/'4. NPV'!NBU$8,0)</f>
        <v>0</v>
      </c>
      <c r="NBU54" s="5">
        <f>-IFERROR('4. NPV'!#REF!/'4. NPV'!NBV$8,0)</f>
        <v>0</v>
      </c>
      <c r="NBV54" s="5">
        <f>-IFERROR('4. NPV'!#REF!/'4. NPV'!NBW$8,0)</f>
        <v>0</v>
      </c>
      <c r="NBW54" s="5">
        <f>-IFERROR('4. NPV'!#REF!/'4. NPV'!NBX$8,0)</f>
        <v>0</v>
      </c>
      <c r="NBX54" s="5">
        <f>-IFERROR('4. NPV'!#REF!/'4. NPV'!NBY$8,0)</f>
        <v>0</v>
      </c>
      <c r="NBY54" s="5">
        <f>-IFERROR('4. NPV'!#REF!/'4. NPV'!NBZ$8,0)</f>
        <v>0</v>
      </c>
      <c r="NBZ54" s="5">
        <f>-IFERROR('4. NPV'!#REF!/'4. NPV'!NCA$8,0)</f>
        <v>0</v>
      </c>
      <c r="NCA54" s="5">
        <f>-IFERROR('4. NPV'!#REF!/'4. NPV'!NCB$8,0)</f>
        <v>0</v>
      </c>
      <c r="NCB54" s="5">
        <f>-IFERROR('4. NPV'!#REF!/'4. NPV'!NCC$8,0)</f>
        <v>0</v>
      </c>
      <c r="NCC54" s="5">
        <f>-IFERROR('4. NPV'!#REF!/'4. NPV'!NCD$8,0)</f>
        <v>0</v>
      </c>
      <c r="NCD54" s="5">
        <f>-IFERROR('4. NPV'!#REF!/'4. NPV'!NCE$8,0)</f>
        <v>0</v>
      </c>
      <c r="NCE54" s="5">
        <f>-IFERROR('4. NPV'!#REF!/'4. NPV'!NCF$8,0)</f>
        <v>0</v>
      </c>
      <c r="NCF54" s="5">
        <f>-IFERROR('4. NPV'!#REF!/'4. NPV'!NCG$8,0)</f>
        <v>0</v>
      </c>
      <c r="NCG54" s="5">
        <f>-IFERROR('4. NPV'!#REF!/'4. NPV'!NCH$8,0)</f>
        <v>0</v>
      </c>
      <c r="NCH54" s="5">
        <f>-IFERROR('4. NPV'!#REF!/'4. NPV'!NCI$8,0)</f>
        <v>0</v>
      </c>
      <c r="NCI54" s="5">
        <f>-IFERROR('4. NPV'!#REF!/'4. NPV'!NCJ$8,0)</f>
        <v>0</v>
      </c>
      <c r="NCJ54" s="5">
        <f>-IFERROR('4. NPV'!#REF!/'4. NPV'!NCK$8,0)</f>
        <v>0</v>
      </c>
      <c r="NCK54" s="5">
        <f>-IFERROR('4. NPV'!#REF!/'4. NPV'!NCL$8,0)</f>
        <v>0</v>
      </c>
      <c r="NCL54" s="5">
        <f>-IFERROR('4. NPV'!#REF!/'4. NPV'!NCM$8,0)</f>
        <v>0</v>
      </c>
      <c r="NCM54" s="5">
        <f>-IFERROR('4. NPV'!#REF!/'4. NPV'!NCN$8,0)</f>
        <v>0</v>
      </c>
      <c r="NCN54" s="5">
        <f>-IFERROR('4. NPV'!#REF!/'4. NPV'!NCO$8,0)</f>
        <v>0</v>
      </c>
      <c r="NCO54" s="5">
        <f>-IFERROR('4. NPV'!#REF!/'4. NPV'!NCP$8,0)</f>
        <v>0</v>
      </c>
      <c r="NCP54" s="5">
        <f>-IFERROR('4. NPV'!#REF!/'4. NPV'!NCQ$8,0)</f>
        <v>0</v>
      </c>
      <c r="NCQ54" s="5">
        <f>-IFERROR('4. NPV'!#REF!/'4. NPV'!NCR$8,0)</f>
        <v>0</v>
      </c>
      <c r="NCR54" s="5">
        <f>-IFERROR('4. NPV'!#REF!/'4. NPV'!NCS$8,0)</f>
        <v>0</v>
      </c>
      <c r="NCS54" s="5">
        <f>-IFERROR('4. NPV'!#REF!/'4. NPV'!NCT$8,0)</f>
        <v>0</v>
      </c>
      <c r="NCT54" s="5">
        <f>-IFERROR('4. NPV'!#REF!/'4. NPV'!NCU$8,0)</f>
        <v>0</v>
      </c>
      <c r="NCU54" s="5">
        <f>-IFERROR('4. NPV'!#REF!/'4. NPV'!NCV$8,0)</f>
        <v>0</v>
      </c>
      <c r="NCV54" s="5">
        <f>-IFERROR('4. NPV'!#REF!/'4. NPV'!NCW$8,0)</f>
        <v>0</v>
      </c>
      <c r="NCW54" s="5">
        <f>-IFERROR('4. NPV'!#REF!/'4. NPV'!NCX$8,0)</f>
        <v>0</v>
      </c>
      <c r="NCX54" s="5">
        <f>-IFERROR('4. NPV'!#REF!/'4. NPV'!NCY$8,0)</f>
        <v>0</v>
      </c>
      <c r="NCY54" s="5">
        <f>-IFERROR('4. NPV'!#REF!/'4. NPV'!NCZ$8,0)</f>
        <v>0</v>
      </c>
      <c r="NCZ54" s="5">
        <f>-IFERROR('4. NPV'!#REF!/'4. NPV'!NDA$8,0)</f>
        <v>0</v>
      </c>
      <c r="NDA54" s="5">
        <f>-IFERROR('4. NPV'!#REF!/'4. NPV'!NDB$8,0)</f>
        <v>0</v>
      </c>
      <c r="NDB54" s="5">
        <f>-IFERROR('4. NPV'!#REF!/'4. NPV'!NDC$8,0)</f>
        <v>0</v>
      </c>
      <c r="NDC54" s="5">
        <f>-IFERROR('4. NPV'!#REF!/'4. NPV'!NDD$8,0)</f>
        <v>0</v>
      </c>
      <c r="NDD54" s="5">
        <f>-IFERROR('4. NPV'!#REF!/'4. NPV'!NDE$8,0)</f>
        <v>0</v>
      </c>
      <c r="NDE54" s="5">
        <f>-IFERROR('4. NPV'!#REF!/'4. NPV'!NDF$8,0)</f>
        <v>0</v>
      </c>
      <c r="NDF54" s="5">
        <f>-IFERROR('4. NPV'!#REF!/'4. NPV'!NDG$8,0)</f>
        <v>0</v>
      </c>
      <c r="NDG54" s="5">
        <f>-IFERROR('4. NPV'!#REF!/'4. NPV'!NDH$8,0)</f>
        <v>0</v>
      </c>
      <c r="NDH54" s="5">
        <f>-IFERROR('4. NPV'!#REF!/'4. NPV'!NDI$8,0)</f>
        <v>0</v>
      </c>
      <c r="NDI54" s="5">
        <f>-IFERROR('4. NPV'!#REF!/'4. NPV'!NDJ$8,0)</f>
        <v>0</v>
      </c>
      <c r="NDJ54" s="5">
        <f>-IFERROR('4. NPV'!#REF!/'4. NPV'!NDK$8,0)</f>
        <v>0</v>
      </c>
      <c r="NDK54" s="5">
        <f>-IFERROR('4. NPV'!#REF!/'4. NPV'!NDL$8,0)</f>
        <v>0</v>
      </c>
      <c r="NDL54" s="5">
        <f>-IFERROR('4. NPV'!#REF!/'4. NPV'!NDM$8,0)</f>
        <v>0</v>
      </c>
      <c r="NDM54" s="5">
        <f>-IFERROR('4. NPV'!#REF!/'4. NPV'!NDN$8,0)</f>
        <v>0</v>
      </c>
      <c r="NDN54" s="5">
        <f>-IFERROR('4. NPV'!#REF!/'4. NPV'!NDO$8,0)</f>
        <v>0</v>
      </c>
      <c r="NDO54" s="5">
        <f>-IFERROR('4. NPV'!#REF!/'4. NPV'!NDP$8,0)</f>
        <v>0</v>
      </c>
      <c r="NDP54" s="5">
        <f>-IFERROR('4. NPV'!#REF!/'4. NPV'!NDQ$8,0)</f>
        <v>0</v>
      </c>
      <c r="NDQ54" s="5">
        <f>-IFERROR('4. NPV'!#REF!/'4. NPV'!NDR$8,0)</f>
        <v>0</v>
      </c>
      <c r="NDR54" s="5">
        <f>-IFERROR('4. NPV'!#REF!/'4. NPV'!NDS$8,0)</f>
        <v>0</v>
      </c>
      <c r="NDS54" s="5">
        <f>-IFERROR('4. NPV'!#REF!/'4. NPV'!NDT$8,0)</f>
        <v>0</v>
      </c>
      <c r="NDT54" s="5">
        <f>-IFERROR('4. NPV'!#REF!/'4. NPV'!NDU$8,0)</f>
        <v>0</v>
      </c>
      <c r="NDU54" s="5">
        <f>-IFERROR('4. NPV'!#REF!/'4. NPV'!NDV$8,0)</f>
        <v>0</v>
      </c>
      <c r="NDV54" s="5">
        <f>-IFERROR('4. NPV'!#REF!/'4. NPV'!NDW$8,0)</f>
        <v>0</v>
      </c>
      <c r="NDW54" s="5">
        <f>-IFERROR('4. NPV'!#REF!/'4. NPV'!NDX$8,0)</f>
        <v>0</v>
      </c>
      <c r="NDX54" s="5">
        <f>-IFERROR('4. NPV'!#REF!/'4. NPV'!NDY$8,0)</f>
        <v>0</v>
      </c>
      <c r="NDY54" s="5">
        <f>-IFERROR('4. NPV'!#REF!/'4. NPV'!NDZ$8,0)</f>
        <v>0</v>
      </c>
      <c r="NDZ54" s="5">
        <f>-IFERROR('4. NPV'!#REF!/'4. NPV'!NEA$8,0)</f>
        <v>0</v>
      </c>
      <c r="NEA54" s="5">
        <f>-IFERROR('4. NPV'!#REF!/'4. NPV'!NEB$8,0)</f>
        <v>0</v>
      </c>
      <c r="NEB54" s="5">
        <f>-IFERROR('4. NPV'!#REF!/'4. NPV'!NEC$8,0)</f>
        <v>0</v>
      </c>
      <c r="NEC54" s="5">
        <f>-IFERROR('4. NPV'!#REF!/'4. NPV'!NED$8,0)</f>
        <v>0</v>
      </c>
      <c r="NED54" s="5">
        <f>-IFERROR('4. NPV'!#REF!/'4. NPV'!NEE$8,0)</f>
        <v>0</v>
      </c>
      <c r="NEE54" s="5">
        <f>-IFERROR('4. NPV'!#REF!/'4. NPV'!NEF$8,0)</f>
        <v>0</v>
      </c>
      <c r="NEF54" s="5">
        <f>-IFERROR('4. NPV'!#REF!/'4. NPV'!NEG$8,0)</f>
        <v>0</v>
      </c>
      <c r="NEG54" s="5">
        <f>-IFERROR('4. NPV'!#REF!/'4. NPV'!NEH$8,0)</f>
        <v>0</v>
      </c>
      <c r="NEH54" s="5">
        <f>-IFERROR('4. NPV'!#REF!/'4. NPV'!NEI$8,0)</f>
        <v>0</v>
      </c>
      <c r="NEI54" s="5">
        <f>-IFERROR('4. NPV'!#REF!/'4. NPV'!NEJ$8,0)</f>
        <v>0</v>
      </c>
      <c r="NEJ54" s="5">
        <f>-IFERROR('4. NPV'!#REF!/'4. NPV'!NEK$8,0)</f>
        <v>0</v>
      </c>
      <c r="NEK54" s="5">
        <f>-IFERROR('4. NPV'!#REF!/'4. NPV'!NEL$8,0)</f>
        <v>0</v>
      </c>
      <c r="NEL54" s="5">
        <f>-IFERROR('4. NPV'!#REF!/'4. NPV'!NEM$8,0)</f>
        <v>0</v>
      </c>
      <c r="NEM54" s="5">
        <f>-IFERROR('4. NPV'!#REF!/'4. NPV'!NEN$8,0)</f>
        <v>0</v>
      </c>
      <c r="NEN54" s="5">
        <f>-IFERROR('4. NPV'!#REF!/'4. NPV'!NEO$8,0)</f>
        <v>0</v>
      </c>
      <c r="NEO54" s="5">
        <f>-IFERROR('4. NPV'!#REF!/'4. NPV'!NEP$8,0)</f>
        <v>0</v>
      </c>
      <c r="NEP54" s="5">
        <f>-IFERROR('4. NPV'!#REF!/'4. NPV'!NEQ$8,0)</f>
        <v>0</v>
      </c>
      <c r="NEQ54" s="5">
        <f>-IFERROR('4. NPV'!#REF!/'4. NPV'!NER$8,0)</f>
        <v>0</v>
      </c>
      <c r="NER54" s="5">
        <f>-IFERROR('4. NPV'!#REF!/'4. NPV'!NES$8,0)</f>
        <v>0</v>
      </c>
      <c r="NES54" s="5">
        <f>-IFERROR('4. NPV'!#REF!/'4. NPV'!NET$8,0)</f>
        <v>0</v>
      </c>
      <c r="NET54" s="5">
        <f>-IFERROR('4. NPV'!#REF!/'4. NPV'!NEU$8,0)</f>
        <v>0</v>
      </c>
      <c r="NEU54" s="5">
        <f>-IFERROR('4. NPV'!#REF!/'4. NPV'!NEV$8,0)</f>
        <v>0</v>
      </c>
      <c r="NEV54" s="5">
        <f>-IFERROR('4. NPV'!#REF!/'4. NPV'!NEW$8,0)</f>
        <v>0</v>
      </c>
      <c r="NEW54" s="5">
        <f>-IFERROR('4. NPV'!#REF!/'4. NPV'!NEX$8,0)</f>
        <v>0</v>
      </c>
      <c r="NEX54" s="5">
        <f>-IFERROR('4. NPV'!#REF!/'4. NPV'!NEY$8,0)</f>
        <v>0</v>
      </c>
      <c r="NEY54" s="5">
        <f>-IFERROR('4. NPV'!#REF!/'4. NPV'!NEZ$8,0)</f>
        <v>0</v>
      </c>
      <c r="NEZ54" s="5">
        <f>-IFERROR('4. NPV'!#REF!/'4. NPV'!NFA$8,0)</f>
        <v>0</v>
      </c>
      <c r="NFA54" s="5">
        <f>-IFERROR('4. NPV'!#REF!/'4. NPV'!NFB$8,0)</f>
        <v>0</v>
      </c>
      <c r="NFB54" s="5">
        <f>-IFERROR('4. NPV'!#REF!/'4. NPV'!NFC$8,0)</f>
        <v>0</v>
      </c>
      <c r="NFC54" s="5">
        <f>-IFERROR('4. NPV'!#REF!/'4. NPV'!NFD$8,0)</f>
        <v>0</v>
      </c>
      <c r="NFD54" s="5">
        <f>-IFERROR('4. NPV'!#REF!/'4. NPV'!NFE$8,0)</f>
        <v>0</v>
      </c>
      <c r="NFE54" s="5">
        <f>-IFERROR('4. NPV'!#REF!/'4. NPV'!NFF$8,0)</f>
        <v>0</v>
      </c>
      <c r="NFF54" s="5">
        <f>-IFERROR('4. NPV'!#REF!/'4. NPV'!NFG$8,0)</f>
        <v>0</v>
      </c>
      <c r="NFG54" s="5">
        <f>-IFERROR('4. NPV'!#REF!/'4. NPV'!NFH$8,0)</f>
        <v>0</v>
      </c>
      <c r="NFH54" s="5">
        <f>-IFERROR('4. NPV'!#REF!/'4. NPV'!NFI$8,0)</f>
        <v>0</v>
      </c>
      <c r="NFI54" s="5">
        <f>-IFERROR('4. NPV'!#REF!/'4. NPV'!NFJ$8,0)</f>
        <v>0</v>
      </c>
      <c r="NFJ54" s="5">
        <f>-IFERROR('4. NPV'!#REF!/'4. NPV'!NFK$8,0)</f>
        <v>0</v>
      </c>
      <c r="NFK54" s="5">
        <f>-IFERROR('4. NPV'!#REF!/'4. NPV'!NFL$8,0)</f>
        <v>0</v>
      </c>
      <c r="NFL54" s="5">
        <f>-IFERROR('4. NPV'!#REF!/'4. NPV'!NFM$8,0)</f>
        <v>0</v>
      </c>
      <c r="NFM54" s="5">
        <f>-IFERROR('4. NPV'!#REF!/'4. NPV'!NFN$8,0)</f>
        <v>0</v>
      </c>
      <c r="NFN54" s="5">
        <f>-IFERROR('4. NPV'!#REF!/'4. NPV'!NFO$8,0)</f>
        <v>0</v>
      </c>
      <c r="NFO54" s="5">
        <f>-IFERROR('4. NPV'!#REF!/'4. NPV'!NFP$8,0)</f>
        <v>0</v>
      </c>
      <c r="NFP54" s="5">
        <f>-IFERROR('4. NPV'!#REF!/'4. NPV'!NFQ$8,0)</f>
        <v>0</v>
      </c>
      <c r="NFQ54" s="5">
        <f>-IFERROR('4. NPV'!#REF!/'4. NPV'!NFR$8,0)</f>
        <v>0</v>
      </c>
      <c r="NFR54" s="5">
        <f>-IFERROR('4. NPV'!#REF!/'4. NPV'!NFS$8,0)</f>
        <v>0</v>
      </c>
      <c r="NFS54" s="5">
        <f>-IFERROR('4. NPV'!#REF!/'4. NPV'!NFT$8,0)</f>
        <v>0</v>
      </c>
      <c r="NFT54" s="5">
        <f>-IFERROR('4. NPV'!#REF!/'4. NPV'!NFU$8,0)</f>
        <v>0</v>
      </c>
      <c r="NFU54" s="5">
        <f>-IFERROR('4. NPV'!#REF!/'4. NPV'!NFV$8,0)</f>
        <v>0</v>
      </c>
      <c r="NFV54" s="5">
        <f>-IFERROR('4. NPV'!#REF!/'4. NPV'!NFW$8,0)</f>
        <v>0</v>
      </c>
      <c r="NFW54" s="5">
        <f>-IFERROR('4. NPV'!#REF!/'4. NPV'!NFX$8,0)</f>
        <v>0</v>
      </c>
      <c r="NFX54" s="5">
        <f>-IFERROR('4. NPV'!#REF!/'4. NPV'!NFY$8,0)</f>
        <v>0</v>
      </c>
      <c r="NFY54" s="5">
        <f>-IFERROR('4. NPV'!#REF!/'4. NPV'!NFZ$8,0)</f>
        <v>0</v>
      </c>
      <c r="NFZ54" s="5">
        <f>-IFERROR('4. NPV'!#REF!/'4. NPV'!NGA$8,0)</f>
        <v>0</v>
      </c>
      <c r="NGA54" s="5">
        <f>-IFERROR('4. NPV'!#REF!/'4. NPV'!NGB$8,0)</f>
        <v>0</v>
      </c>
      <c r="NGB54" s="5">
        <f>-IFERROR('4. NPV'!#REF!/'4. NPV'!NGC$8,0)</f>
        <v>0</v>
      </c>
      <c r="NGC54" s="5">
        <f>-IFERROR('4. NPV'!#REF!/'4. NPV'!NGD$8,0)</f>
        <v>0</v>
      </c>
      <c r="NGD54" s="5">
        <f>-IFERROR('4. NPV'!#REF!/'4. NPV'!NGE$8,0)</f>
        <v>0</v>
      </c>
      <c r="NGE54" s="5">
        <f>-IFERROR('4. NPV'!#REF!/'4. NPV'!NGF$8,0)</f>
        <v>0</v>
      </c>
      <c r="NGF54" s="5">
        <f>-IFERROR('4. NPV'!#REF!/'4. NPV'!NGG$8,0)</f>
        <v>0</v>
      </c>
      <c r="NGG54" s="5">
        <f>-IFERROR('4. NPV'!#REF!/'4. NPV'!NGH$8,0)</f>
        <v>0</v>
      </c>
      <c r="NGH54" s="5">
        <f>-IFERROR('4. NPV'!#REF!/'4. NPV'!NGI$8,0)</f>
        <v>0</v>
      </c>
      <c r="NGI54" s="5">
        <f>-IFERROR('4. NPV'!#REF!/'4. NPV'!NGJ$8,0)</f>
        <v>0</v>
      </c>
      <c r="NGJ54" s="5">
        <f>-IFERROR('4. NPV'!#REF!/'4. NPV'!NGK$8,0)</f>
        <v>0</v>
      </c>
      <c r="NGK54" s="5">
        <f>-IFERROR('4. NPV'!#REF!/'4. NPV'!NGL$8,0)</f>
        <v>0</v>
      </c>
      <c r="NGL54" s="5">
        <f>-IFERROR('4. NPV'!#REF!/'4. NPV'!NGM$8,0)</f>
        <v>0</v>
      </c>
      <c r="NGM54" s="5">
        <f>-IFERROR('4. NPV'!#REF!/'4. NPV'!NGN$8,0)</f>
        <v>0</v>
      </c>
      <c r="NGN54" s="5">
        <f>-IFERROR('4. NPV'!#REF!/'4. NPV'!NGO$8,0)</f>
        <v>0</v>
      </c>
      <c r="NGO54" s="5">
        <f>-IFERROR('4. NPV'!#REF!/'4. NPV'!NGP$8,0)</f>
        <v>0</v>
      </c>
      <c r="NGP54" s="5">
        <f>-IFERROR('4. NPV'!#REF!/'4. NPV'!NGQ$8,0)</f>
        <v>0</v>
      </c>
      <c r="NGQ54" s="5">
        <f>-IFERROR('4. NPV'!#REF!/'4. NPV'!NGR$8,0)</f>
        <v>0</v>
      </c>
      <c r="NGR54" s="5">
        <f>-IFERROR('4. NPV'!#REF!/'4. NPV'!NGS$8,0)</f>
        <v>0</v>
      </c>
      <c r="NGS54" s="5">
        <f>-IFERROR('4. NPV'!#REF!/'4. NPV'!NGT$8,0)</f>
        <v>0</v>
      </c>
      <c r="NGT54" s="5">
        <f>-IFERROR('4. NPV'!#REF!/'4. NPV'!NGU$8,0)</f>
        <v>0</v>
      </c>
      <c r="NGU54" s="5">
        <f>-IFERROR('4. NPV'!#REF!/'4. NPV'!NGV$8,0)</f>
        <v>0</v>
      </c>
      <c r="NGV54" s="5">
        <f>-IFERROR('4. NPV'!#REF!/'4. NPV'!NGW$8,0)</f>
        <v>0</v>
      </c>
      <c r="NGW54" s="5">
        <f>-IFERROR('4. NPV'!#REF!/'4. NPV'!NGX$8,0)</f>
        <v>0</v>
      </c>
      <c r="NGX54" s="5">
        <f>-IFERROR('4. NPV'!#REF!/'4. NPV'!NGY$8,0)</f>
        <v>0</v>
      </c>
      <c r="NGY54" s="5">
        <f>-IFERROR('4. NPV'!#REF!/'4. NPV'!NGZ$8,0)</f>
        <v>0</v>
      </c>
      <c r="NGZ54" s="5">
        <f>-IFERROR('4. NPV'!#REF!/'4. NPV'!NHA$8,0)</f>
        <v>0</v>
      </c>
      <c r="NHA54" s="5">
        <f>-IFERROR('4. NPV'!#REF!/'4. NPV'!NHB$8,0)</f>
        <v>0</v>
      </c>
      <c r="NHB54" s="5">
        <f>-IFERROR('4. NPV'!#REF!/'4. NPV'!NHC$8,0)</f>
        <v>0</v>
      </c>
      <c r="NHC54" s="5">
        <f>-IFERROR('4. NPV'!#REF!/'4. NPV'!NHD$8,0)</f>
        <v>0</v>
      </c>
      <c r="NHD54" s="5">
        <f>-IFERROR('4. NPV'!#REF!/'4. NPV'!NHE$8,0)</f>
        <v>0</v>
      </c>
      <c r="NHE54" s="5">
        <f>-IFERROR('4. NPV'!#REF!/'4. NPV'!NHF$8,0)</f>
        <v>0</v>
      </c>
      <c r="NHF54" s="5">
        <f>-IFERROR('4. NPV'!#REF!/'4. NPV'!NHG$8,0)</f>
        <v>0</v>
      </c>
      <c r="NHG54" s="5">
        <f>-IFERROR('4. NPV'!#REF!/'4. NPV'!NHH$8,0)</f>
        <v>0</v>
      </c>
      <c r="NHH54" s="5">
        <f>-IFERROR('4. NPV'!#REF!/'4. NPV'!NHI$8,0)</f>
        <v>0</v>
      </c>
      <c r="NHI54" s="5">
        <f>-IFERROR('4. NPV'!#REF!/'4. NPV'!NHJ$8,0)</f>
        <v>0</v>
      </c>
      <c r="NHJ54" s="5">
        <f>-IFERROR('4. NPV'!#REF!/'4. NPV'!NHK$8,0)</f>
        <v>0</v>
      </c>
      <c r="NHK54" s="5">
        <f>-IFERROR('4. NPV'!#REF!/'4. NPV'!NHL$8,0)</f>
        <v>0</v>
      </c>
      <c r="NHL54" s="5">
        <f>-IFERROR('4. NPV'!#REF!/'4. NPV'!NHM$8,0)</f>
        <v>0</v>
      </c>
      <c r="NHM54" s="5">
        <f>-IFERROR('4. NPV'!#REF!/'4. NPV'!NHN$8,0)</f>
        <v>0</v>
      </c>
      <c r="NHN54" s="5">
        <f>-IFERROR('4. NPV'!#REF!/'4. NPV'!NHO$8,0)</f>
        <v>0</v>
      </c>
      <c r="NHO54" s="5">
        <f>-IFERROR('4. NPV'!#REF!/'4. NPV'!NHP$8,0)</f>
        <v>0</v>
      </c>
      <c r="NHP54" s="5">
        <f>-IFERROR('4. NPV'!#REF!/'4. NPV'!NHQ$8,0)</f>
        <v>0</v>
      </c>
      <c r="NHQ54" s="5">
        <f>-IFERROR('4. NPV'!#REF!/'4. NPV'!NHR$8,0)</f>
        <v>0</v>
      </c>
      <c r="NHR54" s="5">
        <f>-IFERROR('4. NPV'!#REF!/'4. NPV'!NHS$8,0)</f>
        <v>0</v>
      </c>
      <c r="NHS54" s="5">
        <f>-IFERROR('4. NPV'!#REF!/'4. NPV'!NHT$8,0)</f>
        <v>0</v>
      </c>
      <c r="NHT54" s="5">
        <f>-IFERROR('4. NPV'!#REF!/'4. NPV'!NHU$8,0)</f>
        <v>0</v>
      </c>
      <c r="NHU54" s="5">
        <f>-IFERROR('4. NPV'!#REF!/'4. NPV'!NHV$8,0)</f>
        <v>0</v>
      </c>
      <c r="NHV54" s="5">
        <f>-IFERROR('4. NPV'!#REF!/'4. NPV'!NHW$8,0)</f>
        <v>0</v>
      </c>
      <c r="NHW54" s="5">
        <f>-IFERROR('4. NPV'!#REF!/'4. NPV'!NHX$8,0)</f>
        <v>0</v>
      </c>
      <c r="NHX54" s="5">
        <f>-IFERROR('4. NPV'!#REF!/'4. NPV'!NHY$8,0)</f>
        <v>0</v>
      </c>
      <c r="NHY54" s="5">
        <f>-IFERROR('4. NPV'!#REF!/'4. NPV'!NHZ$8,0)</f>
        <v>0</v>
      </c>
      <c r="NHZ54" s="5">
        <f>-IFERROR('4. NPV'!#REF!/'4. NPV'!NIA$8,0)</f>
        <v>0</v>
      </c>
      <c r="NIA54" s="5">
        <f>-IFERROR('4. NPV'!#REF!/'4. NPV'!NIB$8,0)</f>
        <v>0</v>
      </c>
      <c r="NIB54" s="5">
        <f>-IFERROR('4. NPV'!#REF!/'4. NPV'!NIC$8,0)</f>
        <v>0</v>
      </c>
      <c r="NIC54" s="5">
        <f>-IFERROR('4. NPV'!#REF!/'4. NPV'!NID$8,0)</f>
        <v>0</v>
      </c>
      <c r="NID54" s="5">
        <f>-IFERROR('4. NPV'!#REF!/'4. NPV'!NIE$8,0)</f>
        <v>0</v>
      </c>
      <c r="NIE54" s="5">
        <f>-IFERROR('4. NPV'!#REF!/'4. NPV'!NIF$8,0)</f>
        <v>0</v>
      </c>
      <c r="NIF54" s="5">
        <f>-IFERROR('4. NPV'!#REF!/'4. NPV'!NIG$8,0)</f>
        <v>0</v>
      </c>
      <c r="NIG54" s="5">
        <f>-IFERROR('4. NPV'!#REF!/'4. NPV'!NIH$8,0)</f>
        <v>0</v>
      </c>
      <c r="NIH54" s="5">
        <f>-IFERROR('4. NPV'!#REF!/'4. NPV'!NII$8,0)</f>
        <v>0</v>
      </c>
      <c r="NII54" s="5">
        <f>-IFERROR('4. NPV'!#REF!/'4. NPV'!NIJ$8,0)</f>
        <v>0</v>
      </c>
      <c r="NIJ54" s="5">
        <f>-IFERROR('4. NPV'!#REF!/'4. NPV'!NIK$8,0)</f>
        <v>0</v>
      </c>
      <c r="NIK54" s="5">
        <f>-IFERROR('4. NPV'!#REF!/'4. NPV'!NIL$8,0)</f>
        <v>0</v>
      </c>
      <c r="NIL54" s="5">
        <f>-IFERROR('4. NPV'!#REF!/'4. NPV'!NIM$8,0)</f>
        <v>0</v>
      </c>
      <c r="NIM54" s="5">
        <f>-IFERROR('4. NPV'!#REF!/'4. NPV'!NIN$8,0)</f>
        <v>0</v>
      </c>
      <c r="NIN54" s="5">
        <f>-IFERROR('4. NPV'!#REF!/'4. NPV'!NIO$8,0)</f>
        <v>0</v>
      </c>
      <c r="NIO54" s="5">
        <f>-IFERROR('4. NPV'!#REF!/'4. NPV'!NIP$8,0)</f>
        <v>0</v>
      </c>
      <c r="NIP54" s="5">
        <f>-IFERROR('4. NPV'!#REF!/'4. NPV'!NIQ$8,0)</f>
        <v>0</v>
      </c>
      <c r="NIQ54" s="5">
        <f>-IFERROR('4. NPV'!#REF!/'4. NPV'!NIR$8,0)</f>
        <v>0</v>
      </c>
      <c r="NIR54" s="5">
        <f>-IFERROR('4. NPV'!#REF!/'4. NPV'!NIS$8,0)</f>
        <v>0</v>
      </c>
      <c r="NIS54" s="5">
        <f>-IFERROR('4. NPV'!#REF!/'4. NPV'!NIT$8,0)</f>
        <v>0</v>
      </c>
      <c r="NIT54" s="5">
        <f>-IFERROR('4. NPV'!#REF!/'4. NPV'!NIU$8,0)</f>
        <v>0</v>
      </c>
      <c r="NIU54" s="5">
        <f>-IFERROR('4. NPV'!#REF!/'4. NPV'!NIV$8,0)</f>
        <v>0</v>
      </c>
      <c r="NIV54" s="5">
        <f>-IFERROR('4. NPV'!#REF!/'4. NPV'!NIW$8,0)</f>
        <v>0</v>
      </c>
      <c r="NIW54" s="5">
        <f>-IFERROR('4. NPV'!#REF!/'4. NPV'!NIX$8,0)</f>
        <v>0</v>
      </c>
      <c r="NIX54" s="5">
        <f>-IFERROR('4. NPV'!#REF!/'4. NPV'!NIY$8,0)</f>
        <v>0</v>
      </c>
      <c r="NIY54" s="5">
        <f>-IFERROR('4. NPV'!#REF!/'4. NPV'!NIZ$8,0)</f>
        <v>0</v>
      </c>
      <c r="NIZ54" s="5">
        <f>-IFERROR('4. NPV'!#REF!/'4. NPV'!NJA$8,0)</f>
        <v>0</v>
      </c>
      <c r="NJA54" s="5">
        <f>-IFERROR('4. NPV'!#REF!/'4. NPV'!NJB$8,0)</f>
        <v>0</v>
      </c>
      <c r="NJB54" s="5">
        <f>-IFERROR('4. NPV'!#REF!/'4. NPV'!NJC$8,0)</f>
        <v>0</v>
      </c>
      <c r="NJC54" s="5">
        <f>-IFERROR('4. NPV'!#REF!/'4. NPV'!NJD$8,0)</f>
        <v>0</v>
      </c>
      <c r="NJD54" s="5">
        <f>-IFERROR('4. NPV'!#REF!/'4. NPV'!NJE$8,0)</f>
        <v>0</v>
      </c>
      <c r="NJE54" s="5">
        <f>-IFERROR('4. NPV'!#REF!/'4. NPV'!NJF$8,0)</f>
        <v>0</v>
      </c>
      <c r="NJF54" s="5">
        <f>-IFERROR('4. NPV'!#REF!/'4. NPV'!NJG$8,0)</f>
        <v>0</v>
      </c>
      <c r="NJG54" s="5">
        <f>-IFERROR('4. NPV'!#REF!/'4. NPV'!NJH$8,0)</f>
        <v>0</v>
      </c>
      <c r="NJH54" s="5">
        <f>-IFERROR('4. NPV'!#REF!/'4. NPV'!NJI$8,0)</f>
        <v>0</v>
      </c>
      <c r="NJI54" s="5">
        <f>-IFERROR('4. NPV'!#REF!/'4. NPV'!NJJ$8,0)</f>
        <v>0</v>
      </c>
      <c r="NJJ54" s="5">
        <f>-IFERROR('4. NPV'!#REF!/'4. NPV'!NJK$8,0)</f>
        <v>0</v>
      </c>
      <c r="NJK54" s="5">
        <f>-IFERROR('4. NPV'!#REF!/'4. NPV'!NJL$8,0)</f>
        <v>0</v>
      </c>
      <c r="NJL54" s="5">
        <f>-IFERROR('4. NPV'!#REF!/'4. NPV'!NJM$8,0)</f>
        <v>0</v>
      </c>
      <c r="NJM54" s="5">
        <f>-IFERROR('4. NPV'!#REF!/'4. NPV'!NJN$8,0)</f>
        <v>0</v>
      </c>
      <c r="NJN54" s="5">
        <f>-IFERROR('4. NPV'!#REF!/'4. NPV'!NJO$8,0)</f>
        <v>0</v>
      </c>
      <c r="NJO54" s="5">
        <f>-IFERROR('4. NPV'!#REF!/'4. NPV'!NJP$8,0)</f>
        <v>0</v>
      </c>
      <c r="NJP54" s="5">
        <f>-IFERROR('4. NPV'!#REF!/'4. NPV'!NJQ$8,0)</f>
        <v>0</v>
      </c>
      <c r="NJQ54" s="5">
        <f>-IFERROR('4. NPV'!#REF!/'4. NPV'!NJR$8,0)</f>
        <v>0</v>
      </c>
      <c r="NJR54" s="5">
        <f>-IFERROR('4. NPV'!#REF!/'4. NPV'!NJS$8,0)</f>
        <v>0</v>
      </c>
      <c r="NJS54" s="5">
        <f>-IFERROR('4. NPV'!#REF!/'4. NPV'!NJT$8,0)</f>
        <v>0</v>
      </c>
      <c r="NJT54" s="5">
        <f>-IFERROR('4. NPV'!#REF!/'4. NPV'!NJU$8,0)</f>
        <v>0</v>
      </c>
      <c r="NJU54" s="5">
        <f>-IFERROR('4. NPV'!#REF!/'4. NPV'!NJV$8,0)</f>
        <v>0</v>
      </c>
      <c r="NJV54" s="5">
        <f>-IFERROR('4. NPV'!#REF!/'4. NPV'!NJW$8,0)</f>
        <v>0</v>
      </c>
      <c r="NJW54" s="5">
        <f>-IFERROR('4. NPV'!#REF!/'4. NPV'!NJX$8,0)</f>
        <v>0</v>
      </c>
      <c r="NJX54" s="5">
        <f>-IFERROR('4. NPV'!#REF!/'4. NPV'!NJY$8,0)</f>
        <v>0</v>
      </c>
      <c r="NJY54" s="5">
        <f>-IFERROR('4. NPV'!#REF!/'4. NPV'!NJZ$8,0)</f>
        <v>0</v>
      </c>
      <c r="NJZ54" s="5">
        <f>-IFERROR('4. NPV'!#REF!/'4. NPV'!NKA$8,0)</f>
        <v>0</v>
      </c>
      <c r="NKA54" s="5">
        <f>-IFERROR('4. NPV'!#REF!/'4. NPV'!NKB$8,0)</f>
        <v>0</v>
      </c>
      <c r="NKB54" s="5">
        <f>-IFERROR('4. NPV'!#REF!/'4. NPV'!NKC$8,0)</f>
        <v>0</v>
      </c>
      <c r="NKC54" s="5">
        <f>-IFERROR('4. NPV'!#REF!/'4. NPV'!NKD$8,0)</f>
        <v>0</v>
      </c>
      <c r="NKD54" s="5">
        <f>-IFERROR('4. NPV'!#REF!/'4. NPV'!NKE$8,0)</f>
        <v>0</v>
      </c>
      <c r="NKE54" s="5">
        <f>-IFERROR('4. NPV'!#REF!/'4. NPV'!NKF$8,0)</f>
        <v>0</v>
      </c>
      <c r="NKF54" s="5">
        <f>-IFERROR('4. NPV'!#REF!/'4. NPV'!NKG$8,0)</f>
        <v>0</v>
      </c>
      <c r="NKG54" s="5">
        <f>-IFERROR('4. NPV'!#REF!/'4. NPV'!NKH$8,0)</f>
        <v>0</v>
      </c>
      <c r="NKH54" s="5">
        <f>-IFERROR('4. NPV'!#REF!/'4. NPV'!NKI$8,0)</f>
        <v>0</v>
      </c>
      <c r="NKI54" s="5">
        <f>-IFERROR('4. NPV'!#REF!/'4. NPV'!NKJ$8,0)</f>
        <v>0</v>
      </c>
      <c r="NKJ54" s="5">
        <f>-IFERROR('4. NPV'!#REF!/'4. NPV'!NKK$8,0)</f>
        <v>0</v>
      </c>
      <c r="NKK54" s="5">
        <f>-IFERROR('4. NPV'!#REF!/'4. NPV'!NKL$8,0)</f>
        <v>0</v>
      </c>
      <c r="NKL54" s="5">
        <f>-IFERROR('4. NPV'!#REF!/'4. NPV'!NKM$8,0)</f>
        <v>0</v>
      </c>
      <c r="NKM54" s="5">
        <f>-IFERROR('4. NPV'!#REF!/'4. NPV'!NKN$8,0)</f>
        <v>0</v>
      </c>
      <c r="NKN54" s="5">
        <f>-IFERROR('4. NPV'!#REF!/'4. NPV'!NKO$8,0)</f>
        <v>0</v>
      </c>
      <c r="NKO54" s="5">
        <f>-IFERROR('4. NPV'!#REF!/'4. NPV'!NKP$8,0)</f>
        <v>0</v>
      </c>
      <c r="NKP54" s="5">
        <f>-IFERROR('4. NPV'!#REF!/'4. NPV'!NKQ$8,0)</f>
        <v>0</v>
      </c>
      <c r="NKQ54" s="5">
        <f>-IFERROR('4. NPV'!#REF!/'4. NPV'!NKR$8,0)</f>
        <v>0</v>
      </c>
      <c r="NKR54" s="5">
        <f>-IFERROR('4. NPV'!#REF!/'4. NPV'!NKS$8,0)</f>
        <v>0</v>
      </c>
      <c r="NKS54" s="5">
        <f>-IFERROR('4. NPV'!#REF!/'4. NPV'!NKT$8,0)</f>
        <v>0</v>
      </c>
      <c r="NKT54" s="5">
        <f>-IFERROR('4. NPV'!#REF!/'4. NPV'!NKU$8,0)</f>
        <v>0</v>
      </c>
      <c r="NKU54" s="5">
        <f>-IFERROR('4. NPV'!#REF!/'4. NPV'!NKV$8,0)</f>
        <v>0</v>
      </c>
      <c r="NKV54" s="5">
        <f>-IFERROR('4. NPV'!#REF!/'4. NPV'!NKW$8,0)</f>
        <v>0</v>
      </c>
      <c r="NKW54" s="5">
        <f>-IFERROR('4. NPV'!#REF!/'4. NPV'!NKX$8,0)</f>
        <v>0</v>
      </c>
      <c r="NKX54" s="5">
        <f>-IFERROR('4. NPV'!#REF!/'4. NPV'!NKY$8,0)</f>
        <v>0</v>
      </c>
      <c r="NKY54" s="5">
        <f>-IFERROR('4. NPV'!#REF!/'4. NPV'!NKZ$8,0)</f>
        <v>0</v>
      </c>
      <c r="NKZ54" s="5">
        <f>-IFERROR('4. NPV'!#REF!/'4. NPV'!NLA$8,0)</f>
        <v>0</v>
      </c>
      <c r="NLA54" s="5">
        <f>-IFERROR('4. NPV'!#REF!/'4. NPV'!NLB$8,0)</f>
        <v>0</v>
      </c>
      <c r="NLB54" s="5">
        <f>-IFERROR('4. NPV'!#REF!/'4. NPV'!NLC$8,0)</f>
        <v>0</v>
      </c>
      <c r="NLC54" s="5">
        <f>-IFERROR('4. NPV'!#REF!/'4. NPV'!NLD$8,0)</f>
        <v>0</v>
      </c>
      <c r="NLD54" s="5">
        <f>-IFERROR('4. NPV'!#REF!/'4. NPV'!NLE$8,0)</f>
        <v>0</v>
      </c>
      <c r="NLE54" s="5">
        <f>-IFERROR('4. NPV'!#REF!/'4. NPV'!NLF$8,0)</f>
        <v>0</v>
      </c>
      <c r="NLF54" s="5">
        <f>-IFERROR('4. NPV'!#REF!/'4. NPV'!NLG$8,0)</f>
        <v>0</v>
      </c>
      <c r="NLG54" s="5">
        <f>-IFERROR('4. NPV'!#REF!/'4. NPV'!NLH$8,0)</f>
        <v>0</v>
      </c>
      <c r="NLH54" s="5">
        <f>-IFERROR('4. NPV'!#REF!/'4. NPV'!NLI$8,0)</f>
        <v>0</v>
      </c>
      <c r="NLI54" s="5">
        <f>-IFERROR('4. NPV'!#REF!/'4. NPV'!NLJ$8,0)</f>
        <v>0</v>
      </c>
      <c r="NLJ54" s="5">
        <f>-IFERROR('4. NPV'!#REF!/'4. NPV'!NLK$8,0)</f>
        <v>0</v>
      </c>
      <c r="NLK54" s="5">
        <f>-IFERROR('4. NPV'!#REF!/'4. NPV'!NLL$8,0)</f>
        <v>0</v>
      </c>
      <c r="NLL54" s="5">
        <f>-IFERROR('4. NPV'!#REF!/'4. NPV'!NLM$8,0)</f>
        <v>0</v>
      </c>
      <c r="NLM54" s="5">
        <f>-IFERROR('4. NPV'!#REF!/'4. NPV'!NLN$8,0)</f>
        <v>0</v>
      </c>
      <c r="NLN54" s="5">
        <f>-IFERROR('4. NPV'!#REF!/'4. NPV'!NLO$8,0)</f>
        <v>0</v>
      </c>
      <c r="NLO54" s="5">
        <f>-IFERROR('4. NPV'!#REF!/'4. NPV'!NLP$8,0)</f>
        <v>0</v>
      </c>
      <c r="NLP54" s="5">
        <f>-IFERROR('4. NPV'!#REF!/'4. NPV'!NLQ$8,0)</f>
        <v>0</v>
      </c>
      <c r="NLQ54" s="5">
        <f>-IFERROR('4. NPV'!#REF!/'4. NPV'!NLR$8,0)</f>
        <v>0</v>
      </c>
      <c r="NLR54" s="5">
        <f>-IFERROR('4. NPV'!#REF!/'4. NPV'!NLS$8,0)</f>
        <v>0</v>
      </c>
      <c r="NLS54" s="5">
        <f>-IFERROR('4. NPV'!#REF!/'4. NPV'!NLT$8,0)</f>
        <v>0</v>
      </c>
      <c r="NLT54" s="5">
        <f>-IFERROR('4. NPV'!#REF!/'4. NPV'!NLU$8,0)</f>
        <v>0</v>
      </c>
      <c r="NLU54" s="5">
        <f>-IFERROR('4. NPV'!#REF!/'4. NPV'!NLV$8,0)</f>
        <v>0</v>
      </c>
      <c r="NLV54" s="5">
        <f>-IFERROR('4. NPV'!#REF!/'4. NPV'!NLW$8,0)</f>
        <v>0</v>
      </c>
      <c r="NLW54" s="5">
        <f>-IFERROR('4. NPV'!#REF!/'4. NPV'!NLX$8,0)</f>
        <v>0</v>
      </c>
      <c r="NLX54" s="5">
        <f>-IFERROR('4. NPV'!#REF!/'4. NPV'!NLY$8,0)</f>
        <v>0</v>
      </c>
      <c r="NLY54" s="5">
        <f>-IFERROR('4. NPV'!#REF!/'4. NPV'!NLZ$8,0)</f>
        <v>0</v>
      </c>
      <c r="NLZ54" s="5">
        <f>-IFERROR('4. NPV'!#REF!/'4. NPV'!NMA$8,0)</f>
        <v>0</v>
      </c>
      <c r="NMA54" s="5">
        <f>-IFERROR('4. NPV'!#REF!/'4. NPV'!NMB$8,0)</f>
        <v>0</v>
      </c>
      <c r="NMB54" s="5">
        <f>-IFERROR('4. NPV'!#REF!/'4. NPV'!NMC$8,0)</f>
        <v>0</v>
      </c>
      <c r="NMC54" s="5">
        <f>-IFERROR('4. NPV'!#REF!/'4. NPV'!NMD$8,0)</f>
        <v>0</v>
      </c>
      <c r="NMD54" s="5">
        <f>-IFERROR('4. NPV'!#REF!/'4. NPV'!NME$8,0)</f>
        <v>0</v>
      </c>
      <c r="NME54" s="5">
        <f>-IFERROR('4. NPV'!#REF!/'4. NPV'!NMF$8,0)</f>
        <v>0</v>
      </c>
      <c r="NMF54" s="5">
        <f>-IFERROR('4. NPV'!#REF!/'4. NPV'!NMG$8,0)</f>
        <v>0</v>
      </c>
      <c r="NMG54" s="5">
        <f>-IFERROR('4. NPV'!#REF!/'4. NPV'!NMH$8,0)</f>
        <v>0</v>
      </c>
      <c r="NMH54" s="5">
        <f>-IFERROR('4. NPV'!#REF!/'4. NPV'!NMI$8,0)</f>
        <v>0</v>
      </c>
      <c r="NMI54" s="5">
        <f>-IFERROR('4. NPV'!#REF!/'4. NPV'!NMJ$8,0)</f>
        <v>0</v>
      </c>
      <c r="NMJ54" s="5">
        <f>-IFERROR('4. NPV'!#REF!/'4. NPV'!NMK$8,0)</f>
        <v>0</v>
      </c>
      <c r="NMK54" s="5">
        <f>-IFERROR('4. NPV'!#REF!/'4. NPV'!NML$8,0)</f>
        <v>0</v>
      </c>
      <c r="NML54" s="5">
        <f>-IFERROR('4. NPV'!#REF!/'4. NPV'!NMM$8,0)</f>
        <v>0</v>
      </c>
      <c r="NMM54" s="5">
        <f>-IFERROR('4. NPV'!#REF!/'4. NPV'!NMN$8,0)</f>
        <v>0</v>
      </c>
      <c r="NMN54" s="5">
        <f>-IFERROR('4. NPV'!#REF!/'4. NPV'!NMO$8,0)</f>
        <v>0</v>
      </c>
      <c r="NMO54" s="5">
        <f>-IFERROR('4. NPV'!#REF!/'4. NPV'!NMP$8,0)</f>
        <v>0</v>
      </c>
      <c r="NMP54" s="5">
        <f>-IFERROR('4. NPV'!#REF!/'4. NPV'!NMQ$8,0)</f>
        <v>0</v>
      </c>
      <c r="NMQ54" s="5">
        <f>-IFERROR('4. NPV'!#REF!/'4. NPV'!NMR$8,0)</f>
        <v>0</v>
      </c>
      <c r="NMR54" s="5">
        <f>-IFERROR('4. NPV'!#REF!/'4. NPV'!NMS$8,0)</f>
        <v>0</v>
      </c>
      <c r="NMS54" s="5">
        <f>-IFERROR('4. NPV'!#REF!/'4. NPV'!NMT$8,0)</f>
        <v>0</v>
      </c>
      <c r="NMT54" s="5">
        <f>-IFERROR('4. NPV'!#REF!/'4. NPV'!NMU$8,0)</f>
        <v>0</v>
      </c>
      <c r="NMU54" s="5">
        <f>-IFERROR('4. NPV'!#REF!/'4. NPV'!NMV$8,0)</f>
        <v>0</v>
      </c>
      <c r="NMV54" s="5">
        <f>-IFERROR('4. NPV'!#REF!/'4. NPV'!NMW$8,0)</f>
        <v>0</v>
      </c>
      <c r="NMW54" s="5">
        <f>-IFERROR('4. NPV'!#REF!/'4. NPV'!NMX$8,0)</f>
        <v>0</v>
      </c>
      <c r="NMX54" s="5">
        <f>-IFERROR('4. NPV'!#REF!/'4. NPV'!NMY$8,0)</f>
        <v>0</v>
      </c>
      <c r="NMY54" s="5">
        <f>-IFERROR('4. NPV'!#REF!/'4. NPV'!NMZ$8,0)</f>
        <v>0</v>
      </c>
      <c r="NMZ54" s="5">
        <f>-IFERROR('4. NPV'!#REF!/'4. NPV'!NNA$8,0)</f>
        <v>0</v>
      </c>
      <c r="NNA54" s="5">
        <f>-IFERROR('4. NPV'!#REF!/'4. NPV'!NNB$8,0)</f>
        <v>0</v>
      </c>
      <c r="NNB54" s="5">
        <f>-IFERROR('4. NPV'!#REF!/'4. NPV'!NNC$8,0)</f>
        <v>0</v>
      </c>
      <c r="NNC54" s="5">
        <f>-IFERROR('4. NPV'!#REF!/'4. NPV'!NND$8,0)</f>
        <v>0</v>
      </c>
      <c r="NND54" s="5">
        <f>-IFERROR('4. NPV'!#REF!/'4. NPV'!NNE$8,0)</f>
        <v>0</v>
      </c>
      <c r="NNE54" s="5">
        <f>-IFERROR('4. NPV'!#REF!/'4. NPV'!NNF$8,0)</f>
        <v>0</v>
      </c>
      <c r="NNF54" s="5">
        <f>-IFERROR('4. NPV'!#REF!/'4. NPV'!NNG$8,0)</f>
        <v>0</v>
      </c>
      <c r="NNG54" s="5">
        <f>-IFERROR('4. NPV'!#REF!/'4. NPV'!NNH$8,0)</f>
        <v>0</v>
      </c>
      <c r="NNH54" s="5">
        <f>-IFERROR('4. NPV'!#REF!/'4. NPV'!NNI$8,0)</f>
        <v>0</v>
      </c>
      <c r="NNI54" s="5">
        <f>-IFERROR('4. NPV'!#REF!/'4. NPV'!NNJ$8,0)</f>
        <v>0</v>
      </c>
      <c r="NNJ54" s="5">
        <f>-IFERROR('4. NPV'!#REF!/'4. NPV'!NNK$8,0)</f>
        <v>0</v>
      </c>
      <c r="NNK54" s="5">
        <f>-IFERROR('4. NPV'!#REF!/'4. NPV'!NNL$8,0)</f>
        <v>0</v>
      </c>
      <c r="NNL54" s="5">
        <f>-IFERROR('4. NPV'!#REF!/'4. NPV'!NNM$8,0)</f>
        <v>0</v>
      </c>
      <c r="NNM54" s="5">
        <f>-IFERROR('4. NPV'!#REF!/'4. NPV'!NNN$8,0)</f>
        <v>0</v>
      </c>
      <c r="NNN54" s="5">
        <f>-IFERROR('4. NPV'!#REF!/'4. NPV'!NNO$8,0)</f>
        <v>0</v>
      </c>
      <c r="NNO54" s="5">
        <f>-IFERROR('4. NPV'!#REF!/'4. NPV'!NNP$8,0)</f>
        <v>0</v>
      </c>
      <c r="NNP54" s="5">
        <f>-IFERROR('4. NPV'!#REF!/'4. NPV'!NNQ$8,0)</f>
        <v>0</v>
      </c>
      <c r="NNQ54" s="5">
        <f>-IFERROR('4. NPV'!#REF!/'4. NPV'!NNR$8,0)</f>
        <v>0</v>
      </c>
      <c r="NNR54" s="5">
        <f>-IFERROR('4. NPV'!#REF!/'4. NPV'!NNS$8,0)</f>
        <v>0</v>
      </c>
      <c r="NNS54" s="5">
        <f>-IFERROR('4. NPV'!#REF!/'4. NPV'!NNT$8,0)</f>
        <v>0</v>
      </c>
      <c r="NNT54" s="5">
        <f>-IFERROR('4. NPV'!#REF!/'4. NPV'!NNU$8,0)</f>
        <v>0</v>
      </c>
      <c r="NNU54" s="5">
        <f>-IFERROR('4. NPV'!#REF!/'4. NPV'!NNV$8,0)</f>
        <v>0</v>
      </c>
      <c r="NNV54" s="5">
        <f>-IFERROR('4. NPV'!#REF!/'4. NPV'!NNW$8,0)</f>
        <v>0</v>
      </c>
      <c r="NNW54" s="5">
        <f>-IFERROR('4. NPV'!#REF!/'4. NPV'!NNX$8,0)</f>
        <v>0</v>
      </c>
      <c r="NNX54" s="5">
        <f>-IFERROR('4. NPV'!#REF!/'4. NPV'!NNY$8,0)</f>
        <v>0</v>
      </c>
      <c r="NNY54" s="5">
        <f>-IFERROR('4. NPV'!#REF!/'4. NPV'!NNZ$8,0)</f>
        <v>0</v>
      </c>
      <c r="NNZ54" s="5">
        <f>-IFERROR('4. NPV'!#REF!/'4. NPV'!NOA$8,0)</f>
        <v>0</v>
      </c>
      <c r="NOA54" s="5">
        <f>-IFERROR('4. NPV'!#REF!/'4. NPV'!NOB$8,0)</f>
        <v>0</v>
      </c>
      <c r="NOB54" s="5">
        <f>-IFERROR('4. NPV'!#REF!/'4. NPV'!NOC$8,0)</f>
        <v>0</v>
      </c>
      <c r="NOC54" s="5">
        <f>-IFERROR('4. NPV'!#REF!/'4. NPV'!NOD$8,0)</f>
        <v>0</v>
      </c>
      <c r="NOD54" s="5">
        <f>-IFERROR('4. NPV'!#REF!/'4. NPV'!NOE$8,0)</f>
        <v>0</v>
      </c>
      <c r="NOE54" s="5">
        <f>-IFERROR('4. NPV'!#REF!/'4. NPV'!NOF$8,0)</f>
        <v>0</v>
      </c>
      <c r="NOF54" s="5">
        <f>-IFERROR('4. NPV'!#REF!/'4. NPV'!NOG$8,0)</f>
        <v>0</v>
      </c>
      <c r="NOG54" s="5">
        <f>-IFERROR('4. NPV'!#REF!/'4. NPV'!NOH$8,0)</f>
        <v>0</v>
      </c>
      <c r="NOH54" s="5">
        <f>-IFERROR('4. NPV'!#REF!/'4. NPV'!NOI$8,0)</f>
        <v>0</v>
      </c>
      <c r="NOI54" s="5">
        <f>-IFERROR('4. NPV'!#REF!/'4. NPV'!NOJ$8,0)</f>
        <v>0</v>
      </c>
      <c r="NOJ54" s="5">
        <f>-IFERROR('4. NPV'!#REF!/'4. NPV'!NOK$8,0)</f>
        <v>0</v>
      </c>
      <c r="NOK54" s="5">
        <f>-IFERROR('4. NPV'!#REF!/'4. NPV'!NOL$8,0)</f>
        <v>0</v>
      </c>
      <c r="NOL54" s="5">
        <f>-IFERROR('4. NPV'!#REF!/'4. NPV'!NOM$8,0)</f>
        <v>0</v>
      </c>
      <c r="NOM54" s="5">
        <f>-IFERROR('4. NPV'!#REF!/'4. NPV'!NON$8,0)</f>
        <v>0</v>
      </c>
      <c r="NON54" s="5">
        <f>-IFERROR('4. NPV'!#REF!/'4. NPV'!NOO$8,0)</f>
        <v>0</v>
      </c>
      <c r="NOO54" s="5">
        <f>-IFERROR('4. NPV'!#REF!/'4. NPV'!NOP$8,0)</f>
        <v>0</v>
      </c>
      <c r="NOP54" s="5">
        <f>-IFERROR('4. NPV'!#REF!/'4. NPV'!NOQ$8,0)</f>
        <v>0</v>
      </c>
      <c r="NOQ54" s="5">
        <f>-IFERROR('4. NPV'!#REF!/'4. NPV'!NOR$8,0)</f>
        <v>0</v>
      </c>
      <c r="NOR54" s="5">
        <f>-IFERROR('4. NPV'!#REF!/'4. NPV'!NOS$8,0)</f>
        <v>0</v>
      </c>
      <c r="NOS54" s="5">
        <f>-IFERROR('4. NPV'!#REF!/'4. NPV'!NOT$8,0)</f>
        <v>0</v>
      </c>
      <c r="NOT54" s="5">
        <f>-IFERROR('4. NPV'!#REF!/'4. NPV'!NOU$8,0)</f>
        <v>0</v>
      </c>
      <c r="NOU54" s="5">
        <f>-IFERROR('4. NPV'!#REF!/'4. NPV'!NOV$8,0)</f>
        <v>0</v>
      </c>
      <c r="NOV54" s="5">
        <f>-IFERROR('4. NPV'!#REF!/'4. NPV'!NOW$8,0)</f>
        <v>0</v>
      </c>
      <c r="NOW54" s="5">
        <f>-IFERROR('4. NPV'!#REF!/'4. NPV'!NOX$8,0)</f>
        <v>0</v>
      </c>
      <c r="NOX54" s="5">
        <f>-IFERROR('4. NPV'!#REF!/'4. NPV'!NOY$8,0)</f>
        <v>0</v>
      </c>
      <c r="NOY54" s="5">
        <f>-IFERROR('4. NPV'!#REF!/'4. NPV'!NOZ$8,0)</f>
        <v>0</v>
      </c>
      <c r="NOZ54" s="5">
        <f>-IFERROR('4. NPV'!#REF!/'4. NPV'!NPA$8,0)</f>
        <v>0</v>
      </c>
      <c r="NPA54" s="5">
        <f>-IFERROR('4. NPV'!#REF!/'4. NPV'!NPB$8,0)</f>
        <v>0</v>
      </c>
      <c r="NPB54" s="5">
        <f>-IFERROR('4. NPV'!#REF!/'4. NPV'!NPC$8,0)</f>
        <v>0</v>
      </c>
      <c r="NPC54" s="5">
        <f>-IFERROR('4. NPV'!#REF!/'4. NPV'!NPD$8,0)</f>
        <v>0</v>
      </c>
      <c r="NPD54" s="5">
        <f>-IFERROR('4. NPV'!#REF!/'4. NPV'!NPE$8,0)</f>
        <v>0</v>
      </c>
      <c r="NPE54" s="5">
        <f>-IFERROR('4. NPV'!#REF!/'4. NPV'!NPF$8,0)</f>
        <v>0</v>
      </c>
      <c r="NPF54" s="5">
        <f>-IFERROR('4. NPV'!#REF!/'4. NPV'!NPG$8,0)</f>
        <v>0</v>
      </c>
      <c r="NPG54" s="5">
        <f>-IFERROR('4. NPV'!#REF!/'4. NPV'!NPH$8,0)</f>
        <v>0</v>
      </c>
      <c r="NPH54" s="5">
        <f>-IFERROR('4. NPV'!#REF!/'4. NPV'!NPI$8,0)</f>
        <v>0</v>
      </c>
      <c r="NPI54" s="5">
        <f>-IFERROR('4. NPV'!#REF!/'4. NPV'!NPJ$8,0)</f>
        <v>0</v>
      </c>
      <c r="NPJ54" s="5">
        <f>-IFERROR('4. NPV'!#REF!/'4. NPV'!NPK$8,0)</f>
        <v>0</v>
      </c>
      <c r="NPK54" s="5">
        <f>-IFERROR('4. NPV'!#REF!/'4. NPV'!NPL$8,0)</f>
        <v>0</v>
      </c>
      <c r="NPL54" s="5">
        <f>-IFERROR('4. NPV'!#REF!/'4. NPV'!NPM$8,0)</f>
        <v>0</v>
      </c>
      <c r="NPM54" s="5">
        <f>-IFERROR('4. NPV'!#REF!/'4. NPV'!NPN$8,0)</f>
        <v>0</v>
      </c>
      <c r="NPN54" s="5">
        <f>-IFERROR('4. NPV'!#REF!/'4. NPV'!NPO$8,0)</f>
        <v>0</v>
      </c>
      <c r="NPO54" s="5">
        <f>-IFERROR('4. NPV'!#REF!/'4. NPV'!NPP$8,0)</f>
        <v>0</v>
      </c>
      <c r="NPP54" s="5">
        <f>-IFERROR('4. NPV'!#REF!/'4. NPV'!NPQ$8,0)</f>
        <v>0</v>
      </c>
      <c r="NPQ54" s="5">
        <f>-IFERROR('4. NPV'!#REF!/'4. NPV'!NPR$8,0)</f>
        <v>0</v>
      </c>
      <c r="NPR54" s="5">
        <f>-IFERROR('4. NPV'!#REF!/'4. NPV'!NPS$8,0)</f>
        <v>0</v>
      </c>
      <c r="NPS54" s="5">
        <f>-IFERROR('4. NPV'!#REF!/'4. NPV'!NPT$8,0)</f>
        <v>0</v>
      </c>
      <c r="NPT54" s="5">
        <f>-IFERROR('4. NPV'!#REF!/'4. NPV'!NPU$8,0)</f>
        <v>0</v>
      </c>
      <c r="NPU54" s="5">
        <f>-IFERROR('4. NPV'!#REF!/'4. NPV'!NPV$8,0)</f>
        <v>0</v>
      </c>
      <c r="NPV54" s="5">
        <f>-IFERROR('4. NPV'!#REF!/'4. NPV'!NPW$8,0)</f>
        <v>0</v>
      </c>
      <c r="NPW54" s="5">
        <f>-IFERROR('4. NPV'!#REF!/'4. NPV'!NPX$8,0)</f>
        <v>0</v>
      </c>
      <c r="NPX54" s="5">
        <f>-IFERROR('4. NPV'!#REF!/'4. NPV'!NPY$8,0)</f>
        <v>0</v>
      </c>
      <c r="NPY54" s="5">
        <f>-IFERROR('4. NPV'!#REF!/'4. NPV'!NPZ$8,0)</f>
        <v>0</v>
      </c>
      <c r="NPZ54" s="5">
        <f>-IFERROR('4. NPV'!#REF!/'4. NPV'!NQA$8,0)</f>
        <v>0</v>
      </c>
      <c r="NQA54" s="5">
        <f>-IFERROR('4. NPV'!#REF!/'4. NPV'!NQB$8,0)</f>
        <v>0</v>
      </c>
      <c r="NQB54" s="5">
        <f>-IFERROR('4. NPV'!#REF!/'4. NPV'!NQC$8,0)</f>
        <v>0</v>
      </c>
      <c r="NQC54" s="5">
        <f>-IFERROR('4. NPV'!#REF!/'4. NPV'!NQD$8,0)</f>
        <v>0</v>
      </c>
      <c r="NQD54" s="5">
        <f>-IFERROR('4. NPV'!#REF!/'4. NPV'!NQE$8,0)</f>
        <v>0</v>
      </c>
      <c r="NQE54" s="5">
        <f>-IFERROR('4. NPV'!#REF!/'4. NPV'!NQF$8,0)</f>
        <v>0</v>
      </c>
      <c r="NQF54" s="5">
        <f>-IFERROR('4. NPV'!#REF!/'4. NPV'!NQG$8,0)</f>
        <v>0</v>
      </c>
      <c r="NQG54" s="5">
        <f>-IFERROR('4. NPV'!#REF!/'4. NPV'!NQH$8,0)</f>
        <v>0</v>
      </c>
      <c r="NQH54" s="5">
        <f>-IFERROR('4. NPV'!#REF!/'4. NPV'!NQI$8,0)</f>
        <v>0</v>
      </c>
      <c r="NQI54" s="5">
        <f>-IFERROR('4. NPV'!#REF!/'4. NPV'!NQJ$8,0)</f>
        <v>0</v>
      </c>
      <c r="NQJ54" s="5">
        <f>-IFERROR('4. NPV'!#REF!/'4. NPV'!NQK$8,0)</f>
        <v>0</v>
      </c>
      <c r="NQK54" s="5">
        <f>-IFERROR('4. NPV'!#REF!/'4. NPV'!NQL$8,0)</f>
        <v>0</v>
      </c>
      <c r="NQL54" s="5">
        <f>-IFERROR('4. NPV'!#REF!/'4. NPV'!NQM$8,0)</f>
        <v>0</v>
      </c>
      <c r="NQM54" s="5">
        <f>-IFERROR('4. NPV'!#REF!/'4. NPV'!NQN$8,0)</f>
        <v>0</v>
      </c>
      <c r="NQN54" s="5">
        <f>-IFERROR('4. NPV'!#REF!/'4. NPV'!NQO$8,0)</f>
        <v>0</v>
      </c>
      <c r="NQO54" s="5">
        <f>-IFERROR('4. NPV'!#REF!/'4. NPV'!NQP$8,0)</f>
        <v>0</v>
      </c>
      <c r="NQP54" s="5">
        <f>-IFERROR('4. NPV'!#REF!/'4. NPV'!NQQ$8,0)</f>
        <v>0</v>
      </c>
      <c r="NQQ54" s="5">
        <f>-IFERROR('4. NPV'!#REF!/'4. NPV'!NQR$8,0)</f>
        <v>0</v>
      </c>
      <c r="NQR54" s="5">
        <f>-IFERROR('4. NPV'!#REF!/'4. NPV'!NQS$8,0)</f>
        <v>0</v>
      </c>
      <c r="NQS54" s="5">
        <f>-IFERROR('4. NPV'!#REF!/'4. NPV'!NQT$8,0)</f>
        <v>0</v>
      </c>
      <c r="NQT54" s="5">
        <f>-IFERROR('4. NPV'!#REF!/'4. NPV'!NQU$8,0)</f>
        <v>0</v>
      </c>
      <c r="NQU54" s="5">
        <f>-IFERROR('4. NPV'!#REF!/'4. NPV'!NQV$8,0)</f>
        <v>0</v>
      </c>
      <c r="NQV54" s="5">
        <f>-IFERROR('4. NPV'!#REF!/'4. NPV'!NQW$8,0)</f>
        <v>0</v>
      </c>
      <c r="NQW54" s="5">
        <f>-IFERROR('4. NPV'!#REF!/'4. NPV'!NQX$8,0)</f>
        <v>0</v>
      </c>
      <c r="NQX54" s="5">
        <f>-IFERROR('4. NPV'!#REF!/'4. NPV'!NQY$8,0)</f>
        <v>0</v>
      </c>
      <c r="NQY54" s="5">
        <f>-IFERROR('4. NPV'!#REF!/'4. NPV'!NQZ$8,0)</f>
        <v>0</v>
      </c>
      <c r="NQZ54" s="5">
        <f>-IFERROR('4. NPV'!#REF!/'4. NPV'!NRA$8,0)</f>
        <v>0</v>
      </c>
      <c r="NRA54" s="5">
        <f>-IFERROR('4. NPV'!#REF!/'4. NPV'!NRB$8,0)</f>
        <v>0</v>
      </c>
      <c r="NRB54" s="5">
        <f>-IFERROR('4. NPV'!#REF!/'4. NPV'!NRC$8,0)</f>
        <v>0</v>
      </c>
      <c r="NRC54" s="5">
        <f>-IFERROR('4. NPV'!#REF!/'4. NPV'!NRD$8,0)</f>
        <v>0</v>
      </c>
      <c r="NRD54" s="5">
        <f>-IFERROR('4. NPV'!#REF!/'4. NPV'!NRE$8,0)</f>
        <v>0</v>
      </c>
      <c r="NRE54" s="5">
        <f>-IFERROR('4. NPV'!#REF!/'4. NPV'!NRF$8,0)</f>
        <v>0</v>
      </c>
      <c r="NRF54" s="5">
        <f>-IFERROR('4. NPV'!#REF!/'4. NPV'!NRG$8,0)</f>
        <v>0</v>
      </c>
      <c r="NRG54" s="5">
        <f>-IFERROR('4. NPV'!#REF!/'4. NPV'!NRH$8,0)</f>
        <v>0</v>
      </c>
      <c r="NRH54" s="5">
        <f>-IFERROR('4. NPV'!#REF!/'4. NPV'!NRI$8,0)</f>
        <v>0</v>
      </c>
      <c r="NRI54" s="5">
        <f>-IFERROR('4. NPV'!#REF!/'4. NPV'!NRJ$8,0)</f>
        <v>0</v>
      </c>
      <c r="NRJ54" s="5">
        <f>-IFERROR('4. NPV'!#REF!/'4. NPV'!NRK$8,0)</f>
        <v>0</v>
      </c>
      <c r="NRK54" s="5">
        <f>-IFERROR('4. NPV'!#REF!/'4. NPV'!NRL$8,0)</f>
        <v>0</v>
      </c>
      <c r="NRL54" s="5">
        <f>-IFERROR('4. NPV'!#REF!/'4. NPV'!NRM$8,0)</f>
        <v>0</v>
      </c>
      <c r="NRM54" s="5">
        <f>-IFERROR('4. NPV'!#REF!/'4. NPV'!NRN$8,0)</f>
        <v>0</v>
      </c>
      <c r="NRN54" s="5">
        <f>-IFERROR('4. NPV'!#REF!/'4. NPV'!NRO$8,0)</f>
        <v>0</v>
      </c>
      <c r="NRO54" s="5">
        <f>-IFERROR('4. NPV'!#REF!/'4. NPV'!NRP$8,0)</f>
        <v>0</v>
      </c>
      <c r="NRP54" s="5">
        <f>-IFERROR('4. NPV'!#REF!/'4. NPV'!NRQ$8,0)</f>
        <v>0</v>
      </c>
      <c r="NRQ54" s="5">
        <f>-IFERROR('4. NPV'!#REF!/'4. NPV'!NRR$8,0)</f>
        <v>0</v>
      </c>
      <c r="NRR54" s="5">
        <f>-IFERROR('4. NPV'!#REF!/'4. NPV'!NRS$8,0)</f>
        <v>0</v>
      </c>
      <c r="NRS54" s="5">
        <f>-IFERROR('4. NPV'!#REF!/'4. NPV'!NRT$8,0)</f>
        <v>0</v>
      </c>
      <c r="NRT54" s="5">
        <f>-IFERROR('4. NPV'!#REF!/'4. NPV'!NRU$8,0)</f>
        <v>0</v>
      </c>
      <c r="NRU54" s="5">
        <f>-IFERROR('4. NPV'!#REF!/'4. NPV'!NRV$8,0)</f>
        <v>0</v>
      </c>
      <c r="NRV54" s="5">
        <f>-IFERROR('4. NPV'!#REF!/'4. NPV'!NRW$8,0)</f>
        <v>0</v>
      </c>
      <c r="NRW54" s="5">
        <f>-IFERROR('4. NPV'!#REF!/'4. NPV'!NRX$8,0)</f>
        <v>0</v>
      </c>
      <c r="NRX54" s="5">
        <f>-IFERROR('4. NPV'!#REF!/'4. NPV'!NRY$8,0)</f>
        <v>0</v>
      </c>
      <c r="NRY54" s="5">
        <f>-IFERROR('4. NPV'!#REF!/'4. NPV'!NRZ$8,0)</f>
        <v>0</v>
      </c>
      <c r="NRZ54" s="5">
        <f>-IFERROR('4. NPV'!#REF!/'4. NPV'!NSA$8,0)</f>
        <v>0</v>
      </c>
      <c r="NSA54" s="5">
        <f>-IFERROR('4. NPV'!#REF!/'4. NPV'!NSB$8,0)</f>
        <v>0</v>
      </c>
      <c r="NSB54" s="5">
        <f>-IFERROR('4. NPV'!#REF!/'4. NPV'!NSC$8,0)</f>
        <v>0</v>
      </c>
      <c r="NSC54" s="5">
        <f>-IFERROR('4. NPV'!#REF!/'4. NPV'!NSD$8,0)</f>
        <v>0</v>
      </c>
      <c r="NSD54" s="5">
        <f>-IFERROR('4. NPV'!#REF!/'4. NPV'!NSE$8,0)</f>
        <v>0</v>
      </c>
      <c r="NSE54" s="5">
        <f>-IFERROR('4. NPV'!#REF!/'4. NPV'!NSF$8,0)</f>
        <v>0</v>
      </c>
      <c r="NSF54" s="5">
        <f>-IFERROR('4. NPV'!#REF!/'4. NPV'!NSG$8,0)</f>
        <v>0</v>
      </c>
      <c r="NSG54" s="5">
        <f>-IFERROR('4. NPV'!#REF!/'4. NPV'!NSH$8,0)</f>
        <v>0</v>
      </c>
      <c r="NSH54" s="5">
        <f>-IFERROR('4. NPV'!#REF!/'4. NPV'!NSI$8,0)</f>
        <v>0</v>
      </c>
      <c r="NSI54" s="5">
        <f>-IFERROR('4. NPV'!#REF!/'4. NPV'!NSJ$8,0)</f>
        <v>0</v>
      </c>
      <c r="NSJ54" s="5">
        <f>-IFERROR('4. NPV'!#REF!/'4. NPV'!NSK$8,0)</f>
        <v>0</v>
      </c>
      <c r="NSK54" s="5">
        <f>-IFERROR('4. NPV'!#REF!/'4. NPV'!NSL$8,0)</f>
        <v>0</v>
      </c>
      <c r="NSL54" s="5">
        <f>-IFERROR('4. NPV'!#REF!/'4. NPV'!NSM$8,0)</f>
        <v>0</v>
      </c>
      <c r="NSM54" s="5">
        <f>-IFERROR('4. NPV'!#REF!/'4. NPV'!NSN$8,0)</f>
        <v>0</v>
      </c>
      <c r="NSN54" s="5">
        <f>-IFERROR('4. NPV'!#REF!/'4. NPV'!NSO$8,0)</f>
        <v>0</v>
      </c>
      <c r="NSO54" s="5">
        <f>-IFERROR('4. NPV'!#REF!/'4. NPV'!NSP$8,0)</f>
        <v>0</v>
      </c>
      <c r="NSP54" s="5">
        <f>-IFERROR('4. NPV'!#REF!/'4. NPV'!NSQ$8,0)</f>
        <v>0</v>
      </c>
      <c r="NSQ54" s="5">
        <f>-IFERROR('4. NPV'!#REF!/'4. NPV'!NSR$8,0)</f>
        <v>0</v>
      </c>
      <c r="NSR54" s="5">
        <f>-IFERROR('4. NPV'!#REF!/'4. NPV'!NSS$8,0)</f>
        <v>0</v>
      </c>
      <c r="NSS54" s="5">
        <f>-IFERROR('4. NPV'!#REF!/'4. NPV'!NST$8,0)</f>
        <v>0</v>
      </c>
      <c r="NST54" s="5">
        <f>-IFERROR('4. NPV'!#REF!/'4. NPV'!NSU$8,0)</f>
        <v>0</v>
      </c>
      <c r="NSU54" s="5">
        <f>-IFERROR('4. NPV'!#REF!/'4. NPV'!NSV$8,0)</f>
        <v>0</v>
      </c>
      <c r="NSV54" s="5">
        <f>-IFERROR('4. NPV'!#REF!/'4. NPV'!NSW$8,0)</f>
        <v>0</v>
      </c>
      <c r="NSW54" s="5">
        <f>-IFERROR('4. NPV'!#REF!/'4. NPV'!NSX$8,0)</f>
        <v>0</v>
      </c>
      <c r="NSX54" s="5">
        <f>-IFERROR('4. NPV'!#REF!/'4. NPV'!NSY$8,0)</f>
        <v>0</v>
      </c>
      <c r="NSY54" s="5">
        <f>-IFERROR('4. NPV'!#REF!/'4. NPV'!NSZ$8,0)</f>
        <v>0</v>
      </c>
      <c r="NSZ54" s="5">
        <f>-IFERROR('4. NPV'!#REF!/'4. NPV'!NTA$8,0)</f>
        <v>0</v>
      </c>
      <c r="NTA54" s="5">
        <f>-IFERROR('4. NPV'!#REF!/'4. NPV'!NTB$8,0)</f>
        <v>0</v>
      </c>
      <c r="NTB54" s="5">
        <f>-IFERROR('4. NPV'!#REF!/'4. NPV'!NTC$8,0)</f>
        <v>0</v>
      </c>
      <c r="NTC54" s="5">
        <f>-IFERROR('4. NPV'!#REF!/'4. NPV'!NTD$8,0)</f>
        <v>0</v>
      </c>
      <c r="NTD54" s="5">
        <f>-IFERROR('4. NPV'!#REF!/'4. NPV'!NTE$8,0)</f>
        <v>0</v>
      </c>
      <c r="NTE54" s="5">
        <f>-IFERROR('4. NPV'!#REF!/'4. NPV'!NTF$8,0)</f>
        <v>0</v>
      </c>
      <c r="NTF54" s="5">
        <f>-IFERROR('4. NPV'!#REF!/'4. NPV'!NTG$8,0)</f>
        <v>0</v>
      </c>
      <c r="NTG54" s="5">
        <f>-IFERROR('4. NPV'!#REF!/'4. NPV'!NTH$8,0)</f>
        <v>0</v>
      </c>
      <c r="NTH54" s="5">
        <f>-IFERROR('4. NPV'!#REF!/'4. NPV'!NTI$8,0)</f>
        <v>0</v>
      </c>
      <c r="NTI54" s="5">
        <f>-IFERROR('4. NPV'!#REF!/'4. NPV'!NTJ$8,0)</f>
        <v>0</v>
      </c>
      <c r="NTJ54" s="5">
        <f>-IFERROR('4. NPV'!#REF!/'4. NPV'!NTK$8,0)</f>
        <v>0</v>
      </c>
      <c r="NTK54" s="5">
        <f>-IFERROR('4. NPV'!#REF!/'4. NPV'!NTL$8,0)</f>
        <v>0</v>
      </c>
      <c r="NTL54" s="5">
        <f>-IFERROR('4. NPV'!#REF!/'4. NPV'!NTM$8,0)</f>
        <v>0</v>
      </c>
      <c r="NTM54" s="5">
        <f>-IFERROR('4. NPV'!#REF!/'4. NPV'!NTN$8,0)</f>
        <v>0</v>
      </c>
      <c r="NTN54" s="5">
        <f>-IFERROR('4. NPV'!#REF!/'4. NPV'!NTO$8,0)</f>
        <v>0</v>
      </c>
      <c r="NTO54" s="5">
        <f>-IFERROR('4. NPV'!#REF!/'4. NPV'!NTP$8,0)</f>
        <v>0</v>
      </c>
      <c r="NTP54" s="5">
        <f>-IFERROR('4. NPV'!#REF!/'4. NPV'!NTQ$8,0)</f>
        <v>0</v>
      </c>
      <c r="NTQ54" s="5">
        <f>-IFERROR('4. NPV'!#REF!/'4. NPV'!NTR$8,0)</f>
        <v>0</v>
      </c>
      <c r="NTR54" s="5">
        <f>-IFERROR('4. NPV'!#REF!/'4. NPV'!NTS$8,0)</f>
        <v>0</v>
      </c>
      <c r="NTS54" s="5">
        <f>-IFERROR('4. NPV'!#REF!/'4. NPV'!NTT$8,0)</f>
        <v>0</v>
      </c>
      <c r="NTT54" s="5">
        <f>-IFERROR('4. NPV'!#REF!/'4. NPV'!NTU$8,0)</f>
        <v>0</v>
      </c>
      <c r="NTU54" s="5">
        <f>-IFERROR('4. NPV'!#REF!/'4. NPV'!NTV$8,0)</f>
        <v>0</v>
      </c>
      <c r="NTV54" s="5">
        <f>-IFERROR('4. NPV'!#REF!/'4. NPV'!NTW$8,0)</f>
        <v>0</v>
      </c>
      <c r="NTW54" s="5">
        <f>-IFERROR('4. NPV'!#REF!/'4. NPV'!NTX$8,0)</f>
        <v>0</v>
      </c>
      <c r="NTX54" s="5">
        <f>-IFERROR('4. NPV'!#REF!/'4. NPV'!NTY$8,0)</f>
        <v>0</v>
      </c>
      <c r="NTY54" s="5">
        <f>-IFERROR('4. NPV'!#REF!/'4. NPV'!NTZ$8,0)</f>
        <v>0</v>
      </c>
      <c r="NTZ54" s="5">
        <f>-IFERROR('4. NPV'!#REF!/'4. NPV'!NUA$8,0)</f>
        <v>0</v>
      </c>
      <c r="NUA54" s="5">
        <f>-IFERROR('4. NPV'!#REF!/'4. NPV'!NUB$8,0)</f>
        <v>0</v>
      </c>
      <c r="NUB54" s="5">
        <f>-IFERROR('4. NPV'!#REF!/'4. NPV'!NUC$8,0)</f>
        <v>0</v>
      </c>
      <c r="NUC54" s="5">
        <f>-IFERROR('4. NPV'!#REF!/'4. NPV'!NUD$8,0)</f>
        <v>0</v>
      </c>
      <c r="NUD54" s="5">
        <f>-IFERROR('4. NPV'!#REF!/'4. NPV'!NUE$8,0)</f>
        <v>0</v>
      </c>
      <c r="NUE54" s="5">
        <f>-IFERROR('4. NPV'!#REF!/'4. NPV'!NUF$8,0)</f>
        <v>0</v>
      </c>
      <c r="NUF54" s="5">
        <f>-IFERROR('4. NPV'!#REF!/'4. NPV'!NUG$8,0)</f>
        <v>0</v>
      </c>
      <c r="NUG54" s="5">
        <f>-IFERROR('4. NPV'!#REF!/'4. NPV'!NUH$8,0)</f>
        <v>0</v>
      </c>
      <c r="NUH54" s="5">
        <f>-IFERROR('4. NPV'!#REF!/'4. NPV'!NUI$8,0)</f>
        <v>0</v>
      </c>
      <c r="NUI54" s="5">
        <f>-IFERROR('4. NPV'!#REF!/'4. NPV'!NUJ$8,0)</f>
        <v>0</v>
      </c>
      <c r="NUJ54" s="5">
        <f>-IFERROR('4. NPV'!#REF!/'4. NPV'!NUK$8,0)</f>
        <v>0</v>
      </c>
      <c r="NUK54" s="5">
        <f>-IFERROR('4. NPV'!#REF!/'4. NPV'!NUL$8,0)</f>
        <v>0</v>
      </c>
      <c r="NUL54" s="5">
        <f>-IFERROR('4. NPV'!#REF!/'4. NPV'!NUM$8,0)</f>
        <v>0</v>
      </c>
      <c r="NUM54" s="5">
        <f>-IFERROR('4. NPV'!#REF!/'4. NPV'!NUN$8,0)</f>
        <v>0</v>
      </c>
      <c r="NUN54" s="5">
        <f>-IFERROR('4. NPV'!#REF!/'4. NPV'!NUO$8,0)</f>
        <v>0</v>
      </c>
      <c r="NUO54" s="5">
        <f>-IFERROR('4. NPV'!#REF!/'4. NPV'!NUP$8,0)</f>
        <v>0</v>
      </c>
      <c r="NUP54" s="5">
        <f>-IFERROR('4. NPV'!#REF!/'4. NPV'!NUQ$8,0)</f>
        <v>0</v>
      </c>
      <c r="NUQ54" s="5">
        <f>-IFERROR('4. NPV'!#REF!/'4. NPV'!NUR$8,0)</f>
        <v>0</v>
      </c>
      <c r="NUR54" s="5">
        <f>-IFERROR('4. NPV'!#REF!/'4. NPV'!NUS$8,0)</f>
        <v>0</v>
      </c>
      <c r="NUS54" s="5">
        <f>-IFERROR('4. NPV'!#REF!/'4. NPV'!NUT$8,0)</f>
        <v>0</v>
      </c>
      <c r="NUT54" s="5">
        <f>-IFERROR('4. NPV'!#REF!/'4. NPV'!NUU$8,0)</f>
        <v>0</v>
      </c>
      <c r="NUU54" s="5">
        <f>-IFERROR('4. NPV'!#REF!/'4. NPV'!NUV$8,0)</f>
        <v>0</v>
      </c>
      <c r="NUV54" s="5">
        <f>-IFERROR('4. NPV'!#REF!/'4. NPV'!NUW$8,0)</f>
        <v>0</v>
      </c>
      <c r="NUW54" s="5">
        <f>-IFERROR('4. NPV'!#REF!/'4. NPV'!NUX$8,0)</f>
        <v>0</v>
      </c>
      <c r="NUX54" s="5">
        <f>-IFERROR('4. NPV'!#REF!/'4. NPV'!NUY$8,0)</f>
        <v>0</v>
      </c>
      <c r="NUY54" s="5">
        <f>-IFERROR('4. NPV'!#REF!/'4. NPV'!NUZ$8,0)</f>
        <v>0</v>
      </c>
      <c r="NUZ54" s="5">
        <f>-IFERROR('4. NPV'!#REF!/'4. NPV'!NVA$8,0)</f>
        <v>0</v>
      </c>
      <c r="NVA54" s="5">
        <f>-IFERROR('4. NPV'!#REF!/'4. NPV'!NVB$8,0)</f>
        <v>0</v>
      </c>
      <c r="NVB54" s="5">
        <f>-IFERROR('4. NPV'!#REF!/'4. NPV'!NVC$8,0)</f>
        <v>0</v>
      </c>
      <c r="NVC54" s="5">
        <f>-IFERROR('4. NPV'!#REF!/'4. NPV'!NVD$8,0)</f>
        <v>0</v>
      </c>
      <c r="NVD54" s="5">
        <f>-IFERROR('4. NPV'!#REF!/'4. NPV'!NVE$8,0)</f>
        <v>0</v>
      </c>
      <c r="NVE54" s="5">
        <f>-IFERROR('4. NPV'!#REF!/'4. NPV'!NVF$8,0)</f>
        <v>0</v>
      </c>
      <c r="NVF54" s="5">
        <f>-IFERROR('4. NPV'!#REF!/'4. NPV'!NVG$8,0)</f>
        <v>0</v>
      </c>
      <c r="NVG54" s="5">
        <f>-IFERROR('4. NPV'!#REF!/'4. NPV'!NVH$8,0)</f>
        <v>0</v>
      </c>
      <c r="NVH54" s="5">
        <f>-IFERROR('4. NPV'!#REF!/'4. NPV'!NVI$8,0)</f>
        <v>0</v>
      </c>
      <c r="NVI54" s="5">
        <f>-IFERROR('4. NPV'!#REF!/'4. NPV'!NVJ$8,0)</f>
        <v>0</v>
      </c>
      <c r="NVJ54" s="5">
        <f>-IFERROR('4. NPV'!#REF!/'4. NPV'!NVK$8,0)</f>
        <v>0</v>
      </c>
      <c r="NVK54" s="5">
        <f>-IFERROR('4. NPV'!#REF!/'4. NPV'!NVL$8,0)</f>
        <v>0</v>
      </c>
      <c r="NVL54" s="5">
        <f>-IFERROR('4. NPV'!#REF!/'4. NPV'!NVM$8,0)</f>
        <v>0</v>
      </c>
      <c r="NVM54" s="5">
        <f>-IFERROR('4. NPV'!#REF!/'4. NPV'!NVN$8,0)</f>
        <v>0</v>
      </c>
      <c r="NVN54" s="5">
        <f>-IFERROR('4. NPV'!#REF!/'4. NPV'!NVO$8,0)</f>
        <v>0</v>
      </c>
      <c r="NVO54" s="5">
        <f>-IFERROR('4. NPV'!#REF!/'4. NPV'!NVP$8,0)</f>
        <v>0</v>
      </c>
      <c r="NVP54" s="5">
        <f>-IFERROR('4. NPV'!#REF!/'4. NPV'!NVQ$8,0)</f>
        <v>0</v>
      </c>
      <c r="NVQ54" s="5">
        <f>-IFERROR('4. NPV'!#REF!/'4. NPV'!NVR$8,0)</f>
        <v>0</v>
      </c>
      <c r="NVR54" s="5">
        <f>-IFERROR('4. NPV'!#REF!/'4. NPV'!NVS$8,0)</f>
        <v>0</v>
      </c>
      <c r="NVS54" s="5">
        <f>-IFERROR('4. NPV'!#REF!/'4. NPV'!NVT$8,0)</f>
        <v>0</v>
      </c>
      <c r="NVT54" s="5">
        <f>-IFERROR('4. NPV'!#REF!/'4. NPV'!NVU$8,0)</f>
        <v>0</v>
      </c>
      <c r="NVU54" s="5">
        <f>-IFERROR('4. NPV'!#REF!/'4. NPV'!NVV$8,0)</f>
        <v>0</v>
      </c>
      <c r="NVV54" s="5">
        <f>-IFERROR('4. NPV'!#REF!/'4. NPV'!NVW$8,0)</f>
        <v>0</v>
      </c>
      <c r="NVW54" s="5">
        <f>-IFERROR('4. NPV'!#REF!/'4. NPV'!NVX$8,0)</f>
        <v>0</v>
      </c>
      <c r="NVX54" s="5">
        <f>-IFERROR('4. NPV'!#REF!/'4. NPV'!NVY$8,0)</f>
        <v>0</v>
      </c>
      <c r="NVY54" s="5">
        <f>-IFERROR('4. NPV'!#REF!/'4. NPV'!NVZ$8,0)</f>
        <v>0</v>
      </c>
      <c r="NVZ54" s="5">
        <f>-IFERROR('4. NPV'!#REF!/'4. NPV'!NWA$8,0)</f>
        <v>0</v>
      </c>
      <c r="NWA54" s="5">
        <f>-IFERROR('4. NPV'!#REF!/'4. NPV'!NWB$8,0)</f>
        <v>0</v>
      </c>
      <c r="NWB54" s="5">
        <f>-IFERROR('4. NPV'!#REF!/'4. NPV'!NWC$8,0)</f>
        <v>0</v>
      </c>
      <c r="NWC54" s="5">
        <f>-IFERROR('4. NPV'!#REF!/'4. NPV'!NWD$8,0)</f>
        <v>0</v>
      </c>
      <c r="NWD54" s="5">
        <f>-IFERROR('4. NPV'!#REF!/'4. NPV'!NWE$8,0)</f>
        <v>0</v>
      </c>
      <c r="NWE54" s="5">
        <f>-IFERROR('4. NPV'!#REF!/'4. NPV'!NWF$8,0)</f>
        <v>0</v>
      </c>
      <c r="NWF54" s="5">
        <f>-IFERROR('4. NPV'!#REF!/'4. NPV'!NWG$8,0)</f>
        <v>0</v>
      </c>
      <c r="NWG54" s="5">
        <f>-IFERROR('4. NPV'!#REF!/'4. NPV'!NWH$8,0)</f>
        <v>0</v>
      </c>
      <c r="NWH54" s="5">
        <f>-IFERROR('4. NPV'!#REF!/'4. NPV'!NWI$8,0)</f>
        <v>0</v>
      </c>
      <c r="NWI54" s="5">
        <f>-IFERROR('4. NPV'!#REF!/'4. NPV'!NWJ$8,0)</f>
        <v>0</v>
      </c>
      <c r="NWJ54" s="5">
        <f>-IFERROR('4. NPV'!#REF!/'4. NPV'!NWK$8,0)</f>
        <v>0</v>
      </c>
      <c r="NWK54" s="5">
        <f>-IFERROR('4. NPV'!#REF!/'4. NPV'!NWL$8,0)</f>
        <v>0</v>
      </c>
      <c r="NWL54" s="5">
        <f>-IFERROR('4. NPV'!#REF!/'4. NPV'!NWM$8,0)</f>
        <v>0</v>
      </c>
      <c r="NWM54" s="5">
        <f>-IFERROR('4. NPV'!#REF!/'4. NPV'!NWN$8,0)</f>
        <v>0</v>
      </c>
      <c r="NWN54" s="5">
        <f>-IFERROR('4. NPV'!#REF!/'4. NPV'!NWO$8,0)</f>
        <v>0</v>
      </c>
      <c r="NWO54" s="5">
        <f>-IFERROR('4. NPV'!#REF!/'4. NPV'!NWP$8,0)</f>
        <v>0</v>
      </c>
      <c r="NWP54" s="5">
        <f>-IFERROR('4. NPV'!#REF!/'4. NPV'!NWQ$8,0)</f>
        <v>0</v>
      </c>
      <c r="NWQ54" s="5">
        <f>-IFERROR('4. NPV'!#REF!/'4. NPV'!NWR$8,0)</f>
        <v>0</v>
      </c>
      <c r="NWR54" s="5">
        <f>-IFERROR('4. NPV'!#REF!/'4. NPV'!NWS$8,0)</f>
        <v>0</v>
      </c>
      <c r="NWS54" s="5">
        <f>-IFERROR('4. NPV'!#REF!/'4. NPV'!NWT$8,0)</f>
        <v>0</v>
      </c>
      <c r="NWT54" s="5">
        <f>-IFERROR('4. NPV'!#REF!/'4. NPV'!NWU$8,0)</f>
        <v>0</v>
      </c>
      <c r="NWU54" s="5">
        <f>-IFERROR('4. NPV'!#REF!/'4. NPV'!NWV$8,0)</f>
        <v>0</v>
      </c>
      <c r="NWV54" s="5">
        <f>-IFERROR('4. NPV'!#REF!/'4. NPV'!NWW$8,0)</f>
        <v>0</v>
      </c>
      <c r="NWW54" s="5">
        <f>-IFERROR('4. NPV'!#REF!/'4. NPV'!NWX$8,0)</f>
        <v>0</v>
      </c>
      <c r="NWX54" s="5">
        <f>-IFERROR('4. NPV'!#REF!/'4. NPV'!NWY$8,0)</f>
        <v>0</v>
      </c>
      <c r="NWY54" s="5">
        <f>-IFERROR('4. NPV'!#REF!/'4. NPV'!NWZ$8,0)</f>
        <v>0</v>
      </c>
      <c r="NWZ54" s="5">
        <f>-IFERROR('4. NPV'!#REF!/'4. NPV'!NXA$8,0)</f>
        <v>0</v>
      </c>
      <c r="NXA54" s="5">
        <f>-IFERROR('4. NPV'!#REF!/'4. NPV'!NXB$8,0)</f>
        <v>0</v>
      </c>
      <c r="NXB54" s="5">
        <f>-IFERROR('4. NPV'!#REF!/'4. NPV'!NXC$8,0)</f>
        <v>0</v>
      </c>
      <c r="NXC54" s="5">
        <f>-IFERROR('4. NPV'!#REF!/'4. NPV'!NXD$8,0)</f>
        <v>0</v>
      </c>
      <c r="NXD54" s="5">
        <f>-IFERROR('4. NPV'!#REF!/'4. NPV'!NXE$8,0)</f>
        <v>0</v>
      </c>
      <c r="NXE54" s="5">
        <f>-IFERROR('4. NPV'!#REF!/'4. NPV'!NXF$8,0)</f>
        <v>0</v>
      </c>
      <c r="NXF54" s="5">
        <f>-IFERROR('4. NPV'!#REF!/'4. NPV'!NXG$8,0)</f>
        <v>0</v>
      </c>
      <c r="NXG54" s="5">
        <f>-IFERROR('4. NPV'!#REF!/'4. NPV'!NXH$8,0)</f>
        <v>0</v>
      </c>
      <c r="NXH54" s="5">
        <f>-IFERROR('4. NPV'!#REF!/'4. NPV'!NXI$8,0)</f>
        <v>0</v>
      </c>
      <c r="NXI54" s="5">
        <f>-IFERROR('4. NPV'!#REF!/'4. NPV'!NXJ$8,0)</f>
        <v>0</v>
      </c>
      <c r="NXJ54" s="5">
        <f>-IFERROR('4. NPV'!#REF!/'4. NPV'!NXK$8,0)</f>
        <v>0</v>
      </c>
      <c r="NXK54" s="5">
        <f>-IFERROR('4. NPV'!#REF!/'4. NPV'!NXL$8,0)</f>
        <v>0</v>
      </c>
      <c r="NXL54" s="5">
        <f>-IFERROR('4. NPV'!#REF!/'4. NPV'!NXM$8,0)</f>
        <v>0</v>
      </c>
      <c r="NXM54" s="5">
        <f>-IFERROR('4. NPV'!#REF!/'4. NPV'!NXN$8,0)</f>
        <v>0</v>
      </c>
      <c r="NXN54" s="5">
        <f>-IFERROR('4. NPV'!#REF!/'4. NPV'!NXO$8,0)</f>
        <v>0</v>
      </c>
      <c r="NXO54" s="5">
        <f>-IFERROR('4. NPV'!#REF!/'4. NPV'!NXP$8,0)</f>
        <v>0</v>
      </c>
      <c r="NXP54" s="5">
        <f>-IFERROR('4. NPV'!#REF!/'4. NPV'!NXQ$8,0)</f>
        <v>0</v>
      </c>
      <c r="NXQ54" s="5">
        <f>-IFERROR('4. NPV'!#REF!/'4. NPV'!NXR$8,0)</f>
        <v>0</v>
      </c>
      <c r="NXR54" s="5">
        <f>-IFERROR('4. NPV'!#REF!/'4. NPV'!NXS$8,0)</f>
        <v>0</v>
      </c>
      <c r="NXS54" s="5">
        <f>-IFERROR('4. NPV'!#REF!/'4. NPV'!NXT$8,0)</f>
        <v>0</v>
      </c>
      <c r="NXT54" s="5">
        <f>-IFERROR('4. NPV'!#REF!/'4. NPV'!NXU$8,0)</f>
        <v>0</v>
      </c>
      <c r="NXU54" s="5">
        <f>-IFERROR('4. NPV'!#REF!/'4. NPV'!NXV$8,0)</f>
        <v>0</v>
      </c>
      <c r="NXV54" s="5">
        <f>-IFERROR('4. NPV'!#REF!/'4. NPV'!NXW$8,0)</f>
        <v>0</v>
      </c>
      <c r="NXW54" s="5">
        <f>-IFERROR('4. NPV'!#REF!/'4. NPV'!NXX$8,0)</f>
        <v>0</v>
      </c>
      <c r="NXX54" s="5">
        <f>-IFERROR('4. NPV'!#REF!/'4. NPV'!NXY$8,0)</f>
        <v>0</v>
      </c>
      <c r="NXY54" s="5">
        <f>-IFERROR('4. NPV'!#REF!/'4. NPV'!NXZ$8,0)</f>
        <v>0</v>
      </c>
      <c r="NXZ54" s="5">
        <f>-IFERROR('4. NPV'!#REF!/'4. NPV'!NYA$8,0)</f>
        <v>0</v>
      </c>
      <c r="NYA54" s="5">
        <f>-IFERROR('4. NPV'!#REF!/'4. NPV'!NYB$8,0)</f>
        <v>0</v>
      </c>
      <c r="NYB54" s="5">
        <f>-IFERROR('4. NPV'!#REF!/'4. NPV'!NYC$8,0)</f>
        <v>0</v>
      </c>
      <c r="NYC54" s="5">
        <f>-IFERROR('4. NPV'!#REF!/'4. NPV'!NYD$8,0)</f>
        <v>0</v>
      </c>
      <c r="NYD54" s="5">
        <f>-IFERROR('4. NPV'!#REF!/'4. NPV'!NYE$8,0)</f>
        <v>0</v>
      </c>
      <c r="NYE54" s="5">
        <f>-IFERROR('4. NPV'!#REF!/'4. NPV'!NYF$8,0)</f>
        <v>0</v>
      </c>
      <c r="NYF54" s="5">
        <f>-IFERROR('4. NPV'!#REF!/'4. NPV'!NYG$8,0)</f>
        <v>0</v>
      </c>
      <c r="NYG54" s="5">
        <f>-IFERROR('4. NPV'!#REF!/'4. NPV'!NYH$8,0)</f>
        <v>0</v>
      </c>
      <c r="NYH54" s="5">
        <f>-IFERROR('4. NPV'!#REF!/'4. NPV'!NYI$8,0)</f>
        <v>0</v>
      </c>
      <c r="NYI54" s="5">
        <f>-IFERROR('4. NPV'!#REF!/'4. NPV'!NYJ$8,0)</f>
        <v>0</v>
      </c>
      <c r="NYJ54" s="5">
        <f>-IFERROR('4. NPV'!#REF!/'4. NPV'!NYK$8,0)</f>
        <v>0</v>
      </c>
      <c r="NYK54" s="5">
        <f>-IFERROR('4. NPV'!#REF!/'4. NPV'!NYL$8,0)</f>
        <v>0</v>
      </c>
      <c r="NYL54" s="5">
        <f>-IFERROR('4. NPV'!#REF!/'4. NPV'!NYM$8,0)</f>
        <v>0</v>
      </c>
      <c r="NYM54" s="5">
        <f>-IFERROR('4. NPV'!#REF!/'4. NPV'!NYN$8,0)</f>
        <v>0</v>
      </c>
      <c r="NYN54" s="5">
        <f>-IFERROR('4. NPV'!#REF!/'4. NPV'!NYO$8,0)</f>
        <v>0</v>
      </c>
      <c r="NYO54" s="5">
        <f>-IFERROR('4. NPV'!#REF!/'4. NPV'!NYP$8,0)</f>
        <v>0</v>
      </c>
      <c r="NYP54" s="5">
        <f>-IFERROR('4. NPV'!#REF!/'4. NPV'!NYQ$8,0)</f>
        <v>0</v>
      </c>
      <c r="NYQ54" s="5">
        <f>-IFERROR('4. NPV'!#REF!/'4. NPV'!NYR$8,0)</f>
        <v>0</v>
      </c>
      <c r="NYR54" s="5">
        <f>-IFERROR('4. NPV'!#REF!/'4. NPV'!NYS$8,0)</f>
        <v>0</v>
      </c>
      <c r="NYS54" s="5">
        <f>-IFERROR('4. NPV'!#REF!/'4. NPV'!NYT$8,0)</f>
        <v>0</v>
      </c>
      <c r="NYT54" s="5">
        <f>-IFERROR('4. NPV'!#REF!/'4. NPV'!NYU$8,0)</f>
        <v>0</v>
      </c>
      <c r="NYU54" s="5">
        <f>-IFERROR('4. NPV'!#REF!/'4. NPV'!NYV$8,0)</f>
        <v>0</v>
      </c>
      <c r="NYV54" s="5">
        <f>-IFERROR('4. NPV'!#REF!/'4. NPV'!NYW$8,0)</f>
        <v>0</v>
      </c>
      <c r="NYW54" s="5">
        <f>-IFERROR('4. NPV'!#REF!/'4. NPV'!NYX$8,0)</f>
        <v>0</v>
      </c>
      <c r="NYX54" s="5">
        <f>-IFERROR('4. NPV'!#REF!/'4. NPV'!NYY$8,0)</f>
        <v>0</v>
      </c>
      <c r="NYY54" s="5">
        <f>-IFERROR('4. NPV'!#REF!/'4. NPV'!NYZ$8,0)</f>
        <v>0</v>
      </c>
      <c r="NYZ54" s="5">
        <f>-IFERROR('4. NPV'!#REF!/'4. NPV'!NZA$8,0)</f>
        <v>0</v>
      </c>
      <c r="NZA54" s="5">
        <f>-IFERROR('4. NPV'!#REF!/'4. NPV'!NZB$8,0)</f>
        <v>0</v>
      </c>
      <c r="NZB54" s="5">
        <f>-IFERROR('4. NPV'!#REF!/'4. NPV'!NZC$8,0)</f>
        <v>0</v>
      </c>
      <c r="NZC54" s="5">
        <f>-IFERROR('4. NPV'!#REF!/'4. NPV'!NZD$8,0)</f>
        <v>0</v>
      </c>
      <c r="NZD54" s="5">
        <f>-IFERROR('4. NPV'!#REF!/'4. NPV'!NZE$8,0)</f>
        <v>0</v>
      </c>
      <c r="NZE54" s="5">
        <f>-IFERROR('4. NPV'!#REF!/'4. NPV'!NZF$8,0)</f>
        <v>0</v>
      </c>
      <c r="NZF54" s="5">
        <f>-IFERROR('4. NPV'!#REF!/'4. NPV'!NZG$8,0)</f>
        <v>0</v>
      </c>
      <c r="NZG54" s="5">
        <f>-IFERROR('4. NPV'!#REF!/'4. NPV'!NZH$8,0)</f>
        <v>0</v>
      </c>
      <c r="NZH54" s="5">
        <f>-IFERROR('4. NPV'!#REF!/'4. NPV'!NZI$8,0)</f>
        <v>0</v>
      </c>
      <c r="NZI54" s="5">
        <f>-IFERROR('4. NPV'!#REF!/'4. NPV'!NZJ$8,0)</f>
        <v>0</v>
      </c>
      <c r="NZJ54" s="5">
        <f>-IFERROR('4. NPV'!#REF!/'4. NPV'!NZK$8,0)</f>
        <v>0</v>
      </c>
      <c r="NZK54" s="5">
        <f>-IFERROR('4. NPV'!#REF!/'4. NPV'!NZL$8,0)</f>
        <v>0</v>
      </c>
      <c r="NZL54" s="5">
        <f>-IFERROR('4. NPV'!#REF!/'4. NPV'!NZM$8,0)</f>
        <v>0</v>
      </c>
      <c r="NZM54" s="5">
        <f>-IFERROR('4. NPV'!#REF!/'4. NPV'!NZN$8,0)</f>
        <v>0</v>
      </c>
      <c r="NZN54" s="5">
        <f>-IFERROR('4. NPV'!#REF!/'4. NPV'!NZO$8,0)</f>
        <v>0</v>
      </c>
      <c r="NZO54" s="5">
        <f>-IFERROR('4. NPV'!#REF!/'4. NPV'!NZP$8,0)</f>
        <v>0</v>
      </c>
      <c r="NZP54" s="5">
        <f>-IFERROR('4. NPV'!#REF!/'4. NPV'!NZQ$8,0)</f>
        <v>0</v>
      </c>
      <c r="NZQ54" s="5">
        <f>-IFERROR('4. NPV'!#REF!/'4. NPV'!NZR$8,0)</f>
        <v>0</v>
      </c>
      <c r="NZR54" s="5">
        <f>-IFERROR('4. NPV'!#REF!/'4. NPV'!NZS$8,0)</f>
        <v>0</v>
      </c>
      <c r="NZS54" s="5">
        <f>-IFERROR('4. NPV'!#REF!/'4. NPV'!NZT$8,0)</f>
        <v>0</v>
      </c>
      <c r="NZT54" s="5">
        <f>-IFERROR('4. NPV'!#REF!/'4. NPV'!NZU$8,0)</f>
        <v>0</v>
      </c>
      <c r="NZU54" s="5">
        <f>-IFERROR('4. NPV'!#REF!/'4. NPV'!NZV$8,0)</f>
        <v>0</v>
      </c>
      <c r="NZV54" s="5">
        <f>-IFERROR('4. NPV'!#REF!/'4. NPV'!NZW$8,0)</f>
        <v>0</v>
      </c>
      <c r="NZW54" s="5">
        <f>-IFERROR('4. NPV'!#REF!/'4. NPV'!NZX$8,0)</f>
        <v>0</v>
      </c>
      <c r="NZX54" s="5">
        <f>-IFERROR('4. NPV'!#REF!/'4. NPV'!NZY$8,0)</f>
        <v>0</v>
      </c>
      <c r="NZY54" s="5">
        <f>-IFERROR('4. NPV'!#REF!/'4. NPV'!NZZ$8,0)</f>
        <v>0</v>
      </c>
      <c r="NZZ54" s="5">
        <f>-IFERROR('4. NPV'!#REF!/'4. NPV'!OAA$8,0)</f>
        <v>0</v>
      </c>
      <c r="OAA54" s="5">
        <f>-IFERROR('4. NPV'!#REF!/'4. NPV'!OAB$8,0)</f>
        <v>0</v>
      </c>
      <c r="OAB54" s="5">
        <f>-IFERROR('4. NPV'!#REF!/'4. NPV'!OAC$8,0)</f>
        <v>0</v>
      </c>
      <c r="OAC54" s="5">
        <f>-IFERROR('4. NPV'!#REF!/'4. NPV'!OAD$8,0)</f>
        <v>0</v>
      </c>
      <c r="OAD54" s="5">
        <f>-IFERROR('4. NPV'!#REF!/'4. NPV'!OAE$8,0)</f>
        <v>0</v>
      </c>
      <c r="OAE54" s="5">
        <f>-IFERROR('4. NPV'!#REF!/'4. NPV'!OAF$8,0)</f>
        <v>0</v>
      </c>
      <c r="OAF54" s="5">
        <f>-IFERROR('4. NPV'!#REF!/'4. NPV'!OAG$8,0)</f>
        <v>0</v>
      </c>
      <c r="OAG54" s="5">
        <f>-IFERROR('4. NPV'!#REF!/'4. NPV'!OAH$8,0)</f>
        <v>0</v>
      </c>
      <c r="OAH54" s="5">
        <f>-IFERROR('4. NPV'!#REF!/'4. NPV'!OAI$8,0)</f>
        <v>0</v>
      </c>
      <c r="OAI54" s="5">
        <f>-IFERROR('4. NPV'!#REF!/'4. NPV'!OAJ$8,0)</f>
        <v>0</v>
      </c>
      <c r="OAJ54" s="5">
        <f>-IFERROR('4. NPV'!#REF!/'4. NPV'!OAK$8,0)</f>
        <v>0</v>
      </c>
      <c r="OAK54" s="5">
        <f>-IFERROR('4. NPV'!#REF!/'4. NPV'!OAL$8,0)</f>
        <v>0</v>
      </c>
      <c r="OAL54" s="5">
        <f>-IFERROR('4. NPV'!#REF!/'4. NPV'!OAM$8,0)</f>
        <v>0</v>
      </c>
      <c r="OAM54" s="5">
        <f>-IFERROR('4. NPV'!#REF!/'4. NPV'!OAN$8,0)</f>
        <v>0</v>
      </c>
      <c r="OAN54" s="5">
        <f>-IFERROR('4. NPV'!#REF!/'4. NPV'!OAO$8,0)</f>
        <v>0</v>
      </c>
      <c r="OAO54" s="5">
        <f>-IFERROR('4. NPV'!#REF!/'4. NPV'!OAP$8,0)</f>
        <v>0</v>
      </c>
      <c r="OAP54" s="5">
        <f>-IFERROR('4. NPV'!#REF!/'4. NPV'!OAQ$8,0)</f>
        <v>0</v>
      </c>
      <c r="OAQ54" s="5">
        <f>-IFERROR('4. NPV'!#REF!/'4. NPV'!OAR$8,0)</f>
        <v>0</v>
      </c>
      <c r="OAR54" s="5">
        <f>-IFERROR('4. NPV'!#REF!/'4. NPV'!OAS$8,0)</f>
        <v>0</v>
      </c>
      <c r="OAS54" s="5">
        <f>-IFERROR('4. NPV'!#REF!/'4. NPV'!OAT$8,0)</f>
        <v>0</v>
      </c>
      <c r="OAT54" s="5">
        <f>-IFERROR('4. NPV'!#REF!/'4. NPV'!OAU$8,0)</f>
        <v>0</v>
      </c>
      <c r="OAU54" s="5">
        <f>-IFERROR('4. NPV'!#REF!/'4. NPV'!OAV$8,0)</f>
        <v>0</v>
      </c>
      <c r="OAV54" s="5">
        <f>-IFERROR('4. NPV'!#REF!/'4. NPV'!OAW$8,0)</f>
        <v>0</v>
      </c>
      <c r="OAW54" s="5">
        <f>-IFERROR('4. NPV'!#REF!/'4. NPV'!OAX$8,0)</f>
        <v>0</v>
      </c>
      <c r="OAX54" s="5">
        <f>-IFERROR('4. NPV'!#REF!/'4. NPV'!OAY$8,0)</f>
        <v>0</v>
      </c>
      <c r="OAY54" s="5">
        <f>-IFERROR('4. NPV'!#REF!/'4. NPV'!OAZ$8,0)</f>
        <v>0</v>
      </c>
      <c r="OAZ54" s="5">
        <f>-IFERROR('4. NPV'!#REF!/'4. NPV'!OBA$8,0)</f>
        <v>0</v>
      </c>
      <c r="OBA54" s="5">
        <f>-IFERROR('4. NPV'!#REF!/'4. NPV'!OBB$8,0)</f>
        <v>0</v>
      </c>
      <c r="OBB54" s="5">
        <f>-IFERROR('4. NPV'!#REF!/'4. NPV'!OBC$8,0)</f>
        <v>0</v>
      </c>
      <c r="OBC54" s="5">
        <f>-IFERROR('4. NPV'!#REF!/'4. NPV'!OBD$8,0)</f>
        <v>0</v>
      </c>
      <c r="OBD54" s="5">
        <f>-IFERROR('4. NPV'!#REF!/'4. NPV'!OBE$8,0)</f>
        <v>0</v>
      </c>
      <c r="OBE54" s="5">
        <f>-IFERROR('4. NPV'!#REF!/'4. NPV'!OBF$8,0)</f>
        <v>0</v>
      </c>
      <c r="OBF54" s="5">
        <f>-IFERROR('4. NPV'!#REF!/'4. NPV'!OBG$8,0)</f>
        <v>0</v>
      </c>
      <c r="OBG54" s="5">
        <f>-IFERROR('4. NPV'!#REF!/'4. NPV'!OBH$8,0)</f>
        <v>0</v>
      </c>
      <c r="OBH54" s="5">
        <f>-IFERROR('4. NPV'!#REF!/'4. NPV'!OBI$8,0)</f>
        <v>0</v>
      </c>
      <c r="OBI54" s="5">
        <f>-IFERROR('4. NPV'!#REF!/'4. NPV'!OBJ$8,0)</f>
        <v>0</v>
      </c>
      <c r="OBJ54" s="5">
        <f>-IFERROR('4. NPV'!#REF!/'4. NPV'!OBK$8,0)</f>
        <v>0</v>
      </c>
      <c r="OBK54" s="5">
        <f>-IFERROR('4. NPV'!#REF!/'4. NPV'!OBL$8,0)</f>
        <v>0</v>
      </c>
      <c r="OBL54" s="5">
        <f>-IFERROR('4. NPV'!#REF!/'4. NPV'!OBM$8,0)</f>
        <v>0</v>
      </c>
      <c r="OBM54" s="5">
        <f>-IFERROR('4. NPV'!#REF!/'4. NPV'!OBN$8,0)</f>
        <v>0</v>
      </c>
      <c r="OBN54" s="5">
        <f>-IFERROR('4. NPV'!#REF!/'4. NPV'!OBO$8,0)</f>
        <v>0</v>
      </c>
      <c r="OBO54" s="5">
        <f>-IFERROR('4. NPV'!#REF!/'4. NPV'!OBP$8,0)</f>
        <v>0</v>
      </c>
      <c r="OBP54" s="5">
        <f>-IFERROR('4. NPV'!#REF!/'4. NPV'!OBQ$8,0)</f>
        <v>0</v>
      </c>
      <c r="OBQ54" s="5">
        <f>-IFERROR('4. NPV'!#REF!/'4. NPV'!OBR$8,0)</f>
        <v>0</v>
      </c>
      <c r="OBR54" s="5">
        <f>-IFERROR('4. NPV'!#REF!/'4. NPV'!OBS$8,0)</f>
        <v>0</v>
      </c>
      <c r="OBS54" s="5">
        <f>-IFERROR('4. NPV'!#REF!/'4. NPV'!OBT$8,0)</f>
        <v>0</v>
      </c>
      <c r="OBT54" s="5">
        <f>-IFERROR('4. NPV'!#REF!/'4. NPV'!OBU$8,0)</f>
        <v>0</v>
      </c>
      <c r="OBU54" s="5">
        <f>-IFERROR('4. NPV'!#REF!/'4. NPV'!OBV$8,0)</f>
        <v>0</v>
      </c>
      <c r="OBV54" s="5">
        <f>-IFERROR('4. NPV'!#REF!/'4. NPV'!OBW$8,0)</f>
        <v>0</v>
      </c>
      <c r="OBW54" s="5">
        <f>-IFERROR('4. NPV'!#REF!/'4. NPV'!OBX$8,0)</f>
        <v>0</v>
      </c>
      <c r="OBX54" s="5">
        <f>-IFERROR('4. NPV'!#REF!/'4. NPV'!OBY$8,0)</f>
        <v>0</v>
      </c>
      <c r="OBY54" s="5">
        <f>-IFERROR('4. NPV'!#REF!/'4. NPV'!OBZ$8,0)</f>
        <v>0</v>
      </c>
      <c r="OBZ54" s="5">
        <f>-IFERROR('4. NPV'!#REF!/'4. NPV'!OCA$8,0)</f>
        <v>0</v>
      </c>
      <c r="OCA54" s="5">
        <f>-IFERROR('4. NPV'!#REF!/'4. NPV'!OCB$8,0)</f>
        <v>0</v>
      </c>
      <c r="OCB54" s="5">
        <f>-IFERROR('4. NPV'!#REF!/'4. NPV'!OCC$8,0)</f>
        <v>0</v>
      </c>
      <c r="OCC54" s="5">
        <f>-IFERROR('4. NPV'!#REF!/'4. NPV'!OCD$8,0)</f>
        <v>0</v>
      </c>
      <c r="OCD54" s="5">
        <f>-IFERROR('4. NPV'!#REF!/'4. NPV'!OCE$8,0)</f>
        <v>0</v>
      </c>
      <c r="OCE54" s="5">
        <f>-IFERROR('4. NPV'!#REF!/'4. NPV'!OCF$8,0)</f>
        <v>0</v>
      </c>
      <c r="OCF54" s="5">
        <f>-IFERROR('4. NPV'!#REF!/'4. NPV'!OCG$8,0)</f>
        <v>0</v>
      </c>
      <c r="OCG54" s="5">
        <f>-IFERROR('4. NPV'!#REF!/'4. NPV'!OCH$8,0)</f>
        <v>0</v>
      </c>
      <c r="OCH54" s="5">
        <f>-IFERROR('4. NPV'!#REF!/'4. NPV'!OCI$8,0)</f>
        <v>0</v>
      </c>
      <c r="OCI54" s="5">
        <f>-IFERROR('4. NPV'!#REF!/'4. NPV'!OCJ$8,0)</f>
        <v>0</v>
      </c>
      <c r="OCJ54" s="5">
        <f>-IFERROR('4. NPV'!#REF!/'4. NPV'!OCK$8,0)</f>
        <v>0</v>
      </c>
      <c r="OCK54" s="5">
        <f>-IFERROR('4. NPV'!#REF!/'4. NPV'!OCL$8,0)</f>
        <v>0</v>
      </c>
      <c r="OCL54" s="5">
        <f>-IFERROR('4. NPV'!#REF!/'4. NPV'!OCM$8,0)</f>
        <v>0</v>
      </c>
      <c r="OCM54" s="5">
        <f>-IFERROR('4. NPV'!#REF!/'4. NPV'!OCN$8,0)</f>
        <v>0</v>
      </c>
      <c r="OCN54" s="5">
        <f>-IFERROR('4. NPV'!#REF!/'4. NPV'!OCO$8,0)</f>
        <v>0</v>
      </c>
      <c r="OCO54" s="5">
        <f>-IFERROR('4. NPV'!#REF!/'4. NPV'!OCP$8,0)</f>
        <v>0</v>
      </c>
      <c r="OCP54" s="5">
        <f>-IFERROR('4. NPV'!#REF!/'4. NPV'!OCQ$8,0)</f>
        <v>0</v>
      </c>
      <c r="OCQ54" s="5">
        <f>-IFERROR('4. NPV'!#REF!/'4. NPV'!OCR$8,0)</f>
        <v>0</v>
      </c>
      <c r="OCR54" s="5">
        <f>-IFERROR('4. NPV'!#REF!/'4. NPV'!OCS$8,0)</f>
        <v>0</v>
      </c>
      <c r="OCS54" s="5">
        <f>-IFERROR('4. NPV'!#REF!/'4. NPV'!OCT$8,0)</f>
        <v>0</v>
      </c>
      <c r="OCT54" s="5">
        <f>-IFERROR('4. NPV'!#REF!/'4. NPV'!OCU$8,0)</f>
        <v>0</v>
      </c>
      <c r="OCU54" s="5">
        <f>-IFERROR('4. NPV'!#REF!/'4. NPV'!OCV$8,0)</f>
        <v>0</v>
      </c>
      <c r="OCV54" s="5">
        <f>-IFERROR('4. NPV'!#REF!/'4. NPV'!OCW$8,0)</f>
        <v>0</v>
      </c>
      <c r="OCW54" s="5">
        <f>-IFERROR('4. NPV'!#REF!/'4. NPV'!OCX$8,0)</f>
        <v>0</v>
      </c>
      <c r="OCX54" s="5">
        <f>-IFERROR('4. NPV'!#REF!/'4. NPV'!OCY$8,0)</f>
        <v>0</v>
      </c>
      <c r="OCY54" s="5">
        <f>-IFERROR('4. NPV'!#REF!/'4. NPV'!OCZ$8,0)</f>
        <v>0</v>
      </c>
      <c r="OCZ54" s="5">
        <f>-IFERROR('4. NPV'!#REF!/'4. NPV'!ODA$8,0)</f>
        <v>0</v>
      </c>
      <c r="ODA54" s="5">
        <f>-IFERROR('4. NPV'!#REF!/'4. NPV'!ODB$8,0)</f>
        <v>0</v>
      </c>
      <c r="ODB54" s="5">
        <f>-IFERROR('4. NPV'!#REF!/'4. NPV'!ODC$8,0)</f>
        <v>0</v>
      </c>
      <c r="ODC54" s="5">
        <f>-IFERROR('4. NPV'!#REF!/'4. NPV'!ODD$8,0)</f>
        <v>0</v>
      </c>
      <c r="ODD54" s="5">
        <f>-IFERROR('4. NPV'!#REF!/'4. NPV'!ODE$8,0)</f>
        <v>0</v>
      </c>
      <c r="ODE54" s="5">
        <f>-IFERROR('4. NPV'!#REF!/'4. NPV'!ODF$8,0)</f>
        <v>0</v>
      </c>
      <c r="ODF54" s="5">
        <f>-IFERROR('4. NPV'!#REF!/'4. NPV'!ODG$8,0)</f>
        <v>0</v>
      </c>
      <c r="ODG54" s="5">
        <f>-IFERROR('4. NPV'!#REF!/'4. NPV'!ODH$8,0)</f>
        <v>0</v>
      </c>
      <c r="ODH54" s="5">
        <f>-IFERROR('4. NPV'!#REF!/'4. NPV'!ODI$8,0)</f>
        <v>0</v>
      </c>
      <c r="ODI54" s="5">
        <f>-IFERROR('4. NPV'!#REF!/'4. NPV'!ODJ$8,0)</f>
        <v>0</v>
      </c>
      <c r="ODJ54" s="5">
        <f>-IFERROR('4. NPV'!#REF!/'4. NPV'!ODK$8,0)</f>
        <v>0</v>
      </c>
      <c r="ODK54" s="5">
        <f>-IFERROR('4. NPV'!#REF!/'4. NPV'!ODL$8,0)</f>
        <v>0</v>
      </c>
      <c r="ODL54" s="5">
        <f>-IFERROR('4. NPV'!#REF!/'4. NPV'!ODM$8,0)</f>
        <v>0</v>
      </c>
      <c r="ODM54" s="5">
        <f>-IFERROR('4. NPV'!#REF!/'4. NPV'!ODN$8,0)</f>
        <v>0</v>
      </c>
      <c r="ODN54" s="5">
        <f>-IFERROR('4. NPV'!#REF!/'4. NPV'!ODO$8,0)</f>
        <v>0</v>
      </c>
      <c r="ODO54" s="5">
        <f>-IFERROR('4. NPV'!#REF!/'4. NPV'!ODP$8,0)</f>
        <v>0</v>
      </c>
      <c r="ODP54" s="5">
        <f>-IFERROR('4. NPV'!#REF!/'4. NPV'!ODQ$8,0)</f>
        <v>0</v>
      </c>
      <c r="ODQ54" s="5">
        <f>-IFERROR('4. NPV'!#REF!/'4. NPV'!ODR$8,0)</f>
        <v>0</v>
      </c>
      <c r="ODR54" s="5">
        <f>-IFERROR('4. NPV'!#REF!/'4. NPV'!ODS$8,0)</f>
        <v>0</v>
      </c>
      <c r="ODS54" s="5">
        <f>-IFERROR('4. NPV'!#REF!/'4. NPV'!ODT$8,0)</f>
        <v>0</v>
      </c>
      <c r="ODT54" s="5">
        <f>-IFERROR('4. NPV'!#REF!/'4. NPV'!ODU$8,0)</f>
        <v>0</v>
      </c>
      <c r="ODU54" s="5">
        <f>-IFERROR('4. NPV'!#REF!/'4. NPV'!ODV$8,0)</f>
        <v>0</v>
      </c>
      <c r="ODV54" s="5">
        <f>-IFERROR('4. NPV'!#REF!/'4. NPV'!ODW$8,0)</f>
        <v>0</v>
      </c>
      <c r="ODW54" s="5">
        <f>-IFERROR('4. NPV'!#REF!/'4. NPV'!ODX$8,0)</f>
        <v>0</v>
      </c>
      <c r="ODX54" s="5">
        <f>-IFERROR('4. NPV'!#REF!/'4. NPV'!ODY$8,0)</f>
        <v>0</v>
      </c>
      <c r="ODY54" s="5">
        <f>-IFERROR('4. NPV'!#REF!/'4. NPV'!ODZ$8,0)</f>
        <v>0</v>
      </c>
      <c r="ODZ54" s="5">
        <f>-IFERROR('4. NPV'!#REF!/'4. NPV'!OEA$8,0)</f>
        <v>0</v>
      </c>
      <c r="OEA54" s="5">
        <f>-IFERROR('4. NPV'!#REF!/'4. NPV'!OEB$8,0)</f>
        <v>0</v>
      </c>
      <c r="OEB54" s="5">
        <f>-IFERROR('4. NPV'!#REF!/'4. NPV'!OEC$8,0)</f>
        <v>0</v>
      </c>
      <c r="OEC54" s="5">
        <f>-IFERROR('4. NPV'!#REF!/'4. NPV'!OED$8,0)</f>
        <v>0</v>
      </c>
      <c r="OED54" s="5">
        <f>-IFERROR('4. NPV'!#REF!/'4. NPV'!OEE$8,0)</f>
        <v>0</v>
      </c>
      <c r="OEE54" s="5">
        <f>-IFERROR('4. NPV'!#REF!/'4. NPV'!OEF$8,0)</f>
        <v>0</v>
      </c>
      <c r="OEF54" s="5">
        <f>-IFERROR('4. NPV'!#REF!/'4. NPV'!OEG$8,0)</f>
        <v>0</v>
      </c>
      <c r="OEG54" s="5">
        <f>-IFERROR('4. NPV'!#REF!/'4. NPV'!OEH$8,0)</f>
        <v>0</v>
      </c>
      <c r="OEH54" s="5">
        <f>-IFERROR('4. NPV'!#REF!/'4. NPV'!OEI$8,0)</f>
        <v>0</v>
      </c>
      <c r="OEI54" s="5">
        <f>-IFERROR('4. NPV'!#REF!/'4. NPV'!OEJ$8,0)</f>
        <v>0</v>
      </c>
      <c r="OEJ54" s="5">
        <f>-IFERROR('4. NPV'!#REF!/'4. NPV'!OEK$8,0)</f>
        <v>0</v>
      </c>
      <c r="OEK54" s="5">
        <f>-IFERROR('4. NPV'!#REF!/'4. NPV'!OEL$8,0)</f>
        <v>0</v>
      </c>
      <c r="OEL54" s="5">
        <f>-IFERROR('4. NPV'!#REF!/'4. NPV'!OEM$8,0)</f>
        <v>0</v>
      </c>
      <c r="OEM54" s="5">
        <f>-IFERROR('4. NPV'!#REF!/'4. NPV'!OEN$8,0)</f>
        <v>0</v>
      </c>
      <c r="OEN54" s="5">
        <f>-IFERROR('4. NPV'!#REF!/'4. NPV'!OEO$8,0)</f>
        <v>0</v>
      </c>
      <c r="OEO54" s="5">
        <f>-IFERROR('4. NPV'!#REF!/'4. NPV'!OEP$8,0)</f>
        <v>0</v>
      </c>
      <c r="OEP54" s="5">
        <f>-IFERROR('4. NPV'!#REF!/'4. NPV'!OEQ$8,0)</f>
        <v>0</v>
      </c>
      <c r="OEQ54" s="5">
        <f>-IFERROR('4. NPV'!#REF!/'4. NPV'!OER$8,0)</f>
        <v>0</v>
      </c>
      <c r="OER54" s="5">
        <f>-IFERROR('4. NPV'!#REF!/'4. NPV'!OES$8,0)</f>
        <v>0</v>
      </c>
      <c r="OES54" s="5">
        <f>-IFERROR('4. NPV'!#REF!/'4. NPV'!OET$8,0)</f>
        <v>0</v>
      </c>
      <c r="OET54" s="5">
        <f>-IFERROR('4. NPV'!#REF!/'4. NPV'!OEU$8,0)</f>
        <v>0</v>
      </c>
      <c r="OEU54" s="5">
        <f>-IFERROR('4. NPV'!#REF!/'4. NPV'!OEV$8,0)</f>
        <v>0</v>
      </c>
      <c r="OEV54" s="5">
        <f>-IFERROR('4. NPV'!#REF!/'4. NPV'!OEW$8,0)</f>
        <v>0</v>
      </c>
      <c r="OEW54" s="5">
        <f>-IFERROR('4. NPV'!#REF!/'4. NPV'!OEX$8,0)</f>
        <v>0</v>
      </c>
      <c r="OEX54" s="5">
        <f>-IFERROR('4. NPV'!#REF!/'4. NPV'!OEY$8,0)</f>
        <v>0</v>
      </c>
      <c r="OEY54" s="5">
        <f>-IFERROR('4. NPV'!#REF!/'4. NPV'!OEZ$8,0)</f>
        <v>0</v>
      </c>
      <c r="OEZ54" s="5">
        <f>-IFERROR('4. NPV'!#REF!/'4. NPV'!OFA$8,0)</f>
        <v>0</v>
      </c>
      <c r="OFA54" s="5">
        <f>-IFERROR('4. NPV'!#REF!/'4. NPV'!OFB$8,0)</f>
        <v>0</v>
      </c>
      <c r="OFB54" s="5">
        <f>-IFERROR('4. NPV'!#REF!/'4. NPV'!OFC$8,0)</f>
        <v>0</v>
      </c>
      <c r="OFC54" s="5">
        <f>-IFERROR('4. NPV'!#REF!/'4. NPV'!OFD$8,0)</f>
        <v>0</v>
      </c>
      <c r="OFD54" s="5">
        <f>-IFERROR('4. NPV'!#REF!/'4. NPV'!OFE$8,0)</f>
        <v>0</v>
      </c>
      <c r="OFE54" s="5">
        <f>-IFERROR('4. NPV'!#REF!/'4. NPV'!OFF$8,0)</f>
        <v>0</v>
      </c>
      <c r="OFF54" s="5">
        <f>-IFERROR('4. NPV'!#REF!/'4. NPV'!OFG$8,0)</f>
        <v>0</v>
      </c>
      <c r="OFG54" s="5">
        <f>-IFERROR('4. NPV'!#REF!/'4. NPV'!OFH$8,0)</f>
        <v>0</v>
      </c>
      <c r="OFH54" s="5">
        <f>-IFERROR('4. NPV'!#REF!/'4. NPV'!OFI$8,0)</f>
        <v>0</v>
      </c>
      <c r="OFI54" s="5">
        <f>-IFERROR('4. NPV'!#REF!/'4. NPV'!OFJ$8,0)</f>
        <v>0</v>
      </c>
      <c r="OFJ54" s="5">
        <f>-IFERROR('4. NPV'!#REF!/'4. NPV'!OFK$8,0)</f>
        <v>0</v>
      </c>
      <c r="OFK54" s="5">
        <f>-IFERROR('4. NPV'!#REF!/'4. NPV'!OFL$8,0)</f>
        <v>0</v>
      </c>
      <c r="OFL54" s="5">
        <f>-IFERROR('4. NPV'!#REF!/'4. NPV'!OFM$8,0)</f>
        <v>0</v>
      </c>
      <c r="OFM54" s="5">
        <f>-IFERROR('4. NPV'!#REF!/'4. NPV'!OFN$8,0)</f>
        <v>0</v>
      </c>
      <c r="OFN54" s="5">
        <f>-IFERROR('4. NPV'!#REF!/'4. NPV'!OFO$8,0)</f>
        <v>0</v>
      </c>
      <c r="OFO54" s="5">
        <f>-IFERROR('4. NPV'!#REF!/'4. NPV'!OFP$8,0)</f>
        <v>0</v>
      </c>
      <c r="OFP54" s="5">
        <f>-IFERROR('4. NPV'!#REF!/'4. NPV'!OFQ$8,0)</f>
        <v>0</v>
      </c>
      <c r="OFQ54" s="5">
        <f>-IFERROR('4. NPV'!#REF!/'4. NPV'!OFR$8,0)</f>
        <v>0</v>
      </c>
      <c r="OFR54" s="5">
        <f>-IFERROR('4. NPV'!#REF!/'4. NPV'!OFS$8,0)</f>
        <v>0</v>
      </c>
      <c r="OFS54" s="5">
        <f>-IFERROR('4. NPV'!#REF!/'4. NPV'!OFT$8,0)</f>
        <v>0</v>
      </c>
      <c r="OFT54" s="5">
        <f>-IFERROR('4. NPV'!#REF!/'4. NPV'!OFU$8,0)</f>
        <v>0</v>
      </c>
      <c r="OFU54" s="5">
        <f>-IFERROR('4. NPV'!#REF!/'4. NPV'!OFV$8,0)</f>
        <v>0</v>
      </c>
      <c r="OFV54" s="5">
        <f>-IFERROR('4. NPV'!#REF!/'4. NPV'!OFW$8,0)</f>
        <v>0</v>
      </c>
      <c r="OFW54" s="5">
        <f>-IFERROR('4. NPV'!#REF!/'4. NPV'!OFX$8,0)</f>
        <v>0</v>
      </c>
      <c r="OFX54" s="5">
        <f>-IFERROR('4. NPV'!#REF!/'4. NPV'!OFY$8,0)</f>
        <v>0</v>
      </c>
      <c r="OFY54" s="5">
        <f>-IFERROR('4. NPV'!#REF!/'4. NPV'!OFZ$8,0)</f>
        <v>0</v>
      </c>
      <c r="OFZ54" s="5">
        <f>-IFERROR('4. NPV'!#REF!/'4. NPV'!OGA$8,0)</f>
        <v>0</v>
      </c>
      <c r="OGA54" s="5">
        <f>-IFERROR('4. NPV'!#REF!/'4. NPV'!OGB$8,0)</f>
        <v>0</v>
      </c>
      <c r="OGB54" s="5">
        <f>-IFERROR('4. NPV'!#REF!/'4. NPV'!OGC$8,0)</f>
        <v>0</v>
      </c>
      <c r="OGC54" s="5">
        <f>-IFERROR('4. NPV'!#REF!/'4. NPV'!OGD$8,0)</f>
        <v>0</v>
      </c>
      <c r="OGD54" s="5">
        <f>-IFERROR('4. NPV'!#REF!/'4. NPV'!OGE$8,0)</f>
        <v>0</v>
      </c>
      <c r="OGE54" s="5">
        <f>-IFERROR('4. NPV'!#REF!/'4. NPV'!OGF$8,0)</f>
        <v>0</v>
      </c>
      <c r="OGF54" s="5">
        <f>-IFERROR('4. NPV'!#REF!/'4. NPV'!OGG$8,0)</f>
        <v>0</v>
      </c>
      <c r="OGG54" s="5">
        <f>-IFERROR('4. NPV'!#REF!/'4. NPV'!OGH$8,0)</f>
        <v>0</v>
      </c>
      <c r="OGH54" s="5">
        <f>-IFERROR('4. NPV'!#REF!/'4. NPV'!OGI$8,0)</f>
        <v>0</v>
      </c>
      <c r="OGI54" s="5">
        <f>-IFERROR('4. NPV'!#REF!/'4. NPV'!OGJ$8,0)</f>
        <v>0</v>
      </c>
      <c r="OGJ54" s="5">
        <f>-IFERROR('4. NPV'!#REF!/'4. NPV'!OGK$8,0)</f>
        <v>0</v>
      </c>
      <c r="OGK54" s="5">
        <f>-IFERROR('4. NPV'!#REF!/'4. NPV'!OGL$8,0)</f>
        <v>0</v>
      </c>
      <c r="OGL54" s="5">
        <f>-IFERROR('4. NPV'!#REF!/'4. NPV'!OGM$8,0)</f>
        <v>0</v>
      </c>
      <c r="OGM54" s="5">
        <f>-IFERROR('4. NPV'!#REF!/'4. NPV'!OGN$8,0)</f>
        <v>0</v>
      </c>
      <c r="OGN54" s="5">
        <f>-IFERROR('4. NPV'!#REF!/'4. NPV'!OGO$8,0)</f>
        <v>0</v>
      </c>
      <c r="OGO54" s="5">
        <f>-IFERROR('4. NPV'!#REF!/'4. NPV'!OGP$8,0)</f>
        <v>0</v>
      </c>
      <c r="OGP54" s="5">
        <f>-IFERROR('4. NPV'!#REF!/'4. NPV'!OGQ$8,0)</f>
        <v>0</v>
      </c>
      <c r="OGQ54" s="5">
        <f>-IFERROR('4. NPV'!#REF!/'4. NPV'!OGR$8,0)</f>
        <v>0</v>
      </c>
      <c r="OGR54" s="5">
        <f>-IFERROR('4. NPV'!#REF!/'4. NPV'!OGS$8,0)</f>
        <v>0</v>
      </c>
      <c r="OGS54" s="5">
        <f>-IFERROR('4. NPV'!#REF!/'4. NPV'!OGT$8,0)</f>
        <v>0</v>
      </c>
      <c r="OGT54" s="5">
        <f>-IFERROR('4. NPV'!#REF!/'4. NPV'!OGU$8,0)</f>
        <v>0</v>
      </c>
      <c r="OGU54" s="5">
        <f>-IFERROR('4. NPV'!#REF!/'4. NPV'!OGV$8,0)</f>
        <v>0</v>
      </c>
      <c r="OGV54" s="5">
        <f>-IFERROR('4. NPV'!#REF!/'4. NPV'!OGW$8,0)</f>
        <v>0</v>
      </c>
      <c r="OGW54" s="5">
        <f>-IFERROR('4. NPV'!#REF!/'4. NPV'!OGX$8,0)</f>
        <v>0</v>
      </c>
      <c r="OGX54" s="5">
        <f>-IFERROR('4. NPV'!#REF!/'4. NPV'!OGY$8,0)</f>
        <v>0</v>
      </c>
      <c r="OGY54" s="5">
        <f>-IFERROR('4. NPV'!#REF!/'4. NPV'!OGZ$8,0)</f>
        <v>0</v>
      </c>
      <c r="OGZ54" s="5">
        <f>-IFERROR('4. NPV'!#REF!/'4. NPV'!OHA$8,0)</f>
        <v>0</v>
      </c>
      <c r="OHA54" s="5">
        <f>-IFERROR('4. NPV'!#REF!/'4. NPV'!OHB$8,0)</f>
        <v>0</v>
      </c>
      <c r="OHB54" s="5">
        <f>-IFERROR('4. NPV'!#REF!/'4. NPV'!OHC$8,0)</f>
        <v>0</v>
      </c>
      <c r="OHC54" s="5">
        <f>-IFERROR('4. NPV'!#REF!/'4. NPV'!OHD$8,0)</f>
        <v>0</v>
      </c>
      <c r="OHD54" s="5">
        <f>-IFERROR('4. NPV'!#REF!/'4. NPV'!OHE$8,0)</f>
        <v>0</v>
      </c>
      <c r="OHE54" s="5">
        <f>-IFERROR('4. NPV'!#REF!/'4. NPV'!OHF$8,0)</f>
        <v>0</v>
      </c>
      <c r="OHF54" s="5">
        <f>-IFERROR('4. NPV'!#REF!/'4. NPV'!OHG$8,0)</f>
        <v>0</v>
      </c>
      <c r="OHG54" s="5">
        <f>-IFERROR('4. NPV'!#REF!/'4. NPV'!OHH$8,0)</f>
        <v>0</v>
      </c>
      <c r="OHH54" s="5">
        <f>-IFERROR('4. NPV'!#REF!/'4. NPV'!OHI$8,0)</f>
        <v>0</v>
      </c>
      <c r="OHI54" s="5">
        <f>-IFERROR('4. NPV'!#REF!/'4. NPV'!OHJ$8,0)</f>
        <v>0</v>
      </c>
      <c r="OHJ54" s="5">
        <f>-IFERROR('4. NPV'!#REF!/'4. NPV'!OHK$8,0)</f>
        <v>0</v>
      </c>
      <c r="OHK54" s="5">
        <f>-IFERROR('4. NPV'!#REF!/'4. NPV'!OHL$8,0)</f>
        <v>0</v>
      </c>
      <c r="OHL54" s="5">
        <f>-IFERROR('4. NPV'!#REF!/'4. NPV'!OHM$8,0)</f>
        <v>0</v>
      </c>
      <c r="OHM54" s="5">
        <f>-IFERROR('4. NPV'!#REF!/'4. NPV'!OHN$8,0)</f>
        <v>0</v>
      </c>
      <c r="OHN54" s="5">
        <f>-IFERROR('4. NPV'!#REF!/'4. NPV'!OHO$8,0)</f>
        <v>0</v>
      </c>
      <c r="OHO54" s="5">
        <f>-IFERROR('4. NPV'!#REF!/'4. NPV'!OHP$8,0)</f>
        <v>0</v>
      </c>
      <c r="OHP54" s="5">
        <f>-IFERROR('4. NPV'!#REF!/'4. NPV'!OHQ$8,0)</f>
        <v>0</v>
      </c>
      <c r="OHQ54" s="5">
        <f>-IFERROR('4. NPV'!#REF!/'4. NPV'!OHR$8,0)</f>
        <v>0</v>
      </c>
      <c r="OHR54" s="5">
        <f>-IFERROR('4. NPV'!#REF!/'4. NPV'!OHS$8,0)</f>
        <v>0</v>
      </c>
      <c r="OHS54" s="5">
        <f>-IFERROR('4. NPV'!#REF!/'4. NPV'!OHT$8,0)</f>
        <v>0</v>
      </c>
      <c r="OHT54" s="5">
        <f>-IFERROR('4. NPV'!#REF!/'4. NPV'!OHU$8,0)</f>
        <v>0</v>
      </c>
      <c r="OHU54" s="5">
        <f>-IFERROR('4. NPV'!#REF!/'4. NPV'!OHV$8,0)</f>
        <v>0</v>
      </c>
      <c r="OHV54" s="5">
        <f>-IFERROR('4. NPV'!#REF!/'4. NPV'!OHW$8,0)</f>
        <v>0</v>
      </c>
      <c r="OHW54" s="5">
        <f>-IFERROR('4. NPV'!#REF!/'4. NPV'!OHX$8,0)</f>
        <v>0</v>
      </c>
      <c r="OHX54" s="5">
        <f>-IFERROR('4. NPV'!#REF!/'4. NPV'!OHY$8,0)</f>
        <v>0</v>
      </c>
      <c r="OHY54" s="5">
        <f>-IFERROR('4. NPV'!#REF!/'4. NPV'!OHZ$8,0)</f>
        <v>0</v>
      </c>
      <c r="OHZ54" s="5">
        <f>-IFERROR('4. NPV'!#REF!/'4. NPV'!OIA$8,0)</f>
        <v>0</v>
      </c>
      <c r="OIA54" s="5">
        <f>-IFERROR('4. NPV'!#REF!/'4. NPV'!OIB$8,0)</f>
        <v>0</v>
      </c>
      <c r="OIB54" s="5">
        <f>-IFERROR('4. NPV'!#REF!/'4. NPV'!OIC$8,0)</f>
        <v>0</v>
      </c>
      <c r="OIC54" s="5">
        <f>-IFERROR('4. NPV'!#REF!/'4. NPV'!OID$8,0)</f>
        <v>0</v>
      </c>
      <c r="OID54" s="5">
        <f>-IFERROR('4. NPV'!#REF!/'4. NPV'!OIE$8,0)</f>
        <v>0</v>
      </c>
      <c r="OIE54" s="5">
        <f>-IFERROR('4. NPV'!#REF!/'4. NPV'!OIF$8,0)</f>
        <v>0</v>
      </c>
      <c r="OIF54" s="5">
        <f>-IFERROR('4. NPV'!#REF!/'4. NPV'!OIG$8,0)</f>
        <v>0</v>
      </c>
      <c r="OIG54" s="5">
        <f>-IFERROR('4. NPV'!#REF!/'4. NPV'!OIH$8,0)</f>
        <v>0</v>
      </c>
      <c r="OIH54" s="5">
        <f>-IFERROR('4. NPV'!#REF!/'4. NPV'!OII$8,0)</f>
        <v>0</v>
      </c>
      <c r="OII54" s="5">
        <f>-IFERROR('4. NPV'!#REF!/'4. NPV'!OIJ$8,0)</f>
        <v>0</v>
      </c>
      <c r="OIJ54" s="5">
        <f>-IFERROR('4. NPV'!#REF!/'4. NPV'!OIK$8,0)</f>
        <v>0</v>
      </c>
      <c r="OIK54" s="5">
        <f>-IFERROR('4. NPV'!#REF!/'4. NPV'!OIL$8,0)</f>
        <v>0</v>
      </c>
      <c r="OIL54" s="5">
        <f>-IFERROR('4. NPV'!#REF!/'4. NPV'!OIM$8,0)</f>
        <v>0</v>
      </c>
      <c r="OIM54" s="5">
        <f>-IFERROR('4. NPV'!#REF!/'4. NPV'!OIN$8,0)</f>
        <v>0</v>
      </c>
      <c r="OIN54" s="5">
        <f>-IFERROR('4. NPV'!#REF!/'4. NPV'!OIO$8,0)</f>
        <v>0</v>
      </c>
      <c r="OIO54" s="5">
        <f>-IFERROR('4. NPV'!#REF!/'4. NPV'!OIP$8,0)</f>
        <v>0</v>
      </c>
      <c r="OIP54" s="5">
        <f>-IFERROR('4. NPV'!#REF!/'4. NPV'!OIQ$8,0)</f>
        <v>0</v>
      </c>
      <c r="OIQ54" s="5">
        <f>-IFERROR('4. NPV'!#REF!/'4. NPV'!OIR$8,0)</f>
        <v>0</v>
      </c>
      <c r="OIR54" s="5">
        <f>-IFERROR('4. NPV'!#REF!/'4. NPV'!OIS$8,0)</f>
        <v>0</v>
      </c>
      <c r="OIS54" s="5">
        <f>-IFERROR('4. NPV'!#REF!/'4. NPV'!OIT$8,0)</f>
        <v>0</v>
      </c>
      <c r="OIT54" s="5">
        <f>-IFERROR('4. NPV'!#REF!/'4. NPV'!OIU$8,0)</f>
        <v>0</v>
      </c>
      <c r="OIU54" s="5">
        <f>-IFERROR('4. NPV'!#REF!/'4. NPV'!OIV$8,0)</f>
        <v>0</v>
      </c>
      <c r="OIV54" s="5">
        <f>-IFERROR('4. NPV'!#REF!/'4. NPV'!OIW$8,0)</f>
        <v>0</v>
      </c>
      <c r="OIW54" s="5">
        <f>-IFERROR('4. NPV'!#REF!/'4. NPV'!OIX$8,0)</f>
        <v>0</v>
      </c>
      <c r="OIX54" s="5">
        <f>-IFERROR('4. NPV'!#REF!/'4. NPV'!OIY$8,0)</f>
        <v>0</v>
      </c>
      <c r="OIY54" s="5">
        <f>-IFERROR('4. NPV'!#REF!/'4. NPV'!OIZ$8,0)</f>
        <v>0</v>
      </c>
      <c r="OIZ54" s="5">
        <f>-IFERROR('4. NPV'!#REF!/'4. NPV'!OJA$8,0)</f>
        <v>0</v>
      </c>
      <c r="OJA54" s="5">
        <f>-IFERROR('4. NPV'!#REF!/'4. NPV'!OJB$8,0)</f>
        <v>0</v>
      </c>
      <c r="OJB54" s="5">
        <f>-IFERROR('4. NPV'!#REF!/'4. NPV'!OJC$8,0)</f>
        <v>0</v>
      </c>
      <c r="OJC54" s="5">
        <f>-IFERROR('4. NPV'!#REF!/'4. NPV'!OJD$8,0)</f>
        <v>0</v>
      </c>
      <c r="OJD54" s="5">
        <f>-IFERROR('4. NPV'!#REF!/'4. NPV'!OJE$8,0)</f>
        <v>0</v>
      </c>
      <c r="OJE54" s="5">
        <f>-IFERROR('4. NPV'!#REF!/'4. NPV'!OJF$8,0)</f>
        <v>0</v>
      </c>
      <c r="OJF54" s="5">
        <f>-IFERROR('4. NPV'!#REF!/'4. NPV'!OJG$8,0)</f>
        <v>0</v>
      </c>
      <c r="OJG54" s="5">
        <f>-IFERROR('4. NPV'!#REF!/'4. NPV'!OJH$8,0)</f>
        <v>0</v>
      </c>
      <c r="OJH54" s="5">
        <f>-IFERROR('4. NPV'!#REF!/'4. NPV'!OJI$8,0)</f>
        <v>0</v>
      </c>
      <c r="OJI54" s="5">
        <f>-IFERROR('4. NPV'!#REF!/'4. NPV'!OJJ$8,0)</f>
        <v>0</v>
      </c>
      <c r="OJJ54" s="5">
        <f>-IFERROR('4. NPV'!#REF!/'4. NPV'!OJK$8,0)</f>
        <v>0</v>
      </c>
      <c r="OJK54" s="5">
        <f>-IFERROR('4. NPV'!#REF!/'4. NPV'!OJL$8,0)</f>
        <v>0</v>
      </c>
      <c r="OJL54" s="5">
        <f>-IFERROR('4. NPV'!#REF!/'4. NPV'!OJM$8,0)</f>
        <v>0</v>
      </c>
      <c r="OJM54" s="5">
        <f>-IFERROR('4. NPV'!#REF!/'4. NPV'!OJN$8,0)</f>
        <v>0</v>
      </c>
      <c r="OJN54" s="5">
        <f>-IFERROR('4. NPV'!#REF!/'4. NPV'!OJO$8,0)</f>
        <v>0</v>
      </c>
      <c r="OJO54" s="5">
        <f>-IFERROR('4. NPV'!#REF!/'4. NPV'!OJP$8,0)</f>
        <v>0</v>
      </c>
      <c r="OJP54" s="5">
        <f>-IFERROR('4. NPV'!#REF!/'4. NPV'!OJQ$8,0)</f>
        <v>0</v>
      </c>
      <c r="OJQ54" s="5">
        <f>-IFERROR('4. NPV'!#REF!/'4. NPV'!OJR$8,0)</f>
        <v>0</v>
      </c>
      <c r="OJR54" s="5">
        <f>-IFERROR('4. NPV'!#REF!/'4. NPV'!OJS$8,0)</f>
        <v>0</v>
      </c>
      <c r="OJS54" s="5">
        <f>-IFERROR('4. NPV'!#REF!/'4. NPV'!OJT$8,0)</f>
        <v>0</v>
      </c>
      <c r="OJT54" s="5">
        <f>-IFERROR('4. NPV'!#REF!/'4. NPV'!OJU$8,0)</f>
        <v>0</v>
      </c>
      <c r="OJU54" s="5">
        <f>-IFERROR('4. NPV'!#REF!/'4. NPV'!OJV$8,0)</f>
        <v>0</v>
      </c>
      <c r="OJV54" s="5">
        <f>-IFERROR('4. NPV'!#REF!/'4. NPV'!OJW$8,0)</f>
        <v>0</v>
      </c>
      <c r="OJW54" s="5">
        <f>-IFERROR('4. NPV'!#REF!/'4. NPV'!OJX$8,0)</f>
        <v>0</v>
      </c>
      <c r="OJX54" s="5">
        <f>-IFERROR('4. NPV'!#REF!/'4. NPV'!OJY$8,0)</f>
        <v>0</v>
      </c>
      <c r="OJY54" s="5">
        <f>-IFERROR('4. NPV'!#REF!/'4. NPV'!OJZ$8,0)</f>
        <v>0</v>
      </c>
      <c r="OJZ54" s="5">
        <f>-IFERROR('4. NPV'!#REF!/'4. NPV'!OKA$8,0)</f>
        <v>0</v>
      </c>
      <c r="OKA54" s="5">
        <f>-IFERROR('4. NPV'!#REF!/'4. NPV'!OKB$8,0)</f>
        <v>0</v>
      </c>
      <c r="OKB54" s="5">
        <f>-IFERROR('4. NPV'!#REF!/'4. NPV'!OKC$8,0)</f>
        <v>0</v>
      </c>
      <c r="OKC54" s="5">
        <f>-IFERROR('4. NPV'!#REF!/'4. NPV'!OKD$8,0)</f>
        <v>0</v>
      </c>
      <c r="OKD54" s="5">
        <f>-IFERROR('4. NPV'!#REF!/'4. NPV'!OKE$8,0)</f>
        <v>0</v>
      </c>
      <c r="OKE54" s="5">
        <f>-IFERROR('4. NPV'!#REF!/'4. NPV'!OKF$8,0)</f>
        <v>0</v>
      </c>
      <c r="OKF54" s="5">
        <f>-IFERROR('4. NPV'!#REF!/'4. NPV'!OKG$8,0)</f>
        <v>0</v>
      </c>
      <c r="OKG54" s="5">
        <f>-IFERROR('4. NPV'!#REF!/'4. NPV'!OKH$8,0)</f>
        <v>0</v>
      </c>
      <c r="OKH54" s="5">
        <f>-IFERROR('4. NPV'!#REF!/'4. NPV'!OKI$8,0)</f>
        <v>0</v>
      </c>
      <c r="OKI54" s="5">
        <f>-IFERROR('4. NPV'!#REF!/'4. NPV'!OKJ$8,0)</f>
        <v>0</v>
      </c>
      <c r="OKJ54" s="5">
        <f>-IFERROR('4. NPV'!#REF!/'4. NPV'!OKK$8,0)</f>
        <v>0</v>
      </c>
      <c r="OKK54" s="5">
        <f>-IFERROR('4. NPV'!#REF!/'4. NPV'!OKL$8,0)</f>
        <v>0</v>
      </c>
      <c r="OKL54" s="5">
        <f>-IFERROR('4. NPV'!#REF!/'4. NPV'!OKM$8,0)</f>
        <v>0</v>
      </c>
      <c r="OKM54" s="5">
        <f>-IFERROR('4. NPV'!#REF!/'4. NPV'!OKN$8,0)</f>
        <v>0</v>
      </c>
      <c r="OKN54" s="5">
        <f>-IFERROR('4. NPV'!#REF!/'4. NPV'!OKO$8,0)</f>
        <v>0</v>
      </c>
      <c r="OKO54" s="5">
        <f>-IFERROR('4. NPV'!#REF!/'4. NPV'!OKP$8,0)</f>
        <v>0</v>
      </c>
      <c r="OKP54" s="5">
        <f>-IFERROR('4. NPV'!#REF!/'4. NPV'!OKQ$8,0)</f>
        <v>0</v>
      </c>
      <c r="OKQ54" s="5">
        <f>-IFERROR('4. NPV'!#REF!/'4. NPV'!OKR$8,0)</f>
        <v>0</v>
      </c>
      <c r="OKR54" s="5">
        <f>-IFERROR('4. NPV'!#REF!/'4. NPV'!OKS$8,0)</f>
        <v>0</v>
      </c>
      <c r="OKS54" s="5">
        <f>-IFERROR('4. NPV'!#REF!/'4. NPV'!OKT$8,0)</f>
        <v>0</v>
      </c>
      <c r="OKT54" s="5">
        <f>-IFERROR('4. NPV'!#REF!/'4. NPV'!OKU$8,0)</f>
        <v>0</v>
      </c>
      <c r="OKU54" s="5">
        <f>-IFERROR('4. NPV'!#REF!/'4. NPV'!OKV$8,0)</f>
        <v>0</v>
      </c>
      <c r="OKV54" s="5">
        <f>-IFERROR('4. NPV'!#REF!/'4. NPV'!OKW$8,0)</f>
        <v>0</v>
      </c>
      <c r="OKW54" s="5">
        <f>-IFERROR('4. NPV'!#REF!/'4. NPV'!OKX$8,0)</f>
        <v>0</v>
      </c>
      <c r="OKX54" s="5">
        <f>-IFERROR('4. NPV'!#REF!/'4. NPV'!OKY$8,0)</f>
        <v>0</v>
      </c>
      <c r="OKY54" s="5">
        <f>-IFERROR('4. NPV'!#REF!/'4. NPV'!OKZ$8,0)</f>
        <v>0</v>
      </c>
      <c r="OKZ54" s="5">
        <f>-IFERROR('4. NPV'!#REF!/'4. NPV'!OLA$8,0)</f>
        <v>0</v>
      </c>
      <c r="OLA54" s="5">
        <f>-IFERROR('4. NPV'!#REF!/'4. NPV'!OLB$8,0)</f>
        <v>0</v>
      </c>
      <c r="OLB54" s="5">
        <f>-IFERROR('4. NPV'!#REF!/'4. NPV'!OLC$8,0)</f>
        <v>0</v>
      </c>
      <c r="OLC54" s="5">
        <f>-IFERROR('4. NPV'!#REF!/'4. NPV'!OLD$8,0)</f>
        <v>0</v>
      </c>
      <c r="OLD54" s="5">
        <f>-IFERROR('4. NPV'!#REF!/'4. NPV'!OLE$8,0)</f>
        <v>0</v>
      </c>
      <c r="OLE54" s="5">
        <f>-IFERROR('4. NPV'!#REF!/'4. NPV'!OLF$8,0)</f>
        <v>0</v>
      </c>
      <c r="OLF54" s="5">
        <f>-IFERROR('4. NPV'!#REF!/'4. NPV'!OLG$8,0)</f>
        <v>0</v>
      </c>
      <c r="OLG54" s="5">
        <f>-IFERROR('4. NPV'!#REF!/'4. NPV'!OLH$8,0)</f>
        <v>0</v>
      </c>
      <c r="OLH54" s="5">
        <f>-IFERROR('4. NPV'!#REF!/'4. NPV'!OLI$8,0)</f>
        <v>0</v>
      </c>
      <c r="OLI54" s="5">
        <f>-IFERROR('4. NPV'!#REF!/'4. NPV'!OLJ$8,0)</f>
        <v>0</v>
      </c>
      <c r="OLJ54" s="5">
        <f>-IFERROR('4. NPV'!#REF!/'4. NPV'!OLK$8,0)</f>
        <v>0</v>
      </c>
      <c r="OLK54" s="5">
        <f>-IFERROR('4. NPV'!#REF!/'4. NPV'!OLL$8,0)</f>
        <v>0</v>
      </c>
      <c r="OLL54" s="5">
        <f>-IFERROR('4. NPV'!#REF!/'4. NPV'!OLM$8,0)</f>
        <v>0</v>
      </c>
      <c r="OLM54" s="5">
        <f>-IFERROR('4. NPV'!#REF!/'4. NPV'!OLN$8,0)</f>
        <v>0</v>
      </c>
      <c r="OLN54" s="5">
        <f>-IFERROR('4. NPV'!#REF!/'4. NPV'!OLO$8,0)</f>
        <v>0</v>
      </c>
      <c r="OLO54" s="5">
        <f>-IFERROR('4. NPV'!#REF!/'4. NPV'!OLP$8,0)</f>
        <v>0</v>
      </c>
      <c r="OLP54" s="5">
        <f>-IFERROR('4. NPV'!#REF!/'4. NPV'!OLQ$8,0)</f>
        <v>0</v>
      </c>
      <c r="OLQ54" s="5">
        <f>-IFERROR('4. NPV'!#REF!/'4. NPV'!OLR$8,0)</f>
        <v>0</v>
      </c>
      <c r="OLR54" s="5">
        <f>-IFERROR('4. NPV'!#REF!/'4. NPV'!OLS$8,0)</f>
        <v>0</v>
      </c>
      <c r="OLS54" s="5">
        <f>-IFERROR('4. NPV'!#REF!/'4. NPV'!OLT$8,0)</f>
        <v>0</v>
      </c>
      <c r="OLT54" s="5">
        <f>-IFERROR('4. NPV'!#REF!/'4. NPV'!OLU$8,0)</f>
        <v>0</v>
      </c>
      <c r="OLU54" s="5">
        <f>-IFERROR('4. NPV'!#REF!/'4. NPV'!OLV$8,0)</f>
        <v>0</v>
      </c>
      <c r="OLV54" s="5">
        <f>-IFERROR('4. NPV'!#REF!/'4. NPV'!OLW$8,0)</f>
        <v>0</v>
      </c>
      <c r="OLW54" s="5">
        <f>-IFERROR('4. NPV'!#REF!/'4. NPV'!OLX$8,0)</f>
        <v>0</v>
      </c>
      <c r="OLX54" s="5">
        <f>-IFERROR('4. NPV'!#REF!/'4. NPV'!OLY$8,0)</f>
        <v>0</v>
      </c>
      <c r="OLY54" s="5">
        <f>-IFERROR('4. NPV'!#REF!/'4. NPV'!OLZ$8,0)</f>
        <v>0</v>
      </c>
      <c r="OLZ54" s="5">
        <f>-IFERROR('4. NPV'!#REF!/'4. NPV'!OMA$8,0)</f>
        <v>0</v>
      </c>
      <c r="OMA54" s="5">
        <f>-IFERROR('4. NPV'!#REF!/'4. NPV'!OMB$8,0)</f>
        <v>0</v>
      </c>
      <c r="OMB54" s="5">
        <f>-IFERROR('4. NPV'!#REF!/'4. NPV'!OMC$8,0)</f>
        <v>0</v>
      </c>
      <c r="OMC54" s="5">
        <f>-IFERROR('4. NPV'!#REF!/'4. NPV'!OMD$8,0)</f>
        <v>0</v>
      </c>
      <c r="OMD54" s="5">
        <f>-IFERROR('4. NPV'!#REF!/'4. NPV'!OME$8,0)</f>
        <v>0</v>
      </c>
      <c r="OME54" s="5">
        <f>-IFERROR('4. NPV'!#REF!/'4. NPV'!OMF$8,0)</f>
        <v>0</v>
      </c>
      <c r="OMF54" s="5">
        <f>-IFERROR('4. NPV'!#REF!/'4. NPV'!OMG$8,0)</f>
        <v>0</v>
      </c>
      <c r="OMG54" s="5">
        <f>-IFERROR('4. NPV'!#REF!/'4. NPV'!OMH$8,0)</f>
        <v>0</v>
      </c>
      <c r="OMH54" s="5">
        <f>-IFERROR('4. NPV'!#REF!/'4. NPV'!OMI$8,0)</f>
        <v>0</v>
      </c>
      <c r="OMI54" s="5">
        <f>-IFERROR('4. NPV'!#REF!/'4. NPV'!OMJ$8,0)</f>
        <v>0</v>
      </c>
      <c r="OMJ54" s="5">
        <f>-IFERROR('4. NPV'!#REF!/'4. NPV'!OMK$8,0)</f>
        <v>0</v>
      </c>
      <c r="OMK54" s="5">
        <f>-IFERROR('4. NPV'!#REF!/'4. NPV'!OML$8,0)</f>
        <v>0</v>
      </c>
      <c r="OML54" s="5">
        <f>-IFERROR('4. NPV'!#REF!/'4. NPV'!OMM$8,0)</f>
        <v>0</v>
      </c>
      <c r="OMM54" s="5">
        <f>-IFERROR('4. NPV'!#REF!/'4. NPV'!OMN$8,0)</f>
        <v>0</v>
      </c>
      <c r="OMN54" s="5">
        <f>-IFERROR('4. NPV'!#REF!/'4. NPV'!OMO$8,0)</f>
        <v>0</v>
      </c>
      <c r="OMO54" s="5">
        <f>-IFERROR('4. NPV'!#REF!/'4. NPV'!OMP$8,0)</f>
        <v>0</v>
      </c>
      <c r="OMP54" s="5">
        <f>-IFERROR('4. NPV'!#REF!/'4. NPV'!OMQ$8,0)</f>
        <v>0</v>
      </c>
      <c r="OMQ54" s="5">
        <f>-IFERROR('4. NPV'!#REF!/'4. NPV'!OMR$8,0)</f>
        <v>0</v>
      </c>
      <c r="OMR54" s="5">
        <f>-IFERROR('4. NPV'!#REF!/'4. NPV'!OMS$8,0)</f>
        <v>0</v>
      </c>
      <c r="OMS54" s="5">
        <f>-IFERROR('4. NPV'!#REF!/'4. NPV'!OMT$8,0)</f>
        <v>0</v>
      </c>
      <c r="OMT54" s="5">
        <f>-IFERROR('4. NPV'!#REF!/'4. NPV'!OMU$8,0)</f>
        <v>0</v>
      </c>
      <c r="OMU54" s="5">
        <f>-IFERROR('4. NPV'!#REF!/'4. NPV'!OMV$8,0)</f>
        <v>0</v>
      </c>
      <c r="OMV54" s="5">
        <f>-IFERROR('4. NPV'!#REF!/'4. NPV'!OMW$8,0)</f>
        <v>0</v>
      </c>
      <c r="OMW54" s="5">
        <f>-IFERROR('4. NPV'!#REF!/'4. NPV'!OMX$8,0)</f>
        <v>0</v>
      </c>
      <c r="OMX54" s="5">
        <f>-IFERROR('4. NPV'!#REF!/'4. NPV'!OMY$8,0)</f>
        <v>0</v>
      </c>
      <c r="OMY54" s="5">
        <f>-IFERROR('4. NPV'!#REF!/'4. NPV'!OMZ$8,0)</f>
        <v>0</v>
      </c>
      <c r="OMZ54" s="5">
        <f>-IFERROR('4. NPV'!#REF!/'4. NPV'!ONA$8,0)</f>
        <v>0</v>
      </c>
      <c r="ONA54" s="5">
        <f>-IFERROR('4. NPV'!#REF!/'4. NPV'!ONB$8,0)</f>
        <v>0</v>
      </c>
      <c r="ONB54" s="5">
        <f>-IFERROR('4. NPV'!#REF!/'4. NPV'!ONC$8,0)</f>
        <v>0</v>
      </c>
      <c r="ONC54" s="5">
        <f>-IFERROR('4. NPV'!#REF!/'4. NPV'!OND$8,0)</f>
        <v>0</v>
      </c>
      <c r="OND54" s="5">
        <f>-IFERROR('4. NPV'!#REF!/'4. NPV'!ONE$8,0)</f>
        <v>0</v>
      </c>
      <c r="ONE54" s="5">
        <f>-IFERROR('4. NPV'!#REF!/'4. NPV'!ONF$8,0)</f>
        <v>0</v>
      </c>
      <c r="ONF54" s="5">
        <f>-IFERROR('4. NPV'!#REF!/'4. NPV'!ONG$8,0)</f>
        <v>0</v>
      </c>
      <c r="ONG54" s="5">
        <f>-IFERROR('4. NPV'!#REF!/'4. NPV'!ONH$8,0)</f>
        <v>0</v>
      </c>
      <c r="ONH54" s="5">
        <f>-IFERROR('4. NPV'!#REF!/'4. NPV'!ONI$8,0)</f>
        <v>0</v>
      </c>
      <c r="ONI54" s="5">
        <f>-IFERROR('4. NPV'!#REF!/'4. NPV'!ONJ$8,0)</f>
        <v>0</v>
      </c>
      <c r="ONJ54" s="5">
        <f>-IFERROR('4. NPV'!#REF!/'4. NPV'!ONK$8,0)</f>
        <v>0</v>
      </c>
      <c r="ONK54" s="5">
        <f>-IFERROR('4. NPV'!#REF!/'4. NPV'!ONL$8,0)</f>
        <v>0</v>
      </c>
      <c r="ONL54" s="5">
        <f>-IFERROR('4. NPV'!#REF!/'4. NPV'!ONM$8,0)</f>
        <v>0</v>
      </c>
      <c r="ONM54" s="5">
        <f>-IFERROR('4. NPV'!#REF!/'4. NPV'!ONN$8,0)</f>
        <v>0</v>
      </c>
      <c r="ONN54" s="5">
        <f>-IFERROR('4. NPV'!#REF!/'4. NPV'!ONO$8,0)</f>
        <v>0</v>
      </c>
      <c r="ONO54" s="5">
        <f>-IFERROR('4. NPV'!#REF!/'4. NPV'!ONP$8,0)</f>
        <v>0</v>
      </c>
      <c r="ONP54" s="5">
        <f>-IFERROR('4. NPV'!#REF!/'4. NPV'!ONQ$8,0)</f>
        <v>0</v>
      </c>
      <c r="ONQ54" s="5">
        <f>-IFERROR('4. NPV'!#REF!/'4. NPV'!ONR$8,0)</f>
        <v>0</v>
      </c>
      <c r="ONR54" s="5">
        <f>-IFERROR('4. NPV'!#REF!/'4. NPV'!ONS$8,0)</f>
        <v>0</v>
      </c>
      <c r="ONS54" s="5">
        <f>-IFERROR('4. NPV'!#REF!/'4. NPV'!ONT$8,0)</f>
        <v>0</v>
      </c>
      <c r="ONT54" s="5">
        <f>-IFERROR('4. NPV'!#REF!/'4. NPV'!ONU$8,0)</f>
        <v>0</v>
      </c>
      <c r="ONU54" s="5">
        <f>-IFERROR('4. NPV'!#REF!/'4. NPV'!ONV$8,0)</f>
        <v>0</v>
      </c>
      <c r="ONV54" s="5">
        <f>-IFERROR('4. NPV'!#REF!/'4. NPV'!ONW$8,0)</f>
        <v>0</v>
      </c>
      <c r="ONW54" s="5">
        <f>-IFERROR('4. NPV'!#REF!/'4. NPV'!ONX$8,0)</f>
        <v>0</v>
      </c>
      <c r="ONX54" s="5">
        <f>-IFERROR('4. NPV'!#REF!/'4. NPV'!ONY$8,0)</f>
        <v>0</v>
      </c>
      <c r="ONY54" s="5">
        <f>-IFERROR('4. NPV'!#REF!/'4. NPV'!ONZ$8,0)</f>
        <v>0</v>
      </c>
      <c r="ONZ54" s="5">
        <f>-IFERROR('4. NPV'!#REF!/'4. NPV'!OOA$8,0)</f>
        <v>0</v>
      </c>
      <c r="OOA54" s="5">
        <f>-IFERROR('4. NPV'!#REF!/'4. NPV'!OOB$8,0)</f>
        <v>0</v>
      </c>
      <c r="OOB54" s="5">
        <f>-IFERROR('4. NPV'!#REF!/'4. NPV'!OOC$8,0)</f>
        <v>0</v>
      </c>
      <c r="OOC54" s="5">
        <f>-IFERROR('4. NPV'!#REF!/'4. NPV'!OOD$8,0)</f>
        <v>0</v>
      </c>
      <c r="OOD54" s="5">
        <f>-IFERROR('4. NPV'!#REF!/'4. NPV'!OOE$8,0)</f>
        <v>0</v>
      </c>
      <c r="OOE54" s="5">
        <f>-IFERROR('4. NPV'!#REF!/'4. NPV'!OOF$8,0)</f>
        <v>0</v>
      </c>
      <c r="OOF54" s="5">
        <f>-IFERROR('4. NPV'!#REF!/'4. NPV'!OOG$8,0)</f>
        <v>0</v>
      </c>
      <c r="OOG54" s="5">
        <f>-IFERROR('4. NPV'!#REF!/'4. NPV'!OOH$8,0)</f>
        <v>0</v>
      </c>
      <c r="OOH54" s="5">
        <f>-IFERROR('4. NPV'!#REF!/'4. NPV'!OOI$8,0)</f>
        <v>0</v>
      </c>
      <c r="OOI54" s="5">
        <f>-IFERROR('4. NPV'!#REF!/'4. NPV'!OOJ$8,0)</f>
        <v>0</v>
      </c>
      <c r="OOJ54" s="5">
        <f>-IFERROR('4. NPV'!#REF!/'4. NPV'!OOK$8,0)</f>
        <v>0</v>
      </c>
      <c r="OOK54" s="5">
        <f>-IFERROR('4. NPV'!#REF!/'4. NPV'!OOL$8,0)</f>
        <v>0</v>
      </c>
      <c r="OOL54" s="5">
        <f>-IFERROR('4. NPV'!#REF!/'4. NPV'!OOM$8,0)</f>
        <v>0</v>
      </c>
      <c r="OOM54" s="5">
        <f>-IFERROR('4. NPV'!#REF!/'4. NPV'!OON$8,0)</f>
        <v>0</v>
      </c>
      <c r="OON54" s="5">
        <f>-IFERROR('4. NPV'!#REF!/'4. NPV'!OOO$8,0)</f>
        <v>0</v>
      </c>
      <c r="OOO54" s="5">
        <f>-IFERROR('4. NPV'!#REF!/'4. NPV'!OOP$8,0)</f>
        <v>0</v>
      </c>
      <c r="OOP54" s="5">
        <f>-IFERROR('4. NPV'!#REF!/'4. NPV'!OOQ$8,0)</f>
        <v>0</v>
      </c>
      <c r="OOQ54" s="5">
        <f>-IFERROR('4. NPV'!#REF!/'4. NPV'!OOR$8,0)</f>
        <v>0</v>
      </c>
      <c r="OOR54" s="5">
        <f>-IFERROR('4. NPV'!#REF!/'4. NPV'!OOS$8,0)</f>
        <v>0</v>
      </c>
      <c r="OOS54" s="5">
        <f>-IFERROR('4. NPV'!#REF!/'4. NPV'!OOT$8,0)</f>
        <v>0</v>
      </c>
      <c r="OOT54" s="5">
        <f>-IFERROR('4. NPV'!#REF!/'4. NPV'!OOU$8,0)</f>
        <v>0</v>
      </c>
      <c r="OOU54" s="5">
        <f>-IFERROR('4. NPV'!#REF!/'4. NPV'!OOV$8,0)</f>
        <v>0</v>
      </c>
      <c r="OOV54" s="5">
        <f>-IFERROR('4. NPV'!#REF!/'4. NPV'!OOW$8,0)</f>
        <v>0</v>
      </c>
      <c r="OOW54" s="5">
        <f>-IFERROR('4. NPV'!#REF!/'4. NPV'!OOX$8,0)</f>
        <v>0</v>
      </c>
      <c r="OOX54" s="5">
        <f>-IFERROR('4. NPV'!#REF!/'4. NPV'!OOY$8,0)</f>
        <v>0</v>
      </c>
      <c r="OOY54" s="5">
        <f>-IFERROR('4. NPV'!#REF!/'4. NPV'!OOZ$8,0)</f>
        <v>0</v>
      </c>
      <c r="OOZ54" s="5">
        <f>-IFERROR('4. NPV'!#REF!/'4. NPV'!OPA$8,0)</f>
        <v>0</v>
      </c>
      <c r="OPA54" s="5">
        <f>-IFERROR('4. NPV'!#REF!/'4. NPV'!OPB$8,0)</f>
        <v>0</v>
      </c>
      <c r="OPB54" s="5">
        <f>-IFERROR('4. NPV'!#REF!/'4. NPV'!OPC$8,0)</f>
        <v>0</v>
      </c>
      <c r="OPC54" s="5">
        <f>-IFERROR('4. NPV'!#REF!/'4. NPV'!OPD$8,0)</f>
        <v>0</v>
      </c>
      <c r="OPD54" s="5">
        <f>-IFERROR('4. NPV'!#REF!/'4. NPV'!OPE$8,0)</f>
        <v>0</v>
      </c>
      <c r="OPE54" s="5">
        <f>-IFERROR('4. NPV'!#REF!/'4. NPV'!OPF$8,0)</f>
        <v>0</v>
      </c>
      <c r="OPF54" s="5">
        <f>-IFERROR('4. NPV'!#REF!/'4. NPV'!OPG$8,0)</f>
        <v>0</v>
      </c>
      <c r="OPG54" s="5">
        <f>-IFERROR('4. NPV'!#REF!/'4. NPV'!OPH$8,0)</f>
        <v>0</v>
      </c>
      <c r="OPH54" s="5">
        <f>-IFERROR('4. NPV'!#REF!/'4. NPV'!OPI$8,0)</f>
        <v>0</v>
      </c>
      <c r="OPI54" s="5">
        <f>-IFERROR('4. NPV'!#REF!/'4. NPV'!OPJ$8,0)</f>
        <v>0</v>
      </c>
      <c r="OPJ54" s="5">
        <f>-IFERROR('4. NPV'!#REF!/'4. NPV'!OPK$8,0)</f>
        <v>0</v>
      </c>
      <c r="OPK54" s="5">
        <f>-IFERROR('4. NPV'!#REF!/'4. NPV'!OPL$8,0)</f>
        <v>0</v>
      </c>
      <c r="OPL54" s="5">
        <f>-IFERROR('4. NPV'!#REF!/'4. NPV'!OPM$8,0)</f>
        <v>0</v>
      </c>
      <c r="OPM54" s="5">
        <f>-IFERROR('4. NPV'!#REF!/'4. NPV'!OPN$8,0)</f>
        <v>0</v>
      </c>
      <c r="OPN54" s="5">
        <f>-IFERROR('4. NPV'!#REF!/'4. NPV'!OPO$8,0)</f>
        <v>0</v>
      </c>
      <c r="OPO54" s="5">
        <f>-IFERROR('4. NPV'!#REF!/'4. NPV'!OPP$8,0)</f>
        <v>0</v>
      </c>
      <c r="OPP54" s="5">
        <f>-IFERROR('4. NPV'!#REF!/'4. NPV'!OPQ$8,0)</f>
        <v>0</v>
      </c>
      <c r="OPQ54" s="5">
        <f>-IFERROR('4. NPV'!#REF!/'4. NPV'!OPR$8,0)</f>
        <v>0</v>
      </c>
      <c r="OPR54" s="5">
        <f>-IFERROR('4. NPV'!#REF!/'4. NPV'!OPS$8,0)</f>
        <v>0</v>
      </c>
      <c r="OPS54" s="5">
        <f>-IFERROR('4. NPV'!#REF!/'4. NPV'!OPT$8,0)</f>
        <v>0</v>
      </c>
      <c r="OPT54" s="5">
        <f>-IFERROR('4. NPV'!#REF!/'4. NPV'!OPU$8,0)</f>
        <v>0</v>
      </c>
      <c r="OPU54" s="5">
        <f>-IFERROR('4. NPV'!#REF!/'4. NPV'!OPV$8,0)</f>
        <v>0</v>
      </c>
      <c r="OPV54" s="5">
        <f>-IFERROR('4. NPV'!#REF!/'4. NPV'!OPW$8,0)</f>
        <v>0</v>
      </c>
      <c r="OPW54" s="5">
        <f>-IFERROR('4. NPV'!#REF!/'4. NPV'!OPX$8,0)</f>
        <v>0</v>
      </c>
      <c r="OPX54" s="5">
        <f>-IFERROR('4. NPV'!#REF!/'4. NPV'!OPY$8,0)</f>
        <v>0</v>
      </c>
      <c r="OPY54" s="5">
        <f>-IFERROR('4. NPV'!#REF!/'4. NPV'!OPZ$8,0)</f>
        <v>0</v>
      </c>
      <c r="OPZ54" s="5">
        <f>-IFERROR('4. NPV'!#REF!/'4. NPV'!OQA$8,0)</f>
        <v>0</v>
      </c>
      <c r="OQA54" s="5">
        <f>-IFERROR('4. NPV'!#REF!/'4. NPV'!OQB$8,0)</f>
        <v>0</v>
      </c>
      <c r="OQB54" s="5">
        <f>-IFERROR('4. NPV'!#REF!/'4. NPV'!OQC$8,0)</f>
        <v>0</v>
      </c>
      <c r="OQC54" s="5">
        <f>-IFERROR('4. NPV'!#REF!/'4. NPV'!OQD$8,0)</f>
        <v>0</v>
      </c>
      <c r="OQD54" s="5">
        <f>-IFERROR('4. NPV'!#REF!/'4. NPV'!OQE$8,0)</f>
        <v>0</v>
      </c>
      <c r="OQE54" s="5">
        <f>-IFERROR('4. NPV'!#REF!/'4. NPV'!OQF$8,0)</f>
        <v>0</v>
      </c>
      <c r="OQF54" s="5">
        <f>-IFERROR('4. NPV'!#REF!/'4. NPV'!OQG$8,0)</f>
        <v>0</v>
      </c>
      <c r="OQG54" s="5">
        <f>-IFERROR('4. NPV'!#REF!/'4. NPV'!OQH$8,0)</f>
        <v>0</v>
      </c>
      <c r="OQH54" s="5">
        <f>-IFERROR('4. NPV'!#REF!/'4. NPV'!OQI$8,0)</f>
        <v>0</v>
      </c>
      <c r="OQI54" s="5">
        <f>-IFERROR('4. NPV'!#REF!/'4. NPV'!OQJ$8,0)</f>
        <v>0</v>
      </c>
      <c r="OQJ54" s="5">
        <f>-IFERROR('4. NPV'!#REF!/'4. NPV'!OQK$8,0)</f>
        <v>0</v>
      </c>
      <c r="OQK54" s="5">
        <f>-IFERROR('4. NPV'!#REF!/'4. NPV'!OQL$8,0)</f>
        <v>0</v>
      </c>
      <c r="OQL54" s="5">
        <f>-IFERROR('4. NPV'!#REF!/'4. NPV'!OQM$8,0)</f>
        <v>0</v>
      </c>
      <c r="OQM54" s="5">
        <f>-IFERROR('4. NPV'!#REF!/'4. NPV'!OQN$8,0)</f>
        <v>0</v>
      </c>
      <c r="OQN54" s="5">
        <f>-IFERROR('4. NPV'!#REF!/'4. NPV'!OQO$8,0)</f>
        <v>0</v>
      </c>
      <c r="OQO54" s="5">
        <f>-IFERROR('4. NPV'!#REF!/'4. NPV'!OQP$8,0)</f>
        <v>0</v>
      </c>
      <c r="OQP54" s="5">
        <f>-IFERROR('4. NPV'!#REF!/'4. NPV'!OQQ$8,0)</f>
        <v>0</v>
      </c>
      <c r="OQQ54" s="5">
        <f>-IFERROR('4. NPV'!#REF!/'4. NPV'!OQR$8,0)</f>
        <v>0</v>
      </c>
      <c r="OQR54" s="5">
        <f>-IFERROR('4. NPV'!#REF!/'4. NPV'!OQS$8,0)</f>
        <v>0</v>
      </c>
      <c r="OQS54" s="5">
        <f>-IFERROR('4. NPV'!#REF!/'4. NPV'!OQT$8,0)</f>
        <v>0</v>
      </c>
      <c r="OQT54" s="5">
        <f>-IFERROR('4. NPV'!#REF!/'4. NPV'!OQU$8,0)</f>
        <v>0</v>
      </c>
      <c r="OQU54" s="5">
        <f>-IFERROR('4. NPV'!#REF!/'4. NPV'!OQV$8,0)</f>
        <v>0</v>
      </c>
      <c r="OQV54" s="5">
        <f>-IFERROR('4. NPV'!#REF!/'4. NPV'!OQW$8,0)</f>
        <v>0</v>
      </c>
      <c r="OQW54" s="5">
        <f>-IFERROR('4. NPV'!#REF!/'4. NPV'!OQX$8,0)</f>
        <v>0</v>
      </c>
      <c r="OQX54" s="5">
        <f>-IFERROR('4. NPV'!#REF!/'4. NPV'!OQY$8,0)</f>
        <v>0</v>
      </c>
      <c r="OQY54" s="5">
        <f>-IFERROR('4. NPV'!#REF!/'4. NPV'!OQZ$8,0)</f>
        <v>0</v>
      </c>
      <c r="OQZ54" s="5">
        <f>-IFERROR('4. NPV'!#REF!/'4. NPV'!ORA$8,0)</f>
        <v>0</v>
      </c>
      <c r="ORA54" s="5">
        <f>-IFERROR('4. NPV'!#REF!/'4. NPV'!ORB$8,0)</f>
        <v>0</v>
      </c>
      <c r="ORB54" s="5">
        <f>-IFERROR('4. NPV'!#REF!/'4. NPV'!ORC$8,0)</f>
        <v>0</v>
      </c>
      <c r="ORC54" s="5">
        <f>-IFERROR('4. NPV'!#REF!/'4. NPV'!ORD$8,0)</f>
        <v>0</v>
      </c>
      <c r="ORD54" s="5">
        <f>-IFERROR('4. NPV'!#REF!/'4. NPV'!ORE$8,0)</f>
        <v>0</v>
      </c>
      <c r="ORE54" s="5">
        <f>-IFERROR('4. NPV'!#REF!/'4. NPV'!ORF$8,0)</f>
        <v>0</v>
      </c>
      <c r="ORF54" s="5">
        <f>-IFERROR('4. NPV'!#REF!/'4. NPV'!ORG$8,0)</f>
        <v>0</v>
      </c>
      <c r="ORG54" s="5">
        <f>-IFERROR('4. NPV'!#REF!/'4. NPV'!ORH$8,0)</f>
        <v>0</v>
      </c>
      <c r="ORH54" s="5">
        <f>-IFERROR('4. NPV'!#REF!/'4. NPV'!ORI$8,0)</f>
        <v>0</v>
      </c>
      <c r="ORI54" s="5">
        <f>-IFERROR('4. NPV'!#REF!/'4. NPV'!ORJ$8,0)</f>
        <v>0</v>
      </c>
      <c r="ORJ54" s="5">
        <f>-IFERROR('4. NPV'!#REF!/'4. NPV'!ORK$8,0)</f>
        <v>0</v>
      </c>
      <c r="ORK54" s="5">
        <f>-IFERROR('4. NPV'!#REF!/'4. NPV'!ORL$8,0)</f>
        <v>0</v>
      </c>
      <c r="ORL54" s="5">
        <f>-IFERROR('4. NPV'!#REF!/'4. NPV'!ORM$8,0)</f>
        <v>0</v>
      </c>
      <c r="ORM54" s="5">
        <f>-IFERROR('4. NPV'!#REF!/'4. NPV'!ORN$8,0)</f>
        <v>0</v>
      </c>
      <c r="ORN54" s="5">
        <f>-IFERROR('4. NPV'!#REF!/'4. NPV'!ORO$8,0)</f>
        <v>0</v>
      </c>
      <c r="ORO54" s="5">
        <f>-IFERROR('4. NPV'!#REF!/'4. NPV'!ORP$8,0)</f>
        <v>0</v>
      </c>
      <c r="ORP54" s="5">
        <f>-IFERROR('4. NPV'!#REF!/'4. NPV'!ORQ$8,0)</f>
        <v>0</v>
      </c>
      <c r="ORQ54" s="5">
        <f>-IFERROR('4. NPV'!#REF!/'4. NPV'!ORR$8,0)</f>
        <v>0</v>
      </c>
      <c r="ORR54" s="5">
        <f>-IFERROR('4. NPV'!#REF!/'4. NPV'!ORS$8,0)</f>
        <v>0</v>
      </c>
      <c r="ORS54" s="5">
        <f>-IFERROR('4. NPV'!#REF!/'4. NPV'!ORT$8,0)</f>
        <v>0</v>
      </c>
      <c r="ORT54" s="5">
        <f>-IFERROR('4. NPV'!#REF!/'4. NPV'!ORU$8,0)</f>
        <v>0</v>
      </c>
      <c r="ORU54" s="5">
        <f>-IFERROR('4. NPV'!#REF!/'4. NPV'!ORV$8,0)</f>
        <v>0</v>
      </c>
      <c r="ORV54" s="5">
        <f>-IFERROR('4. NPV'!#REF!/'4. NPV'!ORW$8,0)</f>
        <v>0</v>
      </c>
      <c r="ORW54" s="5">
        <f>-IFERROR('4. NPV'!#REF!/'4. NPV'!ORX$8,0)</f>
        <v>0</v>
      </c>
      <c r="ORX54" s="5">
        <f>-IFERROR('4. NPV'!#REF!/'4. NPV'!ORY$8,0)</f>
        <v>0</v>
      </c>
      <c r="ORY54" s="5">
        <f>-IFERROR('4. NPV'!#REF!/'4. NPV'!ORZ$8,0)</f>
        <v>0</v>
      </c>
      <c r="ORZ54" s="5">
        <f>-IFERROR('4. NPV'!#REF!/'4. NPV'!OSA$8,0)</f>
        <v>0</v>
      </c>
      <c r="OSA54" s="5">
        <f>-IFERROR('4. NPV'!#REF!/'4. NPV'!OSB$8,0)</f>
        <v>0</v>
      </c>
      <c r="OSB54" s="5">
        <f>-IFERROR('4. NPV'!#REF!/'4. NPV'!OSC$8,0)</f>
        <v>0</v>
      </c>
      <c r="OSC54" s="5">
        <f>-IFERROR('4. NPV'!#REF!/'4. NPV'!OSD$8,0)</f>
        <v>0</v>
      </c>
      <c r="OSD54" s="5">
        <f>-IFERROR('4. NPV'!#REF!/'4. NPV'!OSE$8,0)</f>
        <v>0</v>
      </c>
      <c r="OSE54" s="5">
        <f>-IFERROR('4. NPV'!#REF!/'4. NPV'!OSF$8,0)</f>
        <v>0</v>
      </c>
      <c r="OSF54" s="5">
        <f>-IFERROR('4. NPV'!#REF!/'4. NPV'!OSG$8,0)</f>
        <v>0</v>
      </c>
      <c r="OSG54" s="5">
        <f>-IFERROR('4. NPV'!#REF!/'4. NPV'!OSH$8,0)</f>
        <v>0</v>
      </c>
      <c r="OSH54" s="5">
        <f>-IFERROR('4. NPV'!#REF!/'4. NPV'!OSI$8,0)</f>
        <v>0</v>
      </c>
      <c r="OSI54" s="5">
        <f>-IFERROR('4. NPV'!#REF!/'4. NPV'!OSJ$8,0)</f>
        <v>0</v>
      </c>
      <c r="OSJ54" s="5">
        <f>-IFERROR('4. NPV'!#REF!/'4. NPV'!OSK$8,0)</f>
        <v>0</v>
      </c>
      <c r="OSK54" s="5">
        <f>-IFERROR('4. NPV'!#REF!/'4. NPV'!OSL$8,0)</f>
        <v>0</v>
      </c>
      <c r="OSL54" s="5">
        <f>-IFERROR('4. NPV'!#REF!/'4. NPV'!OSM$8,0)</f>
        <v>0</v>
      </c>
      <c r="OSM54" s="5">
        <f>-IFERROR('4. NPV'!#REF!/'4. NPV'!OSN$8,0)</f>
        <v>0</v>
      </c>
      <c r="OSN54" s="5">
        <f>-IFERROR('4. NPV'!#REF!/'4. NPV'!OSO$8,0)</f>
        <v>0</v>
      </c>
      <c r="OSO54" s="5">
        <f>-IFERROR('4. NPV'!#REF!/'4. NPV'!OSP$8,0)</f>
        <v>0</v>
      </c>
      <c r="OSP54" s="5">
        <f>-IFERROR('4. NPV'!#REF!/'4. NPV'!OSQ$8,0)</f>
        <v>0</v>
      </c>
      <c r="OSQ54" s="5">
        <f>-IFERROR('4. NPV'!#REF!/'4. NPV'!OSR$8,0)</f>
        <v>0</v>
      </c>
      <c r="OSR54" s="5">
        <f>-IFERROR('4. NPV'!#REF!/'4. NPV'!OSS$8,0)</f>
        <v>0</v>
      </c>
      <c r="OSS54" s="5">
        <f>-IFERROR('4. NPV'!#REF!/'4. NPV'!OST$8,0)</f>
        <v>0</v>
      </c>
      <c r="OST54" s="5">
        <f>-IFERROR('4. NPV'!#REF!/'4. NPV'!OSU$8,0)</f>
        <v>0</v>
      </c>
      <c r="OSU54" s="5">
        <f>-IFERROR('4. NPV'!#REF!/'4. NPV'!OSV$8,0)</f>
        <v>0</v>
      </c>
      <c r="OSV54" s="5">
        <f>-IFERROR('4. NPV'!#REF!/'4. NPV'!OSW$8,0)</f>
        <v>0</v>
      </c>
      <c r="OSW54" s="5">
        <f>-IFERROR('4. NPV'!#REF!/'4. NPV'!OSX$8,0)</f>
        <v>0</v>
      </c>
      <c r="OSX54" s="5">
        <f>-IFERROR('4. NPV'!#REF!/'4. NPV'!OSY$8,0)</f>
        <v>0</v>
      </c>
      <c r="OSY54" s="5">
        <f>-IFERROR('4. NPV'!#REF!/'4. NPV'!OSZ$8,0)</f>
        <v>0</v>
      </c>
      <c r="OSZ54" s="5">
        <f>-IFERROR('4. NPV'!#REF!/'4. NPV'!OTA$8,0)</f>
        <v>0</v>
      </c>
      <c r="OTA54" s="5">
        <f>-IFERROR('4. NPV'!#REF!/'4. NPV'!OTB$8,0)</f>
        <v>0</v>
      </c>
      <c r="OTB54" s="5">
        <f>-IFERROR('4. NPV'!#REF!/'4. NPV'!OTC$8,0)</f>
        <v>0</v>
      </c>
      <c r="OTC54" s="5">
        <f>-IFERROR('4. NPV'!#REF!/'4. NPV'!OTD$8,0)</f>
        <v>0</v>
      </c>
      <c r="OTD54" s="5">
        <f>-IFERROR('4. NPV'!#REF!/'4. NPV'!OTE$8,0)</f>
        <v>0</v>
      </c>
      <c r="OTE54" s="5">
        <f>-IFERROR('4. NPV'!#REF!/'4. NPV'!OTF$8,0)</f>
        <v>0</v>
      </c>
      <c r="OTF54" s="5">
        <f>-IFERROR('4. NPV'!#REF!/'4. NPV'!OTG$8,0)</f>
        <v>0</v>
      </c>
      <c r="OTG54" s="5">
        <f>-IFERROR('4. NPV'!#REF!/'4. NPV'!OTH$8,0)</f>
        <v>0</v>
      </c>
      <c r="OTH54" s="5">
        <f>-IFERROR('4. NPV'!#REF!/'4. NPV'!OTI$8,0)</f>
        <v>0</v>
      </c>
      <c r="OTI54" s="5">
        <f>-IFERROR('4. NPV'!#REF!/'4. NPV'!OTJ$8,0)</f>
        <v>0</v>
      </c>
      <c r="OTJ54" s="5">
        <f>-IFERROR('4. NPV'!#REF!/'4. NPV'!OTK$8,0)</f>
        <v>0</v>
      </c>
      <c r="OTK54" s="5">
        <f>-IFERROR('4. NPV'!#REF!/'4. NPV'!OTL$8,0)</f>
        <v>0</v>
      </c>
      <c r="OTL54" s="5">
        <f>-IFERROR('4. NPV'!#REF!/'4. NPV'!OTM$8,0)</f>
        <v>0</v>
      </c>
      <c r="OTM54" s="5">
        <f>-IFERROR('4. NPV'!#REF!/'4. NPV'!OTN$8,0)</f>
        <v>0</v>
      </c>
      <c r="OTN54" s="5">
        <f>-IFERROR('4. NPV'!#REF!/'4. NPV'!OTO$8,0)</f>
        <v>0</v>
      </c>
      <c r="OTO54" s="5">
        <f>-IFERROR('4. NPV'!#REF!/'4. NPV'!OTP$8,0)</f>
        <v>0</v>
      </c>
      <c r="OTP54" s="5">
        <f>-IFERROR('4. NPV'!#REF!/'4. NPV'!OTQ$8,0)</f>
        <v>0</v>
      </c>
      <c r="OTQ54" s="5">
        <f>-IFERROR('4. NPV'!#REF!/'4. NPV'!OTR$8,0)</f>
        <v>0</v>
      </c>
      <c r="OTR54" s="5">
        <f>-IFERROR('4. NPV'!#REF!/'4. NPV'!OTS$8,0)</f>
        <v>0</v>
      </c>
      <c r="OTS54" s="5">
        <f>-IFERROR('4. NPV'!#REF!/'4. NPV'!OTT$8,0)</f>
        <v>0</v>
      </c>
      <c r="OTT54" s="5">
        <f>-IFERROR('4. NPV'!#REF!/'4. NPV'!OTU$8,0)</f>
        <v>0</v>
      </c>
      <c r="OTU54" s="5">
        <f>-IFERROR('4. NPV'!#REF!/'4. NPV'!OTV$8,0)</f>
        <v>0</v>
      </c>
      <c r="OTV54" s="5">
        <f>-IFERROR('4. NPV'!#REF!/'4. NPV'!OTW$8,0)</f>
        <v>0</v>
      </c>
      <c r="OTW54" s="5">
        <f>-IFERROR('4. NPV'!#REF!/'4. NPV'!OTX$8,0)</f>
        <v>0</v>
      </c>
      <c r="OTX54" s="5">
        <f>-IFERROR('4. NPV'!#REF!/'4. NPV'!OTY$8,0)</f>
        <v>0</v>
      </c>
      <c r="OTY54" s="5">
        <f>-IFERROR('4. NPV'!#REF!/'4. NPV'!OTZ$8,0)</f>
        <v>0</v>
      </c>
      <c r="OTZ54" s="5">
        <f>-IFERROR('4. NPV'!#REF!/'4. NPV'!OUA$8,0)</f>
        <v>0</v>
      </c>
      <c r="OUA54" s="5">
        <f>-IFERROR('4. NPV'!#REF!/'4. NPV'!OUB$8,0)</f>
        <v>0</v>
      </c>
      <c r="OUB54" s="5">
        <f>-IFERROR('4. NPV'!#REF!/'4. NPV'!OUC$8,0)</f>
        <v>0</v>
      </c>
      <c r="OUC54" s="5">
        <f>-IFERROR('4. NPV'!#REF!/'4. NPV'!OUD$8,0)</f>
        <v>0</v>
      </c>
      <c r="OUD54" s="5">
        <f>-IFERROR('4. NPV'!#REF!/'4. NPV'!OUE$8,0)</f>
        <v>0</v>
      </c>
      <c r="OUE54" s="5">
        <f>-IFERROR('4. NPV'!#REF!/'4. NPV'!OUF$8,0)</f>
        <v>0</v>
      </c>
      <c r="OUF54" s="5">
        <f>-IFERROR('4. NPV'!#REF!/'4. NPV'!OUG$8,0)</f>
        <v>0</v>
      </c>
      <c r="OUG54" s="5">
        <f>-IFERROR('4. NPV'!#REF!/'4. NPV'!OUH$8,0)</f>
        <v>0</v>
      </c>
      <c r="OUH54" s="5">
        <f>-IFERROR('4. NPV'!#REF!/'4. NPV'!OUI$8,0)</f>
        <v>0</v>
      </c>
      <c r="OUI54" s="5">
        <f>-IFERROR('4. NPV'!#REF!/'4. NPV'!OUJ$8,0)</f>
        <v>0</v>
      </c>
      <c r="OUJ54" s="5">
        <f>-IFERROR('4. NPV'!#REF!/'4. NPV'!OUK$8,0)</f>
        <v>0</v>
      </c>
      <c r="OUK54" s="5">
        <f>-IFERROR('4. NPV'!#REF!/'4. NPV'!OUL$8,0)</f>
        <v>0</v>
      </c>
      <c r="OUL54" s="5">
        <f>-IFERROR('4. NPV'!#REF!/'4. NPV'!OUM$8,0)</f>
        <v>0</v>
      </c>
      <c r="OUM54" s="5">
        <f>-IFERROR('4. NPV'!#REF!/'4. NPV'!OUN$8,0)</f>
        <v>0</v>
      </c>
      <c r="OUN54" s="5">
        <f>-IFERROR('4. NPV'!#REF!/'4. NPV'!OUO$8,0)</f>
        <v>0</v>
      </c>
      <c r="OUO54" s="5">
        <f>-IFERROR('4. NPV'!#REF!/'4. NPV'!OUP$8,0)</f>
        <v>0</v>
      </c>
      <c r="OUP54" s="5">
        <f>-IFERROR('4. NPV'!#REF!/'4. NPV'!OUQ$8,0)</f>
        <v>0</v>
      </c>
      <c r="OUQ54" s="5">
        <f>-IFERROR('4. NPV'!#REF!/'4. NPV'!OUR$8,0)</f>
        <v>0</v>
      </c>
      <c r="OUR54" s="5">
        <f>-IFERROR('4. NPV'!#REF!/'4. NPV'!OUS$8,0)</f>
        <v>0</v>
      </c>
      <c r="OUS54" s="5">
        <f>-IFERROR('4. NPV'!#REF!/'4. NPV'!OUT$8,0)</f>
        <v>0</v>
      </c>
      <c r="OUT54" s="5">
        <f>-IFERROR('4. NPV'!#REF!/'4. NPV'!OUU$8,0)</f>
        <v>0</v>
      </c>
      <c r="OUU54" s="5">
        <f>-IFERROR('4. NPV'!#REF!/'4. NPV'!OUV$8,0)</f>
        <v>0</v>
      </c>
      <c r="OUV54" s="5">
        <f>-IFERROR('4. NPV'!#REF!/'4. NPV'!OUW$8,0)</f>
        <v>0</v>
      </c>
      <c r="OUW54" s="5">
        <f>-IFERROR('4. NPV'!#REF!/'4. NPV'!OUX$8,0)</f>
        <v>0</v>
      </c>
      <c r="OUX54" s="5">
        <f>-IFERROR('4. NPV'!#REF!/'4. NPV'!OUY$8,0)</f>
        <v>0</v>
      </c>
      <c r="OUY54" s="5">
        <f>-IFERROR('4. NPV'!#REF!/'4. NPV'!OUZ$8,0)</f>
        <v>0</v>
      </c>
      <c r="OUZ54" s="5">
        <f>-IFERROR('4. NPV'!#REF!/'4. NPV'!OVA$8,0)</f>
        <v>0</v>
      </c>
      <c r="OVA54" s="5">
        <f>-IFERROR('4. NPV'!#REF!/'4. NPV'!OVB$8,0)</f>
        <v>0</v>
      </c>
      <c r="OVB54" s="5">
        <f>-IFERROR('4. NPV'!#REF!/'4. NPV'!OVC$8,0)</f>
        <v>0</v>
      </c>
      <c r="OVC54" s="5">
        <f>-IFERROR('4. NPV'!#REF!/'4. NPV'!OVD$8,0)</f>
        <v>0</v>
      </c>
      <c r="OVD54" s="5">
        <f>-IFERROR('4. NPV'!#REF!/'4. NPV'!OVE$8,0)</f>
        <v>0</v>
      </c>
      <c r="OVE54" s="5">
        <f>-IFERROR('4. NPV'!#REF!/'4. NPV'!OVF$8,0)</f>
        <v>0</v>
      </c>
      <c r="OVF54" s="5">
        <f>-IFERROR('4. NPV'!#REF!/'4. NPV'!OVG$8,0)</f>
        <v>0</v>
      </c>
      <c r="OVG54" s="5">
        <f>-IFERROR('4. NPV'!#REF!/'4. NPV'!OVH$8,0)</f>
        <v>0</v>
      </c>
      <c r="OVH54" s="5">
        <f>-IFERROR('4. NPV'!#REF!/'4. NPV'!OVI$8,0)</f>
        <v>0</v>
      </c>
      <c r="OVI54" s="5">
        <f>-IFERROR('4. NPV'!#REF!/'4. NPV'!OVJ$8,0)</f>
        <v>0</v>
      </c>
      <c r="OVJ54" s="5">
        <f>-IFERROR('4. NPV'!#REF!/'4. NPV'!OVK$8,0)</f>
        <v>0</v>
      </c>
      <c r="OVK54" s="5">
        <f>-IFERROR('4. NPV'!#REF!/'4. NPV'!OVL$8,0)</f>
        <v>0</v>
      </c>
      <c r="OVL54" s="5">
        <f>-IFERROR('4. NPV'!#REF!/'4. NPV'!OVM$8,0)</f>
        <v>0</v>
      </c>
      <c r="OVM54" s="5">
        <f>-IFERROR('4. NPV'!#REF!/'4. NPV'!OVN$8,0)</f>
        <v>0</v>
      </c>
      <c r="OVN54" s="5">
        <f>-IFERROR('4. NPV'!#REF!/'4. NPV'!OVO$8,0)</f>
        <v>0</v>
      </c>
      <c r="OVO54" s="5">
        <f>-IFERROR('4. NPV'!#REF!/'4. NPV'!OVP$8,0)</f>
        <v>0</v>
      </c>
      <c r="OVP54" s="5">
        <f>-IFERROR('4. NPV'!#REF!/'4. NPV'!OVQ$8,0)</f>
        <v>0</v>
      </c>
      <c r="OVQ54" s="5">
        <f>-IFERROR('4. NPV'!#REF!/'4. NPV'!OVR$8,0)</f>
        <v>0</v>
      </c>
      <c r="OVR54" s="5">
        <f>-IFERROR('4. NPV'!#REF!/'4. NPV'!OVS$8,0)</f>
        <v>0</v>
      </c>
      <c r="OVS54" s="5">
        <f>-IFERROR('4. NPV'!#REF!/'4. NPV'!OVT$8,0)</f>
        <v>0</v>
      </c>
      <c r="OVT54" s="5">
        <f>-IFERROR('4. NPV'!#REF!/'4. NPV'!OVU$8,0)</f>
        <v>0</v>
      </c>
      <c r="OVU54" s="5">
        <f>-IFERROR('4. NPV'!#REF!/'4. NPV'!OVV$8,0)</f>
        <v>0</v>
      </c>
      <c r="OVV54" s="5">
        <f>-IFERROR('4. NPV'!#REF!/'4. NPV'!OVW$8,0)</f>
        <v>0</v>
      </c>
      <c r="OVW54" s="5">
        <f>-IFERROR('4. NPV'!#REF!/'4. NPV'!OVX$8,0)</f>
        <v>0</v>
      </c>
      <c r="OVX54" s="5">
        <f>-IFERROR('4. NPV'!#REF!/'4. NPV'!OVY$8,0)</f>
        <v>0</v>
      </c>
      <c r="OVY54" s="5">
        <f>-IFERROR('4. NPV'!#REF!/'4. NPV'!OVZ$8,0)</f>
        <v>0</v>
      </c>
      <c r="OVZ54" s="5">
        <f>-IFERROR('4. NPV'!#REF!/'4. NPV'!OWA$8,0)</f>
        <v>0</v>
      </c>
      <c r="OWA54" s="5">
        <f>-IFERROR('4. NPV'!#REF!/'4. NPV'!OWB$8,0)</f>
        <v>0</v>
      </c>
      <c r="OWB54" s="5">
        <f>-IFERROR('4. NPV'!#REF!/'4. NPV'!OWC$8,0)</f>
        <v>0</v>
      </c>
      <c r="OWC54" s="5">
        <f>-IFERROR('4. NPV'!#REF!/'4. NPV'!OWD$8,0)</f>
        <v>0</v>
      </c>
      <c r="OWD54" s="5">
        <f>-IFERROR('4. NPV'!#REF!/'4. NPV'!OWE$8,0)</f>
        <v>0</v>
      </c>
      <c r="OWE54" s="5">
        <f>-IFERROR('4. NPV'!#REF!/'4. NPV'!OWF$8,0)</f>
        <v>0</v>
      </c>
      <c r="OWF54" s="5">
        <f>-IFERROR('4. NPV'!#REF!/'4. NPV'!OWG$8,0)</f>
        <v>0</v>
      </c>
      <c r="OWG54" s="5">
        <f>-IFERROR('4. NPV'!#REF!/'4. NPV'!OWH$8,0)</f>
        <v>0</v>
      </c>
      <c r="OWH54" s="5">
        <f>-IFERROR('4. NPV'!#REF!/'4. NPV'!OWI$8,0)</f>
        <v>0</v>
      </c>
      <c r="OWI54" s="5">
        <f>-IFERROR('4. NPV'!#REF!/'4. NPV'!OWJ$8,0)</f>
        <v>0</v>
      </c>
      <c r="OWJ54" s="5">
        <f>-IFERROR('4. NPV'!#REF!/'4. NPV'!OWK$8,0)</f>
        <v>0</v>
      </c>
      <c r="OWK54" s="5">
        <f>-IFERROR('4. NPV'!#REF!/'4. NPV'!OWL$8,0)</f>
        <v>0</v>
      </c>
      <c r="OWL54" s="5">
        <f>-IFERROR('4. NPV'!#REF!/'4. NPV'!OWM$8,0)</f>
        <v>0</v>
      </c>
      <c r="OWM54" s="5">
        <f>-IFERROR('4. NPV'!#REF!/'4. NPV'!OWN$8,0)</f>
        <v>0</v>
      </c>
      <c r="OWN54" s="5">
        <f>-IFERROR('4. NPV'!#REF!/'4. NPV'!OWO$8,0)</f>
        <v>0</v>
      </c>
      <c r="OWO54" s="5">
        <f>-IFERROR('4. NPV'!#REF!/'4. NPV'!OWP$8,0)</f>
        <v>0</v>
      </c>
      <c r="OWP54" s="5">
        <f>-IFERROR('4. NPV'!#REF!/'4. NPV'!OWQ$8,0)</f>
        <v>0</v>
      </c>
      <c r="OWQ54" s="5">
        <f>-IFERROR('4. NPV'!#REF!/'4. NPV'!OWR$8,0)</f>
        <v>0</v>
      </c>
      <c r="OWR54" s="5">
        <f>-IFERROR('4. NPV'!#REF!/'4. NPV'!OWS$8,0)</f>
        <v>0</v>
      </c>
      <c r="OWS54" s="5">
        <f>-IFERROR('4. NPV'!#REF!/'4. NPV'!OWT$8,0)</f>
        <v>0</v>
      </c>
      <c r="OWT54" s="5">
        <f>-IFERROR('4. NPV'!#REF!/'4. NPV'!OWU$8,0)</f>
        <v>0</v>
      </c>
      <c r="OWU54" s="5">
        <f>-IFERROR('4. NPV'!#REF!/'4. NPV'!OWV$8,0)</f>
        <v>0</v>
      </c>
      <c r="OWV54" s="5">
        <f>-IFERROR('4. NPV'!#REF!/'4. NPV'!OWW$8,0)</f>
        <v>0</v>
      </c>
      <c r="OWW54" s="5">
        <f>-IFERROR('4. NPV'!#REF!/'4. NPV'!OWX$8,0)</f>
        <v>0</v>
      </c>
      <c r="OWX54" s="5">
        <f>-IFERROR('4. NPV'!#REF!/'4. NPV'!OWY$8,0)</f>
        <v>0</v>
      </c>
      <c r="OWY54" s="5">
        <f>-IFERROR('4. NPV'!#REF!/'4. NPV'!OWZ$8,0)</f>
        <v>0</v>
      </c>
      <c r="OWZ54" s="5">
        <f>-IFERROR('4. NPV'!#REF!/'4. NPV'!OXA$8,0)</f>
        <v>0</v>
      </c>
      <c r="OXA54" s="5">
        <f>-IFERROR('4. NPV'!#REF!/'4. NPV'!OXB$8,0)</f>
        <v>0</v>
      </c>
      <c r="OXB54" s="5">
        <f>-IFERROR('4. NPV'!#REF!/'4. NPV'!OXC$8,0)</f>
        <v>0</v>
      </c>
      <c r="OXC54" s="5">
        <f>-IFERROR('4. NPV'!#REF!/'4. NPV'!OXD$8,0)</f>
        <v>0</v>
      </c>
      <c r="OXD54" s="5">
        <f>-IFERROR('4. NPV'!#REF!/'4. NPV'!OXE$8,0)</f>
        <v>0</v>
      </c>
      <c r="OXE54" s="5">
        <f>-IFERROR('4. NPV'!#REF!/'4. NPV'!OXF$8,0)</f>
        <v>0</v>
      </c>
      <c r="OXF54" s="5">
        <f>-IFERROR('4. NPV'!#REF!/'4. NPV'!OXG$8,0)</f>
        <v>0</v>
      </c>
      <c r="OXG54" s="5">
        <f>-IFERROR('4. NPV'!#REF!/'4. NPV'!OXH$8,0)</f>
        <v>0</v>
      </c>
      <c r="OXH54" s="5">
        <f>-IFERROR('4. NPV'!#REF!/'4. NPV'!OXI$8,0)</f>
        <v>0</v>
      </c>
      <c r="OXI54" s="5">
        <f>-IFERROR('4. NPV'!#REF!/'4. NPV'!OXJ$8,0)</f>
        <v>0</v>
      </c>
      <c r="OXJ54" s="5">
        <f>-IFERROR('4. NPV'!#REF!/'4. NPV'!OXK$8,0)</f>
        <v>0</v>
      </c>
      <c r="OXK54" s="5">
        <f>-IFERROR('4. NPV'!#REF!/'4. NPV'!OXL$8,0)</f>
        <v>0</v>
      </c>
      <c r="OXL54" s="5">
        <f>-IFERROR('4. NPV'!#REF!/'4. NPV'!OXM$8,0)</f>
        <v>0</v>
      </c>
      <c r="OXM54" s="5">
        <f>-IFERROR('4. NPV'!#REF!/'4. NPV'!OXN$8,0)</f>
        <v>0</v>
      </c>
      <c r="OXN54" s="5">
        <f>-IFERROR('4. NPV'!#REF!/'4. NPV'!OXO$8,0)</f>
        <v>0</v>
      </c>
      <c r="OXO54" s="5">
        <f>-IFERROR('4. NPV'!#REF!/'4. NPV'!OXP$8,0)</f>
        <v>0</v>
      </c>
      <c r="OXP54" s="5">
        <f>-IFERROR('4. NPV'!#REF!/'4. NPV'!OXQ$8,0)</f>
        <v>0</v>
      </c>
      <c r="OXQ54" s="5">
        <f>-IFERROR('4. NPV'!#REF!/'4. NPV'!OXR$8,0)</f>
        <v>0</v>
      </c>
      <c r="OXR54" s="5">
        <f>-IFERROR('4. NPV'!#REF!/'4. NPV'!OXS$8,0)</f>
        <v>0</v>
      </c>
      <c r="OXS54" s="5">
        <f>-IFERROR('4. NPV'!#REF!/'4. NPV'!OXT$8,0)</f>
        <v>0</v>
      </c>
      <c r="OXT54" s="5">
        <f>-IFERROR('4. NPV'!#REF!/'4. NPV'!OXU$8,0)</f>
        <v>0</v>
      </c>
      <c r="OXU54" s="5">
        <f>-IFERROR('4. NPV'!#REF!/'4. NPV'!OXV$8,0)</f>
        <v>0</v>
      </c>
      <c r="OXV54" s="5">
        <f>-IFERROR('4. NPV'!#REF!/'4. NPV'!OXW$8,0)</f>
        <v>0</v>
      </c>
      <c r="OXW54" s="5">
        <f>-IFERROR('4. NPV'!#REF!/'4. NPV'!OXX$8,0)</f>
        <v>0</v>
      </c>
      <c r="OXX54" s="5">
        <f>-IFERROR('4. NPV'!#REF!/'4. NPV'!OXY$8,0)</f>
        <v>0</v>
      </c>
      <c r="OXY54" s="5">
        <f>-IFERROR('4. NPV'!#REF!/'4. NPV'!OXZ$8,0)</f>
        <v>0</v>
      </c>
      <c r="OXZ54" s="5">
        <f>-IFERROR('4. NPV'!#REF!/'4. NPV'!OYA$8,0)</f>
        <v>0</v>
      </c>
      <c r="OYA54" s="5">
        <f>-IFERROR('4. NPV'!#REF!/'4. NPV'!OYB$8,0)</f>
        <v>0</v>
      </c>
      <c r="OYB54" s="5">
        <f>-IFERROR('4. NPV'!#REF!/'4. NPV'!OYC$8,0)</f>
        <v>0</v>
      </c>
      <c r="OYC54" s="5">
        <f>-IFERROR('4. NPV'!#REF!/'4. NPV'!OYD$8,0)</f>
        <v>0</v>
      </c>
      <c r="OYD54" s="5">
        <f>-IFERROR('4. NPV'!#REF!/'4. NPV'!OYE$8,0)</f>
        <v>0</v>
      </c>
      <c r="OYE54" s="5">
        <f>-IFERROR('4. NPV'!#REF!/'4. NPV'!OYF$8,0)</f>
        <v>0</v>
      </c>
      <c r="OYF54" s="5">
        <f>-IFERROR('4. NPV'!#REF!/'4. NPV'!OYG$8,0)</f>
        <v>0</v>
      </c>
      <c r="OYG54" s="5">
        <f>-IFERROR('4. NPV'!#REF!/'4. NPV'!OYH$8,0)</f>
        <v>0</v>
      </c>
      <c r="OYH54" s="5">
        <f>-IFERROR('4. NPV'!#REF!/'4. NPV'!OYI$8,0)</f>
        <v>0</v>
      </c>
      <c r="OYI54" s="5">
        <f>-IFERROR('4. NPV'!#REF!/'4. NPV'!OYJ$8,0)</f>
        <v>0</v>
      </c>
      <c r="OYJ54" s="5">
        <f>-IFERROR('4. NPV'!#REF!/'4. NPV'!OYK$8,0)</f>
        <v>0</v>
      </c>
      <c r="OYK54" s="5">
        <f>-IFERROR('4. NPV'!#REF!/'4. NPV'!OYL$8,0)</f>
        <v>0</v>
      </c>
      <c r="OYL54" s="5">
        <f>-IFERROR('4. NPV'!#REF!/'4. NPV'!OYM$8,0)</f>
        <v>0</v>
      </c>
      <c r="OYM54" s="5">
        <f>-IFERROR('4. NPV'!#REF!/'4. NPV'!OYN$8,0)</f>
        <v>0</v>
      </c>
      <c r="OYN54" s="5">
        <f>-IFERROR('4. NPV'!#REF!/'4. NPV'!OYO$8,0)</f>
        <v>0</v>
      </c>
      <c r="OYO54" s="5">
        <f>-IFERROR('4. NPV'!#REF!/'4. NPV'!OYP$8,0)</f>
        <v>0</v>
      </c>
      <c r="OYP54" s="5">
        <f>-IFERROR('4. NPV'!#REF!/'4. NPV'!OYQ$8,0)</f>
        <v>0</v>
      </c>
      <c r="OYQ54" s="5">
        <f>-IFERROR('4. NPV'!#REF!/'4. NPV'!OYR$8,0)</f>
        <v>0</v>
      </c>
      <c r="OYR54" s="5">
        <f>-IFERROR('4. NPV'!#REF!/'4. NPV'!OYS$8,0)</f>
        <v>0</v>
      </c>
      <c r="OYS54" s="5">
        <f>-IFERROR('4. NPV'!#REF!/'4. NPV'!OYT$8,0)</f>
        <v>0</v>
      </c>
      <c r="OYT54" s="5">
        <f>-IFERROR('4. NPV'!#REF!/'4. NPV'!OYU$8,0)</f>
        <v>0</v>
      </c>
      <c r="OYU54" s="5">
        <f>-IFERROR('4. NPV'!#REF!/'4. NPV'!OYV$8,0)</f>
        <v>0</v>
      </c>
      <c r="OYV54" s="5">
        <f>-IFERROR('4. NPV'!#REF!/'4. NPV'!OYW$8,0)</f>
        <v>0</v>
      </c>
      <c r="OYW54" s="5">
        <f>-IFERROR('4. NPV'!#REF!/'4. NPV'!OYX$8,0)</f>
        <v>0</v>
      </c>
      <c r="OYX54" s="5">
        <f>-IFERROR('4. NPV'!#REF!/'4. NPV'!OYY$8,0)</f>
        <v>0</v>
      </c>
      <c r="OYY54" s="5">
        <f>-IFERROR('4. NPV'!#REF!/'4. NPV'!OYZ$8,0)</f>
        <v>0</v>
      </c>
      <c r="OYZ54" s="5">
        <f>-IFERROR('4. NPV'!#REF!/'4. NPV'!OZA$8,0)</f>
        <v>0</v>
      </c>
      <c r="OZA54" s="5">
        <f>-IFERROR('4. NPV'!#REF!/'4. NPV'!OZB$8,0)</f>
        <v>0</v>
      </c>
      <c r="OZB54" s="5">
        <f>-IFERROR('4. NPV'!#REF!/'4. NPV'!OZC$8,0)</f>
        <v>0</v>
      </c>
      <c r="OZC54" s="5">
        <f>-IFERROR('4. NPV'!#REF!/'4. NPV'!OZD$8,0)</f>
        <v>0</v>
      </c>
      <c r="OZD54" s="5">
        <f>-IFERROR('4. NPV'!#REF!/'4. NPV'!OZE$8,0)</f>
        <v>0</v>
      </c>
      <c r="OZE54" s="5">
        <f>-IFERROR('4. NPV'!#REF!/'4. NPV'!OZF$8,0)</f>
        <v>0</v>
      </c>
      <c r="OZF54" s="5">
        <f>-IFERROR('4. NPV'!#REF!/'4. NPV'!OZG$8,0)</f>
        <v>0</v>
      </c>
      <c r="OZG54" s="5">
        <f>-IFERROR('4. NPV'!#REF!/'4. NPV'!OZH$8,0)</f>
        <v>0</v>
      </c>
      <c r="OZH54" s="5">
        <f>-IFERROR('4. NPV'!#REF!/'4. NPV'!OZI$8,0)</f>
        <v>0</v>
      </c>
      <c r="OZI54" s="5">
        <f>-IFERROR('4. NPV'!#REF!/'4. NPV'!OZJ$8,0)</f>
        <v>0</v>
      </c>
      <c r="OZJ54" s="5">
        <f>-IFERROR('4. NPV'!#REF!/'4. NPV'!OZK$8,0)</f>
        <v>0</v>
      </c>
      <c r="OZK54" s="5">
        <f>-IFERROR('4. NPV'!#REF!/'4. NPV'!OZL$8,0)</f>
        <v>0</v>
      </c>
      <c r="OZL54" s="5">
        <f>-IFERROR('4. NPV'!#REF!/'4. NPV'!OZM$8,0)</f>
        <v>0</v>
      </c>
      <c r="OZM54" s="5">
        <f>-IFERROR('4. NPV'!#REF!/'4. NPV'!OZN$8,0)</f>
        <v>0</v>
      </c>
      <c r="OZN54" s="5">
        <f>-IFERROR('4. NPV'!#REF!/'4. NPV'!OZO$8,0)</f>
        <v>0</v>
      </c>
      <c r="OZO54" s="5">
        <f>-IFERROR('4. NPV'!#REF!/'4. NPV'!OZP$8,0)</f>
        <v>0</v>
      </c>
      <c r="OZP54" s="5">
        <f>-IFERROR('4. NPV'!#REF!/'4. NPV'!OZQ$8,0)</f>
        <v>0</v>
      </c>
      <c r="OZQ54" s="5">
        <f>-IFERROR('4. NPV'!#REF!/'4. NPV'!OZR$8,0)</f>
        <v>0</v>
      </c>
      <c r="OZR54" s="5">
        <f>-IFERROR('4. NPV'!#REF!/'4. NPV'!OZS$8,0)</f>
        <v>0</v>
      </c>
      <c r="OZS54" s="5">
        <f>-IFERROR('4. NPV'!#REF!/'4. NPV'!OZT$8,0)</f>
        <v>0</v>
      </c>
      <c r="OZT54" s="5">
        <f>-IFERROR('4. NPV'!#REF!/'4. NPV'!OZU$8,0)</f>
        <v>0</v>
      </c>
      <c r="OZU54" s="5">
        <f>-IFERROR('4. NPV'!#REF!/'4. NPV'!OZV$8,0)</f>
        <v>0</v>
      </c>
      <c r="OZV54" s="5">
        <f>-IFERROR('4. NPV'!#REF!/'4. NPV'!OZW$8,0)</f>
        <v>0</v>
      </c>
      <c r="OZW54" s="5">
        <f>-IFERROR('4. NPV'!#REF!/'4. NPV'!OZX$8,0)</f>
        <v>0</v>
      </c>
      <c r="OZX54" s="5">
        <f>-IFERROR('4. NPV'!#REF!/'4. NPV'!OZY$8,0)</f>
        <v>0</v>
      </c>
      <c r="OZY54" s="5">
        <f>-IFERROR('4. NPV'!#REF!/'4. NPV'!OZZ$8,0)</f>
        <v>0</v>
      </c>
      <c r="OZZ54" s="5">
        <f>-IFERROR('4. NPV'!#REF!/'4. NPV'!PAA$8,0)</f>
        <v>0</v>
      </c>
      <c r="PAA54" s="5">
        <f>-IFERROR('4. NPV'!#REF!/'4. NPV'!PAB$8,0)</f>
        <v>0</v>
      </c>
      <c r="PAB54" s="5">
        <f>-IFERROR('4. NPV'!#REF!/'4. NPV'!PAC$8,0)</f>
        <v>0</v>
      </c>
      <c r="PAC54" s="5">
        <f>-IFERROR('4. NPV'!#REF!/'4. NPV'!PAD$8,0)</f>
        <v>0</v>
      </c>
      <c r="PAD54" s="5">
        <f>-IFERROR('4. NPV'!#REF!/'4. NPV'!PAE$8,0)</f>
        <v>0</v>
      </c>
      <c r="PAE54" s="5">
        <f>-IFERROR('4. NPV'!#REF!/'4. NPV'!PAF$8,0)</f>
        <v>0</v>
      </c>
      <c r="PAF54" s="5">
        <f>-IFERROR('4. NPV'!#REF!/'4. NPV'!PAG$8,0)</f>
        <v>0</v>
      </c>
      <c r="PAG54" s="5">
        <f>-IFERROR('4. NPV'!#REF!/'4. NPV'!PAH$8,0)</f>
        <v>0</v>
      </c>
      <c r="PAH54" s="5">
        <f>-IFERROR('4. NPV'!#REF!/'4. NPV'!PAI$8,0)</f>
        <v>0</v>
      </c>
      <c r="PAI54" s="5">
        <f>-IFERROR('4. NPV'!#REF!/'4. NPV'!PAJ$8,0)</f>
        <v>0</v>
      </c>
      <c r="PAJ54" s="5">
        <f>-IFERROR('4. NPV'!#REF!/'4. NPV'!PAK$8,0)</f>
        <v>0</v>
      </c>
      <c r="PAK54" s="5">
        <f>-IFERROR('4. NPV'!#REF!/'4. NPV'!PAL$8,0)</f>
        <v>0</v>
      </c>
      <c r="PAL54" s="5">
        <f>-IFERROR('4. NPV'!#REF!/'4. NPV'!PAM$8,0)</f>
        <v>0</v>
      </c>
      <c r="PAM54" s="5">
        <f>-IFERROR('4. NPV'!#REF!/'4. NPV'!PAN$8,0)</f>
        <v>0</v>
      </c>
      <c r="PAN54" s="5">
        <f>-IFERROR('4. NPV'!#REF!/'4. NPV'!PAO$8,0)</f>
        <v>0</v>
      </c>
      <c r="PAO54" s="5">
        <f>-IFERROR('4. NPV'!#REF!/'4. NPV'!PAP$8,0)</f>
        <v>0</v>
      </c>
      <c r="PAP54" s="5">
        <f>-IFERROR('4. NPV'!#REF!/'4. NPV'!PAQ$8,0)</f>
        <v>0</v>
      </c>
      <c r="PAQ54" s="5">
        <f>-IFERROR('4. NPV'!#REF!/'4. NPV'!PAR$8,0)</f>
        <v>0</v>
      </c>
      <c r="PAR54" s="5">
        <f>-IFERROR('4. NPV'!#REF!/'4. NPV'!PAS$8,0)</f>
        <v>0</v>
      </c>
      <c r="PAS54" s="5">
        <f>-IFERROR('4. NPV'!#REF!/'4. NPV'!PAT$8,0)</f>
        <v>0</v>
      </c>
      <c r="PAT54" s="5">
        <f>-IFERROR('4. NPV'!#REF!/'4. NPV'!PAU$8,0)</f>
        <v>0</v>
      </c>
      <c r="PAU54" s="5">
        <f>-IFERROR('4. NPV'!#REF!/'4. NPV'!PAV$8,0)</f>
        <v>0</v>
      </c>
      <c r="PAV54" s="5">
        <f>-IFERROR('4. NPV'!#REF!/'4. NPV'!PAW$8,0)</f>
        <v>0</v>
      </c>
      <c r="PAW54" s="5">
        <f>-IFERROR('4. NPV'!#REF!/'4. NPV'!PAX$8,0)</f>
        <v>0</v>
      </c>
      <c r="PAX54" s="5">
        <f>-IFERROR('4. NPV'!#REF!/'4. NPV'!PAY$8,0)</f>
        <v>0</v>
      </c>
      <c r="PAY54" s="5">
        <f>-IFERROR('4. NPV'!#REF!/'4. NPV'!PAZ$8,0)</f>
        <v>0</v>
      </c>
      <c r="PAZ54" s="5">
        <f>-IFERROR('4. NPV'!#REF!/'4. NPV'!PBA$8,0)</f>
        <v>0</v>
      </c>
      <c r="PBA54" s="5">
        <f>-IFERROR('4. NPV'!#REF!/'4. NPV'!PBB$8,0)</f>
        <v>0</v>
      </c>
      <c r="PBB54" s="5">
        <f>-IFERROR('4. NPV'!#REF!/'4. NPV'!PBC$8,0)</f>
        <v>0</v>
      </c>
      <c r="PBC54" s="5">
        <f>-IFERROR('4. NPV'!#REF!/'4. NPV'!PBD$8,0)</f>
        <v>0</v>
      </c>
      <c r="PBD54" s="5">
        <f>-IFERROR('4. NPV'!#REF!/'4. NPV'!PBE$8,0)</f>
        <v>0</v>
      </c>
      <c r="PBE54" s="5">
        <f>-IFERROR('4. NPV'!#REF!/'4. NPV'!PBF$8,0)</f>
        <v>0</v>
      </c>
      <c r="PBF54" s="5">
        <f>-IFERROR('4. NPV'!#REF!/'4. NPV'!PBG$8,0)</f>
        <v>0</v>
      </c>
      <c r="PBG54" s="5">
        <f>-IFERROR('4. NPV'!#REF!/'4. NPV'!PBH$8,0)</f>
        <v>0</v>
      </c>
      <c r="PBH54" s="5">
        <f>-IFERROR('4. NPV'!#REF!/'4. NPV'!PBI$8,0)</f>
        <v>0</v>
      </c>
      <c r="PBI54" s="5">
        <f>-IFERROR('4. NPV'!#REF!/'4. NPV'!PBJ$8,0)</f>
        <v>0</v>
      </c>
      <c r="PBJ54" s="5">
        <f>-IFERROR('4. NPV'!#REF!/'4. NPV'!PBK$8,0)</f>
        <v>0</v>
      </c>
      <c r="PBK54" s="5">
        <f>-IFERROR('4. NPV'!#REF!/'4. NPV'!PBL$8,0)</f>
        <v>0</v>
      </c>
      <c r="PBL54" s="5">
        <f>-IFERROR('4. NPV'!#REF!/'4. NPV'!PBM$8,0)</f>
        <v>0</v>
      </c>
      <c r="PBM54" s="5">
        <f>-IFERROR('4. NPV'!#REF!/'4. NPV'!PBN$8,0)</f>
        <v>0</v>
      </c>
      <c r="PBN54" s="5">
        <f>-IFERROR('4. NPV'!#REF!/'4. NPV'!PBO$8,0)</f>
        <v>0</v>
      </c>
      <c r="PBO54" s="5">
        <f>-IFERROR('4. NPV'!#REF!/'4. NPV'!PBP$8,0)</f>
        <v>0</v>
      </c>
      <c r="PBP54" s="5">
        <f>-IFERROR('4. NPV'!#REF!/'4. NPV'!PBQ$8,0)</f>
        <v>0</v>
      </c>
      <c r="PBQ54" s="5">
        <f>-IFERROR('4. NPV'!#REF!/'4. NPV'!PBR$8,0)</f>
        <v>0</v>
      </c>
      <c r="PBR54" s="5">
        <f>-IFERROR('4. NPV'!#REF!/'4. NPV'!PBS$8,0)</f>
        <v>0</v>
      </c>
      <c r="PBS54" s="5">
        <f>-IFERROR('4. NPV'!#REF!/'4. NPV'!PBT$8,0)</f>
        <v>0</v>
      </c>
      <c r="PBT54" s="5">
        <f>-IFERROR('4. NPV'!#REF!/'4. NPV'!PBU$8,0)</f>
        <v>0</v>
      </c>
      <c r="PBU54" s="5">
        <f>-IFERROR('4. NPV'!#REF!/'4. NPV'!PBV$8,0)</f>
        <v>0</v>
      </c>
      <c r="PBV54" s="5">
        <f>-IFERROR('4. NPV'!#REF!/'4. NPV'!PBW$8,0)</f>
        <v>0</v>
      </c>
      <c r="PBW54" s="5">
        <f>-IFERROR('4. NPV'!#REF!/'4. NPV'!PBX$8,0)</f>
        <v>0</v>
      </c>
      <c r="PBX54" s="5">
        <f>-IFERROR('4. NPV'!#REF!/'4. NPV'!PBY$8,0)</f>
        <v>0</v>
      </c>
      <c r="PBY54" s="5">
        <f>-IFERROR('4. NPV'!#REF!/'4. NPV'!PBZ$8,0)</f>
        <v>0</v>
      </c>
      <c r="PBZ54" s="5">
        <f>-IFERROR('4. NPV'!#REF!/'4. NPV'!PCA$8,0)</f>
        <v>0</v>
      </c>
      <c r="PCA54" s="5">
        <f>-IFERROR('4. NPV'!#REF!/'4. NPV'!PCB$8,0)</f>
        <v>0</v>
      </c>
      <c r="PCB54" s="5">
        <f>-IFERROR('4. NPV'!#REF!/'4. NPV'!PCC$8,0)</f>
        <v>0</v>
      </c>
      <c r="PCC54" s="5">
        <f>-IFERROR('4. NPV'!#REF!/'4. NPV'!PCD$8,0)</f>
        <v>0</v>
      </c>
      <c r="PCD54" s="5">
        <f>-IFERROR('4. NPV'!#REF!/'4. NPV'!PCE$8,0)</f>
        <v>0</v>
      </c>
      <c r="PCE54" s="5">
        <f>-IFERROR('4. NPV'!#REF!/'4. NPV'!PCF$8,0)</f>
        <v>0</v>
      </c>
      <c r="PCF54" s="5">
        <f>-IFERROR('4. NPV'!#REF!/'4. NPV'!PCG$8,0)</f>
        <v>0</v>
      </c>
      <c r="PCG54" s="5">
        <f>-IFERROR('4. NPV'!#REF!/'4. NPV'!PCH$8,0)</f>
        <v>0</v>
      </c>
      <c r="PCH54" s="5">
        <f>-IFERROR('4. NPV'!#REF!/'4. NPV'!PCI$8,0)</f>
        <v>0</v>
      </c>
      <c r="PCI54" s="5">
        <f>-IFERROR('4. NPV'!#REF!/'4. NPV'!PCJ$8,0)</f>
        <v>0</v>
      </c>
      <c r="PCJ54" s="5">
        <f>-IFERROR('4. NPV'!#REF!/'4. NPV'!PCK$8,0)</f>
        <v>0</v>
      </c>
      <c r="PCK54" s="5">
        <f>-IFERROR('4. NPV'!#REF!/'4. NPV'!PCL$8,0)</f>
        <v>0</v>
      </c>
      <c r="PCL54" s="5">
        <f>-IFERROR('4. NPV'!#REF!/'4. NPV'!PCM$8,0)</f>
        <v>0</v>
      </c>
      <c r="PCM54" s="5">
        <f>-IFERROR('4. NPV'!#REF!/'4. NPV'!PCN$8,0)</f>
        <v>0</v>
      </c>
      <c r="PCN54" s="5">
        <f>-IFERROR('4. NPV'!#REF!/'4. NPV'!PCO$8,0)</f>
        <v>0</v>
      </c>
      <c r="PCO54" s="5">
        <f>-IFERROR('4. NPV'!#REF!/'4. NPV'!PCP$8,0)</f>
        <v>0</v>
      </c>
      <c r="PCP54" s="5">
        <f>-IFERROR('4. NPV'!#REF!/'4. NPV'!PCQ$8,0)</f>
        <v>0</v>
      </c>
      <c r="PCQ54" s="5">
        <f>-IFERROR('4. NPV'!#REF!/'4. NPV'!PCR$8,0)</f>
        <v>0</v>
      </c>
      <c r="PCR54" s="5">
        <f>-IFERROR('4. NPV'!#REF!/'4. NPV'!PCS$8,0)</f>
        <v>0</v>
      </c>
      <c r="PCS54" s="5">
        <f>-IFERROR('4. NPV'!#REF!/'4. NPV'!PCT$8,0)</f>
        <v>0</v>
      </c>
      <c r="PCT54" s="5">
        <f>-IFERROR('4. NPV'!#REF!/'4. NPV'!PCU$8,0)</f>
        <v>0</v>
      </c>
      <c r="PCU54" s="5">
        <f>-IFERROR('4. NPV'!#REF!/'4. NPV'!PCV$8,0)</f>
        <v>0</v>
      </c>
      <c r="PCV54" s="5">
        <f>-IFERROR('4. NPV'!#REF!/'4. NPV'!PCW$8,0)</f>
        <v>0</v>
      </c>
      <c r="PCW54" s="5">
        <f>-IFERROR('4. NPV'!#REF!/'4. NPV'!PCX$8,0)</f>
        <v>0</v>
      </c>
      <c r="PCX54" s="5">
        <f>-IFERROR('4. NPV'!#REF!/'4. NPV'!PCY$8,0)</f>
        <v>0</v>
      </c>
      <c r="PCY54" s="5">
        <f>-IFERROR('4. NPV'!#REF!/'4. NPV'!PCZ$8,0)</f>
        <v>0</v>
      </c>
      <c r="PCZ54" s="5">
        <f>-IFERROR('4. NPV'!#REF!/'4. NPV'!PDA$8,0)</f>
        <v>0</v>
      </c>
      <c r="PDA54" s="5">
        <f>-IFERROR('4. NPV'!#REF!/'4. NPV'!PDB$8,0)</f>
        <v>0</v>
      </c>
      <c r="PDB54" s="5">
        <f>-IFERROR('4. NPV'!#REF!/'4. NPV'!PDC$8,0)</f>
        <v>0</v>
      </c>
      <c r="PDC54" s="5">
        <f>-IFERROR('4. NPV'!#REF!/'4. NPV'!PDD$8,0)</f>
        <v>0</v>
      </c>
      <c r="PDD54" s="5">
        <f>-IFERROR('4. NPV'!#REF!/'4. NPV'!PDE$8,0)</f>
        <v>0</v>
      </c>
      <c r="PDE54" s="5">
        <f>-IFERROR('4. NPV'!#REF!/'4. NPV'!PDF$8,0)</f>
        <v>0</v>
      </c>
      <c r="PDF54" s="5">
        <f>-IFERROR('4. NPV'!#REF!/'4. NPV'!PDG$8,0)</f>
        <v>0</v>
      </c>
      <c r="PDG54" s="5">
        <f>-IFERROR('4. NPV'!#REF!/'4. NPV'!PDH$8,0)</f>
        <v>0</v>
      </c>
      <c r="PDH54" s="5">
        <f>-IFERROR('4. NPV'!#REF!/'4. NPV'!PDI$8,0)</f>
        <v>0</v>
      </c>
      <c r="PDI54" s="5">
        <f>-IFERROR('4. NPV'!#REF!/'4. NPV'!PDJ$8,0)</f>
        <v>0</v>
      </c>
      <c r="PDJ54" s="5">
        <f>-IFERROR('4. NPV'!#REF!/'4. NPV'!PDK$8,0)</f>
        <v>0</v>
      </c>
      <c r="PDK54" s="5">
        <f>-IFERROR('4. NPV'!#REF!/'4. NPV'!PDL$8,0)</f>
        <v>0</v>
      </c>
      <c r="PDL54" s="5">
        <f>-IFERROR('4. NPV'!#REF!/'4. NPV'!PDM$8,0)</f>
        <v>0</v>
      </c>
      <c r="PDM54" s="5">
        <f>-IFERROR('4. NPV'!#REF!/'4. NPV'!PDN$8,0)</f>
        <v>0</v>
      </c>
      <c r="PDN54" s="5">
        <f>-IFERROR('4. NPV'!#REF!/'4. NPV'!PDO$8,0)</f>
        <v>0</v>
      </c>
      <c r="PDO54" s="5">
        <f>-IFERROR('4. NPV'!#REF!/'4. NPV'!PDP$8,0)</f>
        <v>0</v>
      </c>
      <c r="PDP54" s="5">
        <f>-IFERROR('4. NPV'!#REF!/'4. NPV'!PDQ$8,0)</f>
        <v>0</v>
      </c>
      <c r="PDQ54" s="5">
        <f>-IFERROR('4. NPV'!#REF!/'4. NPV'!PDR$8,0)</f>
        <v>0</v>
      </c>
      <c r="PDR54" s="5">
        <f>-IFERROR('4. NPV'!#REF!/'4. NPV'!PDS$8,0)</f>
        <v>0</v>
      </c>
      <c r="PDS54" s="5">
        <f>-IFERROR('4. NPV'!#REF!/'4. NPV'!PDT$8,0)</f>
        <v>0</v>
      </c>
      <c r="PDT54" s="5">
        <f>-IFERROR('4. NPV'!#REF!/'4. NPV'!PDU$8,0)</f>
        <v>0</v>
      </c>
      <c r="PDU54" s="5">
        <f>-IFERROR('4. NPV'!#REF!/'4. NPV'!PDV$8,0)</f>
        <v>0</v>
      </c>
      <c r="PDV54" s="5">
        <f>-IFERROR('4. NPV'!#REF!/'4. NPV'!PDW$8,0)</f>
        <v>0</v>
      </c>
      <c r="PDW54" s="5">
        <f>-IFERROR('4. NPV'!#REF!/'4. NPV'!PDX$8,0)</f>
        <v>0</v>
      </c>
      <c r="PDX54" s="5">
        <f>-IFERROR('4. NPV'!#REF!/'4. NPV'!PDY$8,0)</f>
        <v>0</v>
      </c>
      <c r="PDY54" s="5">
        <f>-IFERROR('4. NPV'!#REF!/'4. NPV'!PDZ$8,0)</f>
        <v>0</v>
      </c>
      <c r="PDZ54" s="5">
        <f>-IFERROR('4. NPV'!#REF!/'4. NPV'!PEA$8,0)</f>
        <v>0</v>
      </c>
      <c r="PEA54" s="5">
        <f>-IFERROR('4. NPV'!#REF!/'4. NPV'!PEB$8,0)</f>
        <v>0</v>
      </c>
      <c r="PEB54" s="5">
        <f>-IFERROR('4. NPV'!#REF!/'4. NPV'!PEC$8,0)</f>
        <v>0</v>
      </c>
      <c r="PEC54" s="5">
        <f>-IFERROR('4. NPV'!#REF!/'4. NPV'!PED$8,0)</f>
        <v>0</v>
      </c>
      <c r="PED54" s="5">
        <f>-IFERROR('4. NPV'!#REF!/'4. NPV'!PEE$8,0)</f>
        <v>0</v>
      </c>
      <c r="PEE54" s="5">
        <f>-IFERROR('4. NPV'!#REF!/'4. NPV'!PEF$8,0)</f>
        <v>0</v>
      </c>
      <c r="PEF54" s="5">
        <f>-IFERROR('4. NPV'!#REF!/'4. NPV'!PEG$8,0)</f>
        <v>0</v>
      </c>
      <c r="PEG54" s="5">
        <f>-IFERROR('4. NPV'!#REF!/'4. NPV'!PEH$8,0)</f>
        <v>0</v>
      </c>
      <c r="PEH54" s="5">
        <f>-IFERROR('4. NPV'!#REF!/'4. NPV'!PEI$8,0)</f>
        <v>0</v>
      </c>
      <c r="PEI54" s="5">
        <f>-IFERROR('4. NPV'!#REF!/'4. NPV'!PEJ$8,0)</f>
        <v>0</v>
      </c>
      <c r="PEJ54" s="5">
        <f>-IFERROR('4. NPV'!#REF!/'4. NPV'!PEK$8,0)</f>
        <v>0</v>
      </c>
      <c r="PEK54" s="5">
        <f>-IFERROR('4. NPV'!#REF!/'4. NPV'!PEL$8,0)</f>
        <v>0</v>
      </c>
      <c r="PEL54" s="5">
        <f>-IFERROR('4. NPV'!#REF!/'4. NPV'!PEM$8,0)</f>
        <v>0</v>
      </c>
      <c r="PEM54" s="5">
        <f>-IFERROR('4. NPV'!#REF!/'4. NPV'!PEN$8,0)</f>
        <v>0</v>
      </c>
      <c r="PEN54" s="5">
        <f>-IFERROR('4. NPV'!#REF!/'4. NPV'!PEO$8,0)</f>
        <v>0</v>
      </c>
      <c r="PEO54" s="5">
        <f>-IFERROR('4. NPV'!#REF!/'4. NPV'!PEP$8,0)</f>
        <v>0</v>
      </c>
      <c r="PEP54" s="5">
        <f>-IFERROR('4. NPV'!#REF!/'4. NPV'!PEQ$8,0)</f>
        <v>0</v>
      </c>
      <c r="PEQ54" s="5">
        <f>-IFERROR('4. NPV'!#REF!/'4. NPV'!PER$8,0)</f>
        <v>0</v>
      </c>
      <c r="PER54" s="5">
        <f>-IFERROR('4. NPV'!#REF!/'4. NPV'!PES$8,0)</f>
        <v>0</v>
      </c>
      <c r="PES54" s="5">
        <f>-IFERROR('4. NPV'!#REF!/'4. NPV'!PET$8,0)</f>
        <v>0</v>
      </c>
      <c r="PET54" s="5">
        <f>-IFERROR('4. NPV'!#REF!/'4. NPV'!PEU$8,0)</f>
        <v>0</v>
      </c>
      <c r="PEU54" s="5">
        <f>-IFERROR('4. NPV'!#REF!/'4. NPV'!PEV$8,0)</f>
        <v>0</v>
      </c>
      <c r="PEV54" s="5">
        <f>-IFERROR('4. NPV'!#REF!/'4. NPV'!PEW$8,0)</f>
        <v>0</v>
      </c>
      <c r="PEW54" s="5">
        <f>-IFERROR('4. NPV'!#REF!/'4. NPV'!PEX$8,0)</f>
        <v>0</v>
      </c>
      <c r="PEX54" s="5">
        <f>-IFERROR('4. NPV'!#REF!/'4. NPV'!PEY$8,0)</f>
        <v>0</v>
      </c>
      <c r="PEY54" s="5">
        <f>-IFERROR('4. NPV'!#REF!/'4. NPV'!PEZ$8,0)</f>
        <v>0</v>
      </c>
      <c r="PEZ54" s="5">
        <f>-IFERROR('4. NPV'!#REF!/'4. NPV'!PFA$8,0)</f>
        <v>0</v>
      </c>
      <c r="PFA54" s="5">
        <f>-IFERROR('4. NPV'!#REF!/'4. NPV'!PFB$8,0)</f>
        <v>0</v>
      </c>
      <c r="PFB54" s="5">
        <f>-IFERROR('4. NPV'!#REF!/'4. NPV'!PFC$8,0)</f>
        <v>0</v>
      </c>
      <c r="PFC54" s="5">
        <f>-IFERROR('4. NPV'!#REF!/'4. NPV'!PFD$8,0)</f>
        <v>0</v>
      </c>
      <c r="PFD54" s="5">
        <f>-IFERROR('4. NPV'!#REF!/'4. NPV'!PFE$8,0)</f>
        <v>0</v>
      </c>
      <c r="PFE54" s="5">
        <f>-IFERROR('4. NPV'!#REF!/'4. NPV'!PFF$8,0)</f>
        <v>0</v>
      </c>
      <c r="PFF54" s="5">
        <f>-IFERROR('4. NPV'!#REF!/'4. NPV'!PFG$8,0)</f>
        <v>0</v>
      </c>
      <c r="PFG54" s="5">
        <f>-IFERROR('4. NPV'!#REF!/'4. NPV'!PFH$8,0)</f>
        <v>0</v>
      </c>
      <c r="PFH54" s="5">
        <f>-IFERROR('4. NPV'!#REF!/'4. NPV'!PFI$8,0)</f>
        <v>0</v>
      </c>
      <c r="PFI54" s="5">
        <f>-IFERROR('4. NPV'!#REF!/'4. NPV'!PFJ$8,0)</f>
        <v>0</v>
      </c>
      <c r="PFJ54" s="5">
        <f>-IFERROR('4. NPV'!#REF!/'4. NPV'!PFK$8,0)</f>
        <v>0</v>
      </c>
      <c r="PFK54" s="5">
        <f>-IFERROR('4. NPV'!#REF!/'4. NPV'!PFL$8,0)</f>
        <v>0</v>
      </c>
      <c r="PFL54" s="5">
        <f>-IFERROR('4. NPV'!#REF!/'4. NPV'!PFM$8,0)</f>
        <v>0</v>
      </c>
      <c r="PFM54" s="5">
        <f>-IFERROR('4. NPV'!#REF!/'4. NPV'!PFN$8,0)</f>
        <v>0</v>
      </c>
      <c r="PFN54" s="5">
        <f>-IFERROR('4. NPV'!#REF!/'4. NPV'!PFO$8,0)</f>
        <v>0</v>
      </c>
      <c r="PFO54" s="5">
        <f>-IFERROR('4. NPV'!#REF!/'4. NPV'!PFP$8,0)</f>
        <v>0</v>
      </c>
      <c r="PFP54" s="5">
        <f>-IFERROR('4. NPV'!#REF!/'4. NPV'!PFQ$8,0)</f>
        <v>0</v>
      </c>
      <c r="PFQ54" s="5">
        <f>-IFERROR('4. NPV'!#REF!/'4. NPV'!PFR$8,0)</f>
        <v>0</v>
      </c>
      <c r="PFR54" s="5">
        <f>-IFERROR('4. NPV'!#REF!/'4. NPV'!PFS$8,0)</f>
        <v>0</v>
      </c>
      <c r="PFS54" s="5">
        <f>-IFERROR('4. NPV'!#REF!/'4. NPV'!PFT$8,0)</f>
        <v>0</v>
      </c>
      <c r="PFT54" s="5">
        <f>-IFERROR('4. NPV'!#REF!/'4. NPV'!PFU$8,0)</f>
        <v>0</v>
      </c>
      <c r="PFU54" s="5">
        <f>-IFERROR('4. NPV'!#REF!/'4. NPV'!PFV$8,0)</f>
        <v>0</v>
      </c>
      <c r="PFV54" s="5">
        <f>-IFERROR('4. NPV'!#REF!/'4. NPV'!PFW$8,0)</f>
        <v>0</v>
      </c>
      <c r="PFW54" s="5">
        <f>-IFERROR('4. NPV'!#REF!/'4. NPV'!PFX$8,0)</f>
        <v>0</v>
      </c>
      <c r="PFX54" s="5">
        <f>-IFERROR('4. NPV'!#REF!/'4. NPV'!PFY$8,0)</f>
        <v>0</v>
      </c>
      <c r="PFY54" s="5">
        <f>-IFERROR('4. NPV'!#REF!/'4. NPV'!PFZ$8,0)</f>
        <v>0</v>
      </c>
      <c r="PFZ54" s="5">
        <f>-IFERROR('4. NPV'!#REF!/'4. NPV'!PGA$8,0)</f>
        <v>0</v>
      </c>
      <c r="PGA54" s="5">
        <f>-IFERROR('4. NPV'!#REF!/'4. NPV'!PGB$8,0)</f>
        <v>0</v>
      </c>
      <c r="PGB54" s="5">
        <f>-IFERROR('4. NPV'!#REF!/'4. NPV'!PGC$8,0)</f>
        <v>0</v>
      </c>
      <c r="PGC54" s="5">
        <f>-IFERROR('4. NPV'!#REF!/'4. NPV'!PGD$8,0)</f>
        <v>0</v>
      </c>
      <c r="PGD54" s="5">
        <f>-IFERROR('4. NPV'!#REF!/'4. NPV'!PGE$8,0)</f>
        <v>0</v>
      </c>
      <c r="PGE54" s="5">
        <f>-IFERROR('4. NPV'!#REF!/'4. NPV'!PGF$8,0)</f>
        <v>0</v>
      </c>
      <c r="PGF54" s="5">
        <f>-IFERROR('4. NPV'!#REF!/'4. NPV'!PGG$8,0)</f>
        <v>0</v>
      </c>
      <c r="PGG54" s="5">
        <f>-IFERROR('4. NPV'!#REF!/'4. NPV'!PGH$8,0)</f>
        <v>0</v>
      </c>
      <c r="PGH54" s="5">
        <f>-IFERROR('4. NPV'!#REF!/'4. NPV'!PGI$8,0)</f>
        <v>0</v>
      </c>
      <c r="PGI54" s="5">
        <f>-IFERROR('4. NPV'!#REF!/'4. NPV'!PGJ$8,0)</f>
        <v>0</v>
      </c>
      <c r="PGJ54" s="5">
        <f>-IFERROR('4. NPV'!#REF!/'4. NPV'!PGK$8,0)</f>
        <v>0</v>
      </c>
      <c r="PGK54" s="5">
        <f>-IFERROR('4. NPV'!#REF!/'4. NPV'!PGL$8,0)</f>
        <v>0</v>
      </c>
      <c r="PGL54" s="5">
        <f>-IFERROR('4. NPV'!#REF!/'4. NPV'!PGM$8,0)</f>
        <v>0</v>
      </c>
      <c r="PGM54" s="5">
        <f>-IFERROR('4. NPV'!#REF!/'4. NPV'!PGN$8,0)</f>
        <v>0</v>
      </c>
      <c r="PGN54" s="5">
        <f>-IFERROR('4. NPV'!#REF!/'4. NPV'!PGO$8,0)</f>
        <v>0</v>
      </c>
      <c r="PGO54" s="5">
        <f>-IFERROR('4. NPV'!#REF!/'4. NPV'!PGP$8,0)</f>
        <v>0</v>
      </c>
      <c r="PGP54" s="5">
        <f>-IFERROR('4. NPV'!#REF!/'4. NPV'!PGQ$8,0)</f>
        <v>0</v>
      </c>
      <c r="PGQ54" s="5">
        <f>-IFERROR('4. NPV'!#REF!/'4. NPV'!PGR$8,0)</f>
        <v>0</v>
      </c>
      <c r="PGR54" s="5">
        <f>-IFERROR('4. NPV'!#REF!/'4. NPV'!PGS$8,0)</f>
        <v>0</v>
      </c>
      <c r="PGS54" s="5">
        <f>-IFERROR('4. NPV'!#REF!/'4. NPV'!PGT$8,0)</f>
        <v>0</v>
      </c>
      <c r="PGT54" s="5">
        <f>-IFERROR('4. NPV'!#REF!/'4. NPV'!PGU$8,0)</f>
        <v>0</v>
      </c>
      <c r="PGU54" s="5">
        <f>-IFERROR('4. NPV'!#REF!/'4. NPV'!PGV$8,0)</f>
        <v>0</v>
      </c>
      <c r="PGV54" s="5">
        <f>-IFERROR('4. NPV'!#REF!/'4. NPV'!PGW$8,0)</f>
        <v>0</v>
      </c>
      <c r="PGW54" s="5">
        <f>-IFERROR('4. NPV'!#REF!/'4. NPV'!PGX$8,0)</f>
        <v>0</v>
      </c>
      <c r="PGX54" s="5">
        <f>-IFERROR('4. NPV'!#REF!/'4. NPV'!PGY$8,0)</f>
        <v>0</v>
      </c>
      <c r="PGY54" s="5">
        <f>-IFERROR('4. NPV'!#REF!/'4. NPV'!PGZ$8,0)</f>
        <v>0</v>
      </c>
      <c r="PGZ54" s="5">
        <f>-IFERROR('4. NPV'!#REF!/'4. NPV'!PHA$8,0)</f>
        <v>0</v>
      </c>
      <c r="PHA54" s="5">
        <f>-IFERROR('4. NPV'!#REF!/'4. NPV'!PHB$8,0)</f>
        <v>0</v>
      </c>
      <c r="PHB54" s="5">
        <f>-IFERROR('4. NPV'!#REF!/'4. NPV'!PHC$8,0)</f>
        <v>0</v>
      </c>
      <c r="PHC54" s="5">
        <f>-IFERROR('4. NPV'!#REF!/'4. NPV'!PHD$8,0)</f>
        <v>0</v>
      </c>
      <c r="PHD54" s="5">
        <f>-IFERROR('4. NPV'!#REF!/'4. NPV'!PHE$8,0)</f>
        <v>0</v>
      </c>
      <c r="PHE54" s="5">
        <f>-IFERROR('4. NPV'!#REF!/'4. NPV'!PHF$8,0)</f>
        <v>0</v>
      </c>
      <c r="PHF54" s="5">
        <f>-IFERROR('4. NPV'!#REF!/'4. NPV'!PHG$8,0)</f>
        <v>0</v>
      </c>
      <c r="PHG54" s="5">
        <f>-IFERROR('4. NPV'!#REF!/'4. NPV'!PHH$8,0)</f>
        <v>0</v>
      </c>
      <c r="PHH54" s="5">
        <f>-IFERROR('4. NPV'!#REF!/'4. NPV'!PHI$8,0)</f>
        <v>0</v>
      </c>
      <c r="PHI54" s="5">
        <f>-IFERROR('4. NPV'!#REF!/'4. NPV'!PHJ$8,0)</f>
        <v>0</v>
      </c>
      <c r="PHJ54" s="5">
        <f>-IFERROR('4. NPV'!#REF!/'4. NPV'!PHK$8,0)</f>
        <v>0</v>
      </c>
      <c r="PHK54" s="5">
        <f>-IFERROR('4. NPV'!#REF!/'4. NPV'!PHL$8,0)</f>
        <v>0</v>
      </c>
      <c r="PHL54" s="5">
        <f>-IFERROR('4. NPV'!#REF!/'4. NPV'!PHM$8,0)</f>
        <v>0</v>
      </c>
      <c r="PHM54" s="5">
        <f>-IFERROR('4. NPV'!#REF!/'4. NPV'!PHN$8,0)</f>
        <v>0</v>
      </c>
      <c r="PHN54" s="5">
        <f>-IFERROR('4. NPV'!#REF!/'4. NPV'!PHO$8,0)</f>
        <v>0</v>
      </c>
      <c r="PHO54" s="5">
        <f>-IFERROR('4. NPV'!#REF!/'4. NPV'!PHP$8,0)</f>
        <v>0</v>
      </c>
      <c r="PHP54" s="5">
        <f>-IFERROR('4. NPV'!#REF!/'4. NPV'!PHQ$8,0)</f>
        <v>0</v>
      </c>
      <c r="PHQ54" s="5">
        <f>-IFERROR('4. NPV'!#REF!/'4. NPV'!PHR$8,0)</f>
        <v>0</v>
      </c>
      <c r="PHR54" s="5">
        <f>-IFERROR('4. NPV'!#REF!/'4. NPV'!PHS$8,0)</f>
        <v>0</v>
      </c>
      <c r="PHS54" s="5">
        <f>-IFERROR('4. NPV'!#REF!/'4. NPV'!PHT$8,0)</f>
        <v>0</v>
      </c>
      <c r="PHT54" s="5">
        <f>-IFERROR('4. NPV'!#REF!/'4. NPV'!PHU$8,0)</f>
        <v>0</v>
      </c>
      <c r="PHU54" s="5">
        <f>-IFERROR('4. NPV'!#REF!/'4. NPV'!PHV$8,0)</f>
        <v>0</v>
      </c>
      <c r="PHV54" s="5">
        <f>-IFERROR('4. NPV'!#REF!/'4. NPV'!PHW$8,0)</f>
        <v>0</v>
      </c>
      <c r="PHW54" s="5">
        <f>-IFERROR('4. NPV'!#REF!/'4. NPV'!PHX$8,0)</f>
        <v>0</v>
      </c>
      <c r="PHX54" s="5">
        <f>-IFERROR('4. NPV'!#REF!/'4. NPV'!PHY$8,0)</f>
        <v>0</v>
      </c>
      <c r="PHY54" s="5">
        <f>-IFERROR('4. NPV'!#REF!/'4. NPV'!PHZ$8,0)</f>
        <v>0</v>
      </c>
      <c r="PHZ54" s="5">
        <f>-IFERROR('4. NPV'!#REF!/'4. NPV'!PIA$8,0)</f>
        <v>0</v>
      </c>
      <c r="PIA54" s="5">
        <f>-IFERROR('4. NPV'!#REF!/'4. NPV'!PIB$8,0)</f>
        <v>0</v>
      </c>
      <c r="PIB54" s="5">
        <f>-IFERROR('4. NPV'!#REF!/'4. NPV'!PIC$8,0)</f>
        <v>0</v>
      </c>
      <c r="PIC54" s="5">
        <f>-IFERROR('4. NPV'!#REF!/'4. NPV'!PID$8,0)</f>
        <v>0</v>
      </c>
      <c r="PID54" s="5">
        <f>-IFERROR('4. NPV'!#REF!/'4. NPV'!PIE$8,0)</f>
        <v>0</v>
      </c>
      <c r="PIE54" s="5">
        <f>-IFERROR('4. NPV'!#REF!/'4. NPV'!PIF$8,0)</f>
        <v>0</v>
      </c>
      <c r="PIF54" s="5">
        <f>-IFERROR('4. NPV'!#REF!/'4. NPV'!PIG$8,0)</f>
        <v>0</v>
      </c>
      <c r="PIG54" s="5">
        <f>-IFERROR('4. NPV'!#REF!/'4. NPV'!PIH$8,0)</f>
        <v>0</v>
      </c>
      <c r="PIH54" s="5">
        <f>-IFERROR('4. NPV'!#REF!/'4. NPV'!PII$8,0)</f>
        <v>0</v>
      </c>
      <c r="PII54" s="5">
        <f>-IFERROR('4. NPV'!#REF!/'4. NPV'!PIJ$8,0)</f>
        <v>0</v>
      </c>
      <c r="PIJ54" s="5">
        <f>-IFERROR('4. NPV'!#REF!/'4. NPV'!PIK$8,0)</f>
        <v>0</v>
      </c>
      <c r="PIK54" s="5">
        <f>-IFERROR('4. NPV'!#REF!/'4. NPV'!PIL$8,0)</f>
        <v>0</v>
      </c>
      <c r="PIL54" s="5">
        <f>-IFERROR('4. NPV'!#REF!/'4. NPV'!PIM$8,0)</f>
        <v>0</v>
      </c>
      <c r="PIM54" s="5">
        <f>-IFERROR('4. NPV'!#REF!/'4. NPV'!PIN$8,0)</f>
        <v>0</v>
      </c>
      <c r="PIN54" s="5">
        <f>-IFERROR('4. NPV'!#REF!/'4. NPV'!PIO$8,0)</f>
        <v>0</v>
      </c>
      <c r="PIO54" s="5">
        <f>-IFERROR('4. NPV'!#REF!/'4. NPV'!PIP$8,0)</f>
        <v>0</v>
      </c>
      <c r="PIP54" s="5">
        <f>-IFERROR('4. NPV'!#REF!/'4. NPV'!PIQ$8,0)</f>
        <v>0</v>
      </c>
      <c r="PIQ54" s="5">
        <f>-IFERROR('4. NPV'!#REF!/'4. NPV'!PIR$8,0)</f>
        <v>0</v>
      </c>
      <c r="PIR54" s="5">
        <f>-IFERROR('4. NPV'!#REF!/'4. NPV'!PIS$8,0)</f>
        <v>0</v>
      </c>
      <c r="PIS54" s="5">
        <f>-IFERROR('4. NPV'!#REF!/'4. NPV'!PIT$8,0)</f>
        <v>0</v>
      </c>
      <c r="PIT54" s="5">
        <f>-IFERROR('4. NPV'!#REF!/'4. NPV'!PIU$8,0)</f>
        <v>0</v>
      </c>
      <c r="PIU54" s="5">
        <f>-IFERROR('4. NPV'!#REF!/'4. NPV'!PIV$8,0)</f>
        <v>0</v>
      </c>
      <c r="PIV54" s="5">
        <f>-IFERROR('4. NPV'!#REF!/'4. NPV'!PIW$8,0)</f>
        <v>0</v>
      </c>
      <c r="PIW54" s="5">
        <f>-IFERROR('4. NPV'!#REF!/'4. NPV'!PIX$8,0)</f>
        <v>0</v>
      </c>
      <c r="PIX54" s="5">
        <f>-IFERROR('4. NPV'!#REF!/'4. NPV'!PIY$8,0)</f>
        <v>0</v>
      </c>
      <c r="PIY54" s="5">
        <f>-IFERROR('4. NPV'!#REF!/'4. NPV'!PIZ$8,0)</f>
        <v>0</v>
      </c>
      <c r="PIZ54" s="5">
        <f>-IFERROR('4. NPV'!#REF!/'4. NPV'!PJA$8,0)</f>
        <v>0</v>
      </c>
      <c r="PJA54" s="5">
        <f>-IFERROR('4. NPV'!#REF!/'4. NPV'!PJB$8,0)</f>
        <v>0</v>
      </c>
      <c r="PJB54" s="5">
        <f>-IFERROR('4. NPV'!#REF!/'4. NPV'!PJC$8,0)</f>
        <v>0</v>
      </c>
      <c r="PJC54" s="5">
        <f>-IFERROR('4. NPV'!#REF!/'4. NPV'!PJD$8,0)</f>
        <v>0</v>
      </c>
      <c r="PJD54" s="5">
        <f>-IFERROR('4. NPV'!#REF!/'4. NPV'!PJE$8,0)</f>
        <v>0</v>
      </c>
      <c r="PJE54" s="5">
        <f>-IFERROR('4. NPV'!#REF!/'4. NPV'!PJF$8,0)</f>
        <v>0</v>
      </c>
      <c r="PJF54" s="5">
        <f>-IFERROR('4. NPV'!#REF!/'4. NPV'!PJG$8,0)</f>
        <v>0</v>
      </c>
      <c r="PJG54" s="5">
        <f>-IFERROR('4. NPV'!#REF!/'4. NPV'!PJH$8,0)</f>
        <v>0</v>
      </c>
      <c r="PJH54" s="5">
        <f>-IFERROR('4. NPV'!#REF!/'4. NPV'!PJI$8,0)</f>
        <v>0</v>
      </c>
      <c r="PJI54" s="5">
        <f>-IFERROR('4. NPV'!#REF!/'4. NPV'!PJJ$8,0)</f>
        <v>0</v>
      </c>
      <c r="PJJ54" s="5">
        <f>-IFERROR('4. NPV'!#REF!/'4. NPV'!PJK$8,0)</f>
        <v>0</v>
      </c>
      <c r="PJK54" s="5">
        <f>-IFERROR('4. NPV'!#REF!/'4. NPV'!PJL$8,0)</f>
        <v>0</v>
      </c>
      <c r="PJL54" s="5">
        <f>-IFERROR('4. NPV'!#REF!/'4. NPV'!PJM$8,0)</f>
        <v>0</v>
      </c>
      <c r="PJM54" s="5">
        <f>-IFERROR('4. NPV'!#REF!/'4. NPV'!PJN$8,0)</f>
        <v>0</v>
      </c>
      <c r="PJN54" s="5">
        <f>-IFERROR('4. NPV'!#REF!/'4. NPV'!PJO$8,0)</f>
        <v>0</v>
      </c>
      <c r="PJO54" s="5">
        <f>-IFERROR('4. NPV'!#REF!/'4. NPV'!PJP$8,0)</f>
        <v>0</v>
      </c>
      <c r="PJP54" s="5">
        <f>-IFERROR('4. NPV'!#REF!/'4. NPV'!PJQ$8,0)</f>
        <v>0</v>
      </c>
      <c r="PJQ54" s="5">
        <f>-IFERROR('4. NPV'!#REF!/'4. NPV'!PJR$8,0)</f>
        <v>0</v>
      </c>
      <c r="PJR54" s="5">
        <f>-IFERROR('4. NPV'!#REF!/'4. NPV'!PJS$8,0)</f>
        <v>0</v>
      </c>
      <c r="PJS54" s="5">
        <f>-IFERROR('4. NPV'!#REF!/'4. NPV'!PJT$8,0)</f>
        <v>0</v>
      </c>
      <c r="PJT54" s="5">
        <f>-IFERROR('4. NPV'!#REF!/'4. NPV'!PJU$8,0)</f>
        <v>0</v>
      </c>
      <c r="PJU54" s="5">
        <f>-IFERROR('4. NPV'!#REF!/'4. NPV'!PJV$8,0)</f>
        <v>0</v>
      </c>
      <c r="PJV54" s="5">
        <f>-IFERROR('4. NPV'!#REF!/'4. NPV'!PJW$8,0)</f>
        <v>0</v>
      </c>
      <c r="PJW54" s="5">
        <f>-IFERROR('4. NPV'!#REF!/'4. NPV'!PJX$8,0)</f>
        <v>0</v>
      </c>
      <c r="PJX54" s="5">
        <f>-IFERROR('4. NPV'!#REF!/'4. NPV'!PJY$8,0)</f>
        <v>0</v>
      </c>
      <c r="PJY54" s="5">
        <f>-IFERROR('4. NPV'!#REF!/'4. NPV'!PJZ$8,0)</f>
        <v>0</v>
      </c>
      <c r="PJZ54" s="5">
        <f>-IFERROR('4. NPV'!#REF!/'4. NPV'!PKA$8,0)</f>
        <v>0</v>
      </c>
      <c r="PKA54" s="5">
        <f>-IFERROR('4. NPV'!#REF!/'4. NPV'!PKB$8,0)</f>
        <v>0</v>
      </c>
      <c r="PKB54" s="5">
        <f>-IFERROR('4. NPV'!#REF!/'4. NPV'!PKC$8,0)</f>
        <v>0</v>
      </c>
      <c r="PKC54" s="5">
        <f>-IFERROR('4. NPV'!#REF!/'4. NPV'!PKD$8,0)</f>
        <v>0</v>
      </c>
      <c r="PKD54" s="5">
        <f>-IFERROR('4. NPV'!#REF!/'4. NPV'!PKE$8,0)</f>
        <v>0</v>
      </c>
      <c r="PKE54" s="5">
        <f>-IFERROR('4. NPV'!#REF!/'4. NPV'!PKF$8,0)</f>
        <v>0</v>
      </c>
      <c r="PKF54" s="5">
        <f>-IFERROR('4. NPV'!#REF!/'4. NPV'!PKG$8,0)</f>
        <v>0</v>
      </c>
      <c r="PKG54" s="5">
        <f>-IFERROR('4. NPV'!#REF!/'4. NPV'!PKH$8,0)</f>
        <v>0</v>
      </c>
      <c r="PKH54" s="5">
        <f>-IFERROR('4. NPV'!#REF!/'4. NPV'!PKI$8,0)</f>
        <v>0</v>
      </c>
      <c r="PKI54" s="5">
        <f>-IFERROR('4. NPV'!#REF!/'4. NPV'!PKJ$8,0)</f>
        <v>0</v>
      </c>
      <c r="PKJ54" s="5">
        <f>-IFERROR('4. NPV'!#REF!/'4. NPV'!PKK$8,0)</f>
        <v>0</v>
      </c>
      <c r="PKK54" s="5">
        <f>-IFERROR('4. NPV'!#REF!/'4. NPV'!PKL$8,0)</f>
        <v>0</v>
      </c>
      <c r="PKL54" s="5">
        <f>-IFERROR('4. NPV'!#REF!/'4. NPV'!PKM$8,0)</f>
        <v>0</v>
      </c>
      <c r="PKM54" s="5">
        <f>-IFERROR('4. NPV'!#REF!/'4. NPV'!PKN$8,0)</f>
        <v>0</v>
      </c>
      <c r="PKN54" s="5">
        <f>-IFERROR('4. NPV'!#REF!/'4. NPV'!PKO$8,0)</f>
        <v>0</v>
      </c>
      <c r="PKO54" s="5">
        <f>-IFERROR('4. NPV'!#REF!/'4. NPV'!PKP$8,0)</f>
        <v>0</v>
      </c>
      <c r="PKP54" s="5">
        <f>-IFERROR('4. NPV'!#REF!/'4. NPV'!PKQ$8,0)</f>
        <v>0</v>
      </c>
      <c r="PKQ54" s="5">
        <f>-IFERROR('4. NPV'!#REF!/'4. NPV'!PKR$8,0)</f>
        <v>0</v>
      </c>
      <c r="PKR54" s="5">
        <f>-IFERROR('4. NPV'!#REF!/'4. NPV'!PKS$8,0)</f>
        <v>0</v>
      </c>
      <c r="PKS54" s="5">
        <f>-IFERROR('4. NPV'!#REF!/'4. NPV'!PKT$8,0)</f>
        <v>0</v>
      </c>
      <c r="PKT54" s="5">
        <f>-IFERROR('4. NPV'!#REF!/'4. NPV'!PKU$8,0)</f>
        <v>0</v>
      </c>
      <c r="PKU54" s="5">
        <f>-IFERROR('4. NPV'!#REF!/'4. NPV'!PKV$8,0)</f>
        <v>0</v>
      </c>
      <c r="PKV54" s="5">
        <f>-IFERROR('4. NPV'!#REF!/'4. NPV'!PKW$8,0)</f>
        <v>0</v>
      </c>
      <c r="PKW54" s="5">
        <f>-IFERROR('4. NPV'!#REF!/'4. NPV'!PKX$8,0)</f>
        <v>0</v>
      </c>
      <c r="PKX54" s="5">
        <f>-IFERROR('4. NPV'!#REF!/'4. NPV'!PKY$8,0)</f>
        <v>0</v>
      </c>
      <c r="PKY54" s="5">
        <f>-IFERROR('4. NPV'!#REF!/'4. NPV'!PKZ$8,0)</f>
        <v>0</v>
      </c>
      <c r="PKZ54" s="5">
        <f>-IFERROR('4. NPV'!#REF!/'4. NPV'!PLA$8,0)</f>
        <v>0</v>
      </c>
      <c r="PLA54" s="5">
        <f>-IFERROR('4. NPV'!#REF!/'4. NPV'!PLB$8,0)</f>
        <v>0</v>
      </c>
      <c r="PLB54" s="5">
        <f>-IFERROR('4. NPV'!#REF!/'4. NPV'!PLC$8,0)</f>
        <v>0</v>
      </c>
      <c r="PLC54" s="5">
        <f>-IFERROR('4. NPV'!#REF!/'4. NPV'!PLD$8,0)</f>
        <v>0</v>
      </c>
      <c r="PLD54" s="5">
        <f>-IFERROR('4. NPV'!#REF!/'4. NPV'!PLE$8,0)</f>
        <v>0</v>
      </c>
      <c r="PLE54" s="5">
        <f>-IFERROR('4. NPV'!#REF!/'4. NPV'!PLF$8,0)</f>
        <v>0</v>
      </c>
      <c r="PLF54" s="5">
        <f>-IFERROR('4. NPV'!#REF!/'4. NPV'!PLG$8,0)</f>
        <v>0</v>
      </c>
      <c r="PLG54" s="5">
        <f>-IFERROR('4. NPV'!#REF!/'4. NPV'!PLH$8,0)</f>
        <v>0</v>
      </c>
      <c r="PLH54" s="5">
        <f>-IFERROR('4. NPV'!#REF!/'4. NPV'!PLI$8,0)</f>
        <v>0</v>
      </c>
      <c r="PLI54" s="5">
        <f>-IFERROR('4. NPV'!#REF!/'4. NPV'!PLJ$8,0)</f>
        <v>0</v>
      </c>
      <c r="PLJ54" s="5">
        <f>-IFERROR('4. NPV'!#REF!/'4. NPV'!PLK$8,0)</f>
        <v>0</v>
      </c>
      <c r="PLK54" s="5">
        <f>-IFERROR('4. NPV'!#REF!/'4. NPV'!PLL$8,0)</f>
        <v>0</v>
      </c>
      <c r="PLL54" s="5">
        <f>-IFERROR('4. NPV'!#REF!/'4. NPV'!PLM$8,0)</f>
        <v>0</v>
      </c>
      <c r="PLM54" s="5">
        <f>-IFERROR('4. NPV'!#REF!/'4. NPV'!PLN$8,0)</f>
        <v>0</v>
      </c>
      <c r="PLN54" s="5">
        <f>-IFERROR('4. NPV'!#REF!/'4. NPV'!PLO$8,0)</f>
        <v>0</v>
      </c>
      <c r="PLO54" s="5">
        <f>-IFERROR('4. NPV'!#REF!/'4. NPV'!PLP$8,0)</f>
        <v>0</v>
      </c>
      <c r="PLP54" s="5">
        <f>-IFERROR('4. NPV'!#REF!/'4. NPV'!PLQ$8,0)</f>
        <v>0</v>
      </c>
      <c r="PLQ54" s="5">
        <f>-IFERROR('4. NPV'!#REF!/'4. NPV'!PLR$8,0)</f>
        <v>0</v>
      </c>
      <c r="PLR54" s="5">
        <f>-IFERROR('4. NPV'!#REF!/'4. NPV'!PLS$8,0)</f>
        <v>0</v>
      </c>
      <c r="PLS54" s="5">
        <f>-IFERROR('4. NPV'!#REF!/'4. NPV'!PLT$8,0)</f>
        <v>0</v>
      </c>
      <c r="PLT54" s="5">
        <f>-IFERROR('4. NPV'!#REF!/'4. NPV'!PLU$8,0)</f>
        <v>0</v>
      </c>
      <c r="PLU54" s="5">
        <f>-IFERROR('4. NPV'!#REF!/'4. NPV'!PLV$8,0)</f>
        <v>0</v>
      </c>
      <c r="PLV54" s="5">
        <f>-IFERROR('4. NPV'!#REF!/'4. NPV'!PLW$8,0)</f>
        <v>0</v>
      </c>
      <c r="PLW54" s="5">
        <f>-IFERROR('4. NPV'!#REF!/'4. NPV'!PLX$8,0)</f>
        <v>0</v>
      </c>
      <c r="PLX54" s="5">
        <f>-IFERROR('4. NPV'!#REF!/'4. NPV'!PLY$8,0)</f>
        <v>0</v>
      </c>
      <c r="PLY54" s="5">
        <f>-IFERROR('4. NPV'!#REF!/'4. NPV'!PLZ$8,0)</f>
        <v>0</v>
      </c>
      <c r="PLZ54" s="5">
        <f>-IFERROR('4. NPV'!#REF!/'4. NPV'!PMA$8,0)</f>
        <v>0</v>
      </c>
      <c r="PMA54" s="5">
        <f>-IFERROR('4. NPV'!#REF!/'4. NPV'!PMB$8,0)</f>
        <v>0</v>
      </c>
      <c r="PMB54" s="5">
        <f>-IFERROR('4. NPV'!#REF!/'4. NPV'!PMC$8,0)</f>
        <v>0</v>
      </c>
      <c r="PMC54" s="5">
        <f>-IFERROR('4. NPV'!#REF!/'4. NPV'!PMD$8,0)</f>
        <v>0</v>
      </c>
      <c r="PMD54" s="5">
        <f>-IFERROR('4. NPV'!#REF!/'4. NPV'!PME$8,0)</f>
        <v>0</v>
      </c>
      <c r="PME54" s="5">
        <f>-IFERROR('4. NPV'!#REF!/'4. NPV'!PMF$8,0)</f>
        <v>0</v>
      </c>
      <c r="PMF54" s="5">
        <f>-IFERROR('4. NPV'!#REF!/'4. NPV'!PMG$8,0)</f>
        <v>0</v>
      </c>
      <c r="PMG54" s="5">
        <f>-IFERROR('4. NPV'!#REF!/'4. NPV'!PMH$8,0)</f>
        <v>0</v>
      </c>
      <c r="PMH54" s="5">
        <f>-IFERROR('4. NPV'!#REF!/'4. NPV'!PMI$8,0)</f>
        <v>0</v>
      </c>
      <c r="PMI54" s="5">
        <f>-IFERROR('4. NPV'!#REF!/'4. NPV'!PMJ$8,0)</f>
        <v>0</v>
      </c>
      <c r="PMJ54" s="5">
        <f>-IFERROR('4. NPV'!#REF!/'4. NPV'!PMK$8,0)</f>
        <v>0</v>
      </c>
      <c r="PMK54" s="5">
        <f>-IFERROR('4. NPV'!#REF!/'4. NPV'!PML$8,0)</f>
        <v>0</v>
      </c>
      <c r="PML54" s="5">
        <f>-IFERROR('4. NPV'!#REF!/'4. NPV'!PMM$8,0)</f>
        <v>0</v>
      </c>
      <c r="PMM54" s="5">
        <f>-IFERROR('4. NPV'!#REF!/'4. NPV'!PMN$8,0)</f>
        <v>0</v>
      </c>
      <c r="PMN54" s="5">
        <f>-IFERROR('4. NPV'!#REF!/'4. NPV'!PMO$8,0)</f>
        <v>0</v>
      </c>
      <c r="PMO54" s="5">
        <f>-IFERROR('4. NPV'!#REF!/'4. NPV'!PMP$8,0)</f>
        <v>0</v>
      </c>
      <c r="PMP54" s="5">
        <f>-IFERROR('4. NPV'!#REF!/'4. NPV'!PMQ$8,0)</f>
        <v>0</v>
      </c>
      <c r="PMQ54" s="5">
        <f>-IFERROR('4. NPV'!#REF!/'4. NPV'!PMR$8,0)</f>
        <v>0</v>
      </c>
      <c r="PMR54" s="5">
        <f>-IFERROR('4. NPV'!#REF!/'4. NPV'!PMS$8,0)</f>
        <v>0</v>
      </c>
      <c r="PMS54" s="5">
        <f>-IFERROR('4. NPV'!#REF!/'4. NPV'!PMT$8,0)</f>
        <v>0</v>
      </c>
      <c r="PMT54" s="5">
        <f>-IFERROR('4. NPV'!#REF!/'4. NPV'!PMU$8,0)</f>
        <v>0</v>
      </c>
      <c r="PMU54" s="5">
        <f>-IFERROR('4. NPV'!#REF!/'4. NPV'!PMV$8,0)</f>
        <v>0</v>
      </c>
      <c r="PMV54" s="5">
        <f>-IFERROR('4. NPV'!#REF!/'4. NPV'!PMW$8,0)</f>
        <v>0</v>
      </c>
      <c r="PMW54" s="5">
        <f>-IFERROR('4. NPV'!#REF!/'4. NPV'!PMX$8,0)</f>
        <v>0</v>
      </c>
      <c r="PMX54" s="5">
        <f>-IFERROR('4. NPV'!#REF!/'4. NPV'!PMY$8,0)</f>
        <v>0</v>
      </c>
      <c r="PMY54" s="5">
        <f>-IFERROR('4. NPV'!#REF!/'4. NPV'!PMZ$8,0)</f>
        <v>0</v>
      </c>
      <c r="PMZ54" s="5">
        <f>-IFERROR('4. NPV'!#REF!/'4. NPV'!PNA$8,0)</f>
        <v>0</v>
      </c>
      <c r="PNA54" s="5">
        <f>-IFERROR('4. NPV'!#REF!/'4. NPV'!PNB$8,0)</f>
        <v>0</v>
      </c>
      <c r="PNB54" s="5">
        <f>-IFERROR('4. NPV'!#REF!/'4. NPV'!PNC$8,0)</f>
        <v>0</v>
      </c>
      <c r="PNC54" s="5">
        <f>-IFERROR('4. NPV'!#REF!/'4. NPV'!PND$8,0)</f>
        <v>0</v>
      </c>
      <c r="PND54" s="5">
        <f>-IFERROR('4. NPV'!#REF!/'4. NPV'!PNE$8,0)</f>
        <v>0</v>
      </c>
      <c r="PNE54" s="5">
        <f>-IFERROR('4. NPV'!#REF!/'4. NPV'!PNF$8,0)</f>
        <v>0</v>
      </c>
      <c r="PNF54" s="5">
        <f>-IFERROR('4. NPV'!#REF!/'4. NPV'!PNG$8,0)</f>
        <v>0</v>
      </c>
      <c r="PNG54" s="5">
        <f>-IFERROR('4. NPV'!#REF!/'4. NPV'!PNH$8,0)</f>
        <v>0</v>
      </c>
      <c r="PNH54" s="5">
        <f>-IFERROR('4. NPV'!#REF!/'4. NPV'!PNI$8,0)</f>
        <v>0</v>
      </c>
      <c r="PNI54" s="5">
        <f>-IFERROR('4. NPV'!#REF!/'4. NPV'!PNJ$8,0)</f>
        <v>0</v>
      </c>
      <c r="PNJ54" s="5">
        <f>-IFERROR('4. NPV'!#REF!/'4. NPV'!PNK$8,0)</f>
        <v>0</v>
      </c>
      <c r="PNK54" s="5">
        <f>-IFERROR('4. NPV'!#REF!/'4. NPV'!PNL$8,0)</f>
        <v>0</v>
      </c>
      <c r="PNL54" s="5">
        <f>-IFERROR('4. NPV'!#REF!/'4. NPV'!PNM$8,0)</f>
        <v>0</v>
      </c>
      <c r="PNM54" s="5">
        <f>-IFERROR('4. NPV'!#REF!/'4. NPV'!PNN$8,0)</f>
        <v>0</v>
      </c>
      <c r="PNN54" s="5">
        <f>-IFERROR('4. NPV'!#REF!/'4. NPV'!PNO$8,0)</f>
        <v>0</v>
      </c>
      <c r="PNO54" s="5">
        <f>-IFERROR('4. NPV'!#REF!/'4. NPV'!PNP$8,0)</f>
        <v>0</v>
      </c>
      <c r="PNP54" s="5">
        <f>-IFERROR('4. NPV'!#REF!/'4. NPV'!PNQ$8,0)</f>
        <v>0</v>
      </c>
      <c r="PNQ54" s="5">
        <f>-IFERROR('4. NPV'!#REF!/'4. NPV'!PNR$8,0)</f>
        <v>0</v>
      </c>
      <c r="PNR54" s="5">
        <f>-IFERROR('4. NPV'!#REF!/'4. NPV'!PNS$8,0)</f>
        <v>0</v>
      </c>
      <c r="PNS54" s="5">
        <f>-IFERROR('4. NPV'!#REF!/'4. NPV'!PNT$8,0)</f>
        <v>0</v>
      </c>
      <c r="PNT54" s="5">
        <f>-IFERROR('4. NPV'!#REF!/'4. NPV'!PNU$8,0)</f>
        <v>0</v>
      </c>
      <c r="PNU54" s="5">
        <f>-IFERROR('4. NPV'!#REF!/'4. NPV'!PNV$8,0)</f>
        <v>0</v>
      </c>
      <c r="PNV54" s="5">
        <f>-IFERROR('4. NPV'!#REF!/'4. NPV'!PNW$8,0)</f>
        <v>0</v>
      </c>
      <c r="PNW54" s="5">
        <f>-IFERROR('4. NPV'!#REF!/'4. NPV'!PNX$8,0)</f>
        <v>0</v>
      </c>
      <c r="PNX54" s="5">
        <f>-IFERROR('4. NPV'!#REF!/'4. NPV'!PNY$8,0)</f>
        <v>0</v>
      </c>
      <c r="PNY54" s="5">
        <f>-IFERROR('4. NPV'!#REF!/'4. NPV'!PNZ$8,0)</f>
        <v>0</v>
      </c>
      <c r="PNZ54" s="5">
        <f>-IFERROR('4. NPV'!#REF!/'4. NPV'!POA$8,0)</f>
        <v>0</v>
      </c>
      <c r="POA54" s="5">
        <f>-IFERROR('4. NPV'!#REF!/'4. NPV'!POB$8,0)</f>
        <v>0</v>
      </c>
      <c r="POB54" s="5">
        <f>-IFERROR('4. NPV'!#REF!/'4. NPV'!POC$8,0)</f>
        <v>0</v>
      </c>
      <c r="POC54" s="5">
        <f>-IFERROR('4. NPV'!#REF!/'4. NPV'!POD$8,0)</f>
        <v>0</v>
      </c>
      <c r="POD54" s="5">
        <f>-IFERROR('4. NPV'!#REF!/'4. NPV'!POE$8,0)</f>
        <v>0</v>
      </c>
      <c r="POE54" s="5">
        <f>-IFERROR('4. NPV'!#REF!/'4. NPV'!POF$8,0)</f>
        <v>0</v>
      </c>
      <c r="POF54" s="5">
        <f>-IFERROR('4. NPV'!#REF!/'4. NPV'!POG$8,0)</f>
        <v>0</v>
      </c>
      <c r="POG54" s="5">
        <f>-IFERROR('4. NPV'!#REF!/'4. NPV'!POH$8,0)</f>
        <v>0</v>
      </c>
      <c r="POH54" s="5">
        <f>-IFERROR('4. NPV'!#REF!/'4. NPV'!POI$8,0)</f>
        <v>0</v>
      </c>
      <c r="POI54" s="5">
        <f>-IFERROR('4. NPV'!#REF!/'4. NPV'!POJ$8,0)</f>
        <v>0</v>
      </c>
      <c r="POJ54" s="5">
        <f>-IFERROR('4. NPV'!#REF!/'4. NPV'!POK$8,0)</f>
        <v>0</v>
      </c>
      <c r="POK54" s="5">
        <f>-IFERROR('4. NPV'!#REF!/'4. NPV'!POL$8,0)</f>
        <v>0</v>
      </c>
      <c r="POL54" s="5">
        <f>-IFERROR('4. NPV'!#REF!/'4. NPV'!POM$8,0)</f>
        <v>0</v>
      </c>
      <c r="POM54" s="5">
        <f>-IFERROR('4. NPV'!#REF!/'4. NPV'!PON$8,0)</f>
        <v>0</v>
      </c>
      <c r="PON54" s="5">
        <f>-IFERROR('4. NPV'!#REF!/'4. NPV'!POO$8,0)</f>
        <v>0</v>
      </c>
      <c r="POO54" s="5">
        <f>-IFERROR('4. NPV'!#REF!/'4. NPV'!POP$8,0)</f>
        <v>0</v>
      </c>
      <c r="POP54" s="5">
        <f>-IFERROR('4. NPV'!#REF!/'4. NPV'!POQ$8,0)</f>
        <v>0</v>
      </c>
      <c r="POQ54" s="5">
        <f>-IFERROR('4. NPV'!#REF!/'4. NPV'!POR$8,0)</f>
        <v>0</v>
      </c>
      <c r="POR54" s="5">
        <f>-IFERROR('4. NPV'!#REF!/'4. NPV'!POS$8,0)</f>
        <v>0</v>
      </c>
      <c r="POS54" s="5">
        <f>-IFERROR('4. NPV'!#REF!/'4. NPV'!POT$8,0)</f>
        <v>0</v>
      </c>
      <c r="POT54" s="5">
        <f>-IFERROR('4. NPV'!#REF!/'4. NPV'!POU$8,0)</f>
        <v>0</v>
      </c>
      <c r="POU54" s="5">
        <f>-IFERROR('4. NPV'!#REF!/'4. NPV'!POV$8,0)</f>
        <v>0</v>
      </c>
      <c r="POV54" s="5">
        <f>-IFERROR('4. NPV'!#REF!/'4. NPV'!POW$8,0)</f>
        <v>0</v>
      </c>
      <c r="POW54" s="5">
        <f>-IFERROR('4. NPV'!#REF!/'4. NPV'!POX$8,0)</f>
        <v>0</v>
      </c>
      <c r="POX54" s="5">
        <f>-IFERROR('4. NPV'!#REF!/'4. NPV'!POY$8,0)</f>
        <v>0</v>
      </c>
      <c r="POY54" s="5">
        <f>-IFERROR('4. NPV'!#REF!/'4. NPV'!POZ$8,0)</f>
        <v>0</v>
      </c>
      <c r="POZ54" s="5">
        <f>-IFERROR('4. NPV'!#REF!/'4. NPV'!PPA$8,0)</f>
        <v>0</v>
      </c>
      <c r="PPA54" s="5">
        <f>-IFERROR('4. NPV'!#REF!/'4. NPV'!PPB$8,0)</f>
        <v>0</v>
      </c>
      <c r="PPB54" s="5">
        <f>-IFERROR('4. NPV'!#REF!/'4. NPV'!PPC$8,0)</f>
        <v>0</v>
      </c>
      <c r="PPC54" s="5">
        <f>-IFERROR('4. NPV'!#REF!/'4. NPV'!PPD$8,0)</f>
        <v>0</v>
      </c>
      <c r="PPD54" s="5">
        <f>-IFERROR('4. NPV'!#REF!/'4. NPV'!PPE$8,0)</f>
        <v>0</v>
      </c>
      <c r="PPE54" s="5">
        <f>-IFERROR('4. NPV'!#REF!/'4. NPV'!PPF$8,0)</f>
        <v>0</v>
      </c>
      <c r="PPF54" s="5">
        <f>-IFERROR('4. NPV'!#REF!/'4. NPV'!PPG$8,0)</f>
        <v>0</v>
      </c>
      <c r="PPG54" s="5">
        <f>-IFERROR('4. NPV'!#REF!/'4. NPV'!PPH$8,0)</f>
        <v>0</v>
      </c>
      <c r="PPH54" s="5">
        <f>-IFERROR('4. NPV'!#REF!/'4. NPV'!PPI$8,0)</f>
        <v>0</v>
      </c>
      <c r="PPI54" s="5">
        <f>-IFERROR('4. NPV'!#REF!/'4. NPV'!PPJ$8,0)</f>
        <v>0</v>
      </c>
      <c r="PPJ54" s="5">
        <f>-IFERROR('4. NPV'!#REF!/'4. NPV'!PPK$8,0)</f>
        <v>0</v>
      </c>
      <c r="PPK54" s="5">
        <f>-IFERROR('4. NPV'!#REF!/'4. NPV'!PPL$8,0)</f>
        <v>0</v>
      </c>
      <c r="PPL54" s="5">
        <f>-IFERROR('4. NPV'!#REF!/'4. NPV'!PPM$8,0)</f>
        <v>0</v>
      </c>
      <c r="PPM54" s="5">
        <f>-IFERROR('4. NPV'!#REF!/'4. NPV'!PPN$8,0)</f>
        <v>0</v>
      </c>
      <c r="PPN54" s="5">
        <f>-IFERROR('4. NPV'!#REF!/'4. NPV'!PPO$8,0)</f>
        <v>0</v>
      </c>
      <c r="PPO54" s="5">
        <f>-IFERROR('4. NPV'!#REF!/'4. NPV'!PPP$8,0)</f>
        <v>0</v>
      </c>
      <c r="PPP54" s="5">
        <f>-IFERROR('4. NPV'!#REF!/'4. NPV'!PPQ$8,0)</f>
        <v>0</v>
      </c>
      <c r="PPQ54" s="5">
        <f>-IFERROR('4. NPV'!#REF!/'4. NPV'!PPR$8,0)</f>
        <v>0</v>
      </c>
      <c r="PPR54" s="5">
        <f>-IFERROR('4. NPV'!#REF!/'4. NPV'!PPS$8,0)</f>
        <v>0</v>
      </c>
      <c r="PPS54" s="5">
        <f>-IFERROR('4. NPV'!#REF!/'4. NPV'!PPT$8,0)</f>
        <v>0</v>
      </c>
      <c r="PPT54" s="5">
        <f>-IFERROR('4. NPV'!#REF!/'4. NPV'!PPU$8,0)</f>
        <v>0</v>
      </c>
      <c r="PPU54" s="5">
        <f>-IFERROR('4. NPV'!#REF!/'4. NPV'!PPV$8,0)</f>
        <v>0</v>
      </c>
      <c r="PPV54" s="5">
        <f>-IFERROR('4. NPV'!#REF!/'4. NPV'!PPW$8,0)</f>
        <v>0</v>
      </c>
      <c r="PPW54" s="5">
        <f>-IFERROR('4. NPV'!#REF!/'4. NPV'!PPX$8,0)</f>
        <v>0</v>
      </c>
      <c r="PPX54" s="5">
        <f>-IFERROR('4. NPV'!#REF!/'4. NPV'!PPY$8,0)</f>
        <v>0</v>
      </c>
      <c r="PPY54" s="5">
        <f>-IFERROR('4. NPV'!#REF!/'4. NPV'!PPZ$8,0)</f>
        <v>0</v>
      </c>
      <c r="PPZ54" s="5">
        <f>-IFERROR('4. NPV'!#REF!/'4. NPV'!PQA$8,0)</f>
        <v>0</v>
      </c>
      <c r="PQA54" s="5">
        <f>-IFERROR('4. NPV'!#REF!/'4. NPV'!PQB$8,0)</f>
        <v>0</v>
      </c>
      <c r="PQB54" s="5">
        <f>-IFERROR('4. NPV'!#REF!/'4. NPV'!PQC$8,0)</f>
        <v>0</v>
      </c>
      <c r="PQC54" s="5">
        <f>-IFERROR('4. NPV'!#REF!/'4. NPV'!PQD$8,0)</f>
        <v>0</v>
      </c>
      <c r="PQD54" s="5">
        <f>-IFERROR('4. NPV'!#REF!/'4. NPV'!PQE$8,0)</f>
        <v>0</v>
      </c>
      <c r="PQE54" s="5">
        <f>-IFERROR('4. NPV'!#REF!/'4. NPV'!PQF$8,0)</f>
        <v>0</v>
      </c>
      <c r="PQF54" s="5">
        <f>-IFERROR('4. NPV'!#REF!/'4. NPV'!PQG$8,0)</f>
        <v>0</v>
      </c>
      <c r="PQG54" s="5">
        <f>-IFERROR('4. NPV'!#REF!/'4. NPV'!PQH$8,0)</f>
        <v>0</v>
      </c>
      <c r="PQH54" s="5">
        <f>-IFERROR('4. NPV'!#REF!/'4. NPV'!PQI$8,0)</f>
        <v>0</v>
      </c>
      <c r="PQI54" s="5">
        <f>-IFERROR('4. NPV'!#REF!/'4. NPV'!PQJ$8,0)</f>
        <v>0</v>
      </c>
      <c r="PQJ54" s="5">
        <f>-IFERROR('4. NPV'!#REF!/'4. NPV'!PQK$8,0)</f>
        <v>0</v>
      </c>
      <c r="PQK54" s="5">
        <f>-IFERROR('4. NPV'!#REF!/'4. NPV'!PQL$8,0)</f>
        <v>0</v>
      </c>
      <c r="PQL54" s="5">
        <f>-IFERROR('4. NPV'!#REF!/'4. NPV'!PQM$8,0)</f>
        <v>0</v>
      </c>
      <c r="PQM54" s="5">
        <f>-IFERROR('4. NPV'!#REF!/'4. NPV'!PQN$8,0)</f>
        <v>0</v>
      </c>
      <c r="PQN54" s="5">
        <f>-IFERROR('4. NPV'!#REF!/'4. NPV'!PQO$8,0)</f>
        <v>0</v>
      </c>
      <c r="PQO54" s="5">
        <f>-IFERROR('4. NPV'!#REF!/'4. NPV'!PQP$8,0)</f>
        <v>0</v>
      </c>
      <c r="PQP54" s="5">
        <f>-IFERROR('4. NPV'!#REF!/'4. NPV'!PQQ$8,0)</f>
        <v>0</v>
      </c>
      <c r="PQQ54" s="5">
        <f>-IFERROR('4. NPV'!#REF!/'4. NPV'!PQR$8,0)</f>
        <v>0</v>
      </c>
      <c r="PQR54" s="5">
        <f>-IFERROR('4. NPV'!#REF!/'4. NPV'!PQS$8,0)</f>
        <v>0</v>
      </c>
      <c r="PQS54" s="5">
        <f>-IFERROR('4. NPV'!#REF!/'4. NPV'!PQT$8,0)</f>
        <v>0</v>
      </c>
      <c r="PQT54" s="5">
        <f>-IFERROR('4. NPV'!#REF!/'4. NPV'!PQU$8,0)</f>
        <v>0</v>
      </c>
      <c r="PQU54" s="5">
        <f>-IFERROR('4. NPV'!#REF!/'4. NPV'!PQV$8,0)</f>
        <v>0</v>
      </c>
      <c r="PQV54" s="5">
        <f>-IFERROR('4. NPV'!#REF!/'4. NPV'!PQW$8,0)</f>
        <v>0</v>
      </c>
      <c r="PQW54" s="5">
        <f>-IFERROR('4. NPV'!#REF!/'4. NPV'!PQX$8,0)</f>
        <v>0</v>
      </c>
      <c r="PQX54" s="5">
        <f>-IFERROR('4. NPV'!#REF!/'4. NPV'!PQY$8,0)</f>
        <v>0</v>
      </c>
      <c r="PQY54" s="5">
        <f>-IFERROR('4. NPV'!#REF!/'4. NPV'!PQZ$8,0)</f>
        <v>0</v>
      </c>
      <c r="PQZ54" s="5">
        <f>-IFERROR('4. NPV'!#REF!/'4. NPV'!PRA$8,0)</f>
        <v>0</v>
      </c>
      <c r="PRA54" s="5">
        <f>-IFERROR('4. NPV'!#REF!/'4. NPV'!PRB$8,0)</f>
        <v>0</v>
      </c>
      <c r="PRB54" s="5">
        <f>-IFERROR('4. NPV'!#REF!/'4. NPV'!PRC$8,0)</f>
        <v>0</v>
      </c>
      <c r="PRC54" s="5">
        <f>-IFERROR('4. NPV'!#REF!/'4. NPV'!PRD$8,0)</f>
        <v>0</v>
      </c>
      <c r="PRD54" s="5">
        <f>-IFERROR('4. NPV'!#REF!/'4. NPV'!PRE$8,0)</f>
        <v>0</v>
      </c>
      <c r="PRE54" s="5">
        <f>-IFERROR('4. NPV'!#REF!/'4. NPV'!PRF$8,0)</f>
        <v>0</v>
      </c>
      <c r="PRF54" s="5">
        <f>-IFERROR('4. NPV'!#REF!/'4. NPV'!PRG$8,0)</f>
        <v>0</v>
      </c>
      <c r="PRG54" s="5">
        <f>-IFERROR('4. NPV'!#REF!/'4. NPV'!PRH$8,0)</f>
        <v>0</v>
      </c>
      <c r="PRH54" s="5">
        <f>-IFERROR('4. NPV'!#REF!/'4. NPV'!PRI$8,0)</f>
        <v>0</v>
      </c>
      <c r="PRI54" s="5">
        <f>-IFERROR('4. NPV'!#REF!/'4. NPV'!PRJ$8,0)</f>
        <v>0</v>
      </c>
      <c r="PRJ54" s="5">
        <f>-IFERROR('4. NPV'!#REF!/'4. NPV'!PRK$8,0)</f>
        <v>0</v>
      </c>
      <c r="PRK54" s="5">
        <f>-IFERROR('4. NPV'!#REF!/'4. NPV'!PRL$8,0)</f>
        <v>0</v>
      </c>
      <c r="PRL54" s="5">
        <f>-IFERROR('4. NPV'!#REF!/'4. NPV'!PRM$8,0)</f>
        <v>0</v>
      </c>
      <c r="PRM54" s="5">
        <f>-IFERROR('4. NPV'!#REF!/'4. NPV'!PRN$8,0)</f>
        <v>0</v>
      </c>
      <c r="PRN54" s="5">
        <f>-IFERROR('4. NPV'!#REF!/'4. NPV'!PRO$8,0)</f>
        <v>0</v>
      </c>
      <c r="PRO54" s="5">
        <f>-IFERROR('4. NPV'!#REF!/'4. NPV'!PRP$8,0)</f>
        <v>0</v>
      </c>
      <c r="PRP54" s="5">
        <f>-IFERROR('4. NPV'!#REF!/'4. NPV'!PRQ$8,0)</f>
        <v>0</v>
      </c>
      <c r="PRQ54" s="5">
        <f>-IFERROR('4. NPV'!#REF!/'4. NPV'!PRR$8,0)</f>
        <v>0</v>
      </c>
      <c r="PRR54" s="5">
        <f>-IFERROR('4. NPV'!#REF!/'4. NPV'!PRS$8,0)</f>
        <v>0</v>
      </c>
      <c r="PRS54" s="5">
        <f>-IFERROR('4. NPV'!#REF!/'4. NPV'!PRT$8,0)</f>
        <v>0</v>
      </c>
      <c r="PRT54" s="5">
        <f>-IFERROR('4. NPV'!#REF!/'4. NPV'!PRU$8,0)</f>
        <v>0</v>
      </c>
      <c r="PRU54" s="5">
        <f>-IFERROR('4. NPV'!#REF!/'4. NPV'!PRV$8,0)</f>
        <v>0</v>
      </c>
      <c r="PRV54" s="5">
        <f>-IFERROR('4. NPV'!#REF!/'4. NPV'!PRW$8,0)</f>
        <v>0</v>
      </c>
      <c r="PRW54" s="5">
        <f>-IFERROR('4. NPV'!#REF!/'4. NPV'!PRX$8,0)</f>
        <v>0</v>
      </c>
      <c r="PRX54" s="5">
        <f>-IFERROR('4. NPV'!#REF!/'4. NPV'!PRY$8,0)</f>
        <v>0</v>
      </c>
      <c r="PRY54" s="5">
        <f>-IFERROR('4. NPV'!#REF!/'4. NPV'!PRZ$8,0)</f>
        <v>0</v>
      </c>
      <c r="PRZ54" s="5">
        <f>-IFERROR('4. NPV'!#REF!/'4. NPV'!PSA$8,0)</f>
        <v>0</v>
      </c>
      <c r="PSA54" s="5">
        <f>-IFERROR('4. NPV'!#REF!/'4. NPV'!PSB$8,0)</f>
        <v>0</v>
      </c>
      <c r="PSB54" s="5">
        <f>-IFERROR('4. NPV'!#REF!/'4. NPV'!PSC$8,0)</f>
        <v>0</v>
      </c>
      <c r="PSC54" s="5">
        <f>-IFERROR('4. NPV'!#REF!/'4. NPV'!PSD$8,0)</f>
        <v>0</v>
      </c>
      <c r="PSD54" s="5">
        <f>-IFERROR('4. NPV'!#REF!/'4. NPV'!PSE$8,0)</f>
        <v>0</v>
      </c>
      <c r="PSE54" s="5">
        <f>-IFERROR('4. NPV'!#REF!/'4. NPV'!PSF$8,0)</f>
        <v>0</v>
      </c>
      <c r="PSF54" s="5">
        <f>-IFERROR('4. NPV'!#REF!/'4. NPV'!PSG$8,0)</f>
        <v>0</v>
      </c>
      <c r="PSG54" s="5">
        <f>-IFERROR('4. NPV'!#REF!/'4. NPV'!PSH$8,0)</f>
        <v>0</v>
      </c>
      <c r="PSH54" s="5">
        <f>-IFERROR('4. NPV'!#REF!/'4. NPV'!PSI$8,0)</f>
        <v>0</v>
      </c>
      <c r="PSI54" s="5">
        <f>-IFERROR('4. NPV'!#REF!/'4. NPV'!PSJ$8,0)</f>
        <v>0</v>
      </c>
      <c r="PSJ54" s="5">
        <f>-IFERROR('4. NPV'!#REF!/'4. NPV'!PSK$8,0)</f>
        <v>0</v>
      </c>
      <c r="PSK54" s="5">
        <f>-IFERROR('4. NPV'!#REF!/'4. NPV'!PSL$8,0)</f>
        <v>0</v>
      </c>
      <c r="PSL54" s="5">
        <f>-IFERROR('4. NPV'!#REF!/'4. NPV'!PSM$8,0)</f>
        <v>0</v>
      </c>
      <c r="PSM54" s="5">
        <f>-IFERROR('4. NPV'!#REF!/'4. NPV'!PSN$8,0)</f>
        <v>0</v>
      </c>
      <c r="PSN54" s="5">
        <f>-IFERROR('4. NPV'!#REF!/'4. NPV'!PSO$8,0)</f>
        <v>0</v>
      </c>
      <c r="PSO54" s="5">
        <f>-IFERROR('4. NPV'!#REF!/'4. NPV'!PSP$8,0)</f>
        <v>0</v>
      </c>
      <c r="PSP54" s="5">
        <f>-IFERROR('4. NPV'!#REF!/'4. NPV'!PSQ$8,0)</f>
        <v>0</v>
      </c>
      <c r="PSQ54" s="5">
        <f>-IFERROR('4. NPV'!#REF!/'4. NPV'!PSR$8,0)</f>
        <v>0</v>
      </c>
      <c r="PSR54" s="5">
        <f>-IFERROR('4. NPV'!#REF!/'4. NPV'!PSS$8,0)</f>
        <v>0</v>
      </c>
      <c r="PSS54" s="5">
        <f>-IFERROR('4. NPV'!#REF!/'4. NPV'!PST$8,0)</f>
        <v>0</v>
      </c>
      <c r="PST54" s="5">
        <f>-IFERROR('4. NPV'!#REF!/'4. NPV'!PSU$8,0)</f>
        <v>0</v>
      </c>
      <c r="PSU54" s="5">
        <f>-IFERROR('4. NPV'!#REF!/'4. NPV'!PSV$8,0)</f>
        <v>0</v>
      </c>
      <c r="PSV54" s="5">
        <f>-IFERROR('4. NPV'!#REF!/'4. NPV'!PSW$8,0)</f>
        <v>0</v>
      </c>
      <c r="PSW54" s="5">
        <f>-IFERROR('4. NPV'!#REF!/'4. NPV'!PSX$8,0)</f>
        <v>0</v>
      </c>
      <c r="PSX54" s="5">
        <f>-IFERROR('4. NPV'!#REF!/'4. NPV'!PSY$8,0)</f>
        <v>0</v>
      </c>
      <c r="PSY54" s="5">
        <f>-IFERROR('4. NPV'!#REF!/'4. NPV'!PSZ$8,0)</f>
        <v>0</v>
      </c>
      <c r="PSZ54" s="5">
        <f>-IFERROR('4. NPV'!#REF!/'4. NPV'!PTA$8,0)</f>
        <v>0</v>
      </c>
      <c r="PTA54" s="5">
        <f>-IFERROR('4. NPV'!#REF!/'4. NPV'!PTB$8,0)</f>
        <v>0</v>
      </c>
      <c r="PTB54" s="5">
        <f>-IFERROR('4. NPV'!#REF!/'4. NPV'!PTC$8,0)</f>
        <v>0</v>
      </c>
      <c r="PTC54" s="5">
        <f>-IFERROR('4. NPV'!#REF!/'4. NPV'!PTD$8,0)</f>
        <v>0</v>
      </c>
      <c r="PTD54" s="5">
        <f>-IFERROR('4. NPV'!#REF!/'4. NPV'!PTE$8,0)</f>
        <v>0</v>
      </c>
      <c r="PTE54" s="5">
        <f>-IFERROR('4. NPV'!#REF!/'4. NPV'!PTF$8,0)</f>
        <v>0</v>
      </c>
      <c r="PTF54" s="5">
        <f>-IFERROR('4. NPV'!#REF!/'4. NPV'!PTG$8,0)</f>
        <v>0</v>
      </c>
      <c r="PTG54" s="5">
        <f>-IFERROR('4. NPV'!#REF!/'4. NPV'!PTH$8,0)</f>
        <v>0</v>
      </c>
      <c r="PTH54" s="5">
        <f>-IFERROR('4. NPV'!#REF!/'4. NPV'!PTI$8,0)</f>
        <v>0</v>
      </c>
      <c r="PTI54" s="5">
        <f>-IFERROR('4. NPV'!#REF!/'4. NPV'!PTJ$8,0)</f>
        <v>0</v>
      </c>
      <c r="PTJ54" s="5">
        <f>-IFERROR('4. NPV'!#REF!/'4. NPV'!PTK$8,0)</f>
        <v>0</v>
      </c>
      <c r="PTK54" s="5">
        <f>-IFERROR('4. NPV'!#REF!/'4. NPV'!PTL$8,0)</f>
        <v>0</v>
      </c>
      <c r="PTL54" s="5">
        <f>-IFERROR('4. NPV'!#REF!/'4. NPV'!PTM$8,0)</f>
        <v>0</v>
      </c>
      <c r="PTM54" s="5">
        <f>-IFERROR('4. NPV'!#REF!/'4. NPV'!PTN$8,0)</f>
        <v>0</v>
      </c>
      <c r="PTN54" s="5">
        <f>-IFERROR('4. NPV'!#REF!/'4. NPV'!PTO$8,0)</f>
        <v>0</v>
      </c>
      <c r="PTO54" s="5">
        <f>-IFERROR('4. NPV'!#REF!/'4. NPV'!PTP$8,0)</f>
        <v>0</v>
      </c>
      <c r="PTP54" s="5">
        <f>-IFERROR('4. NPV'!#REF!/'4. NPV'!PTQ$8,0)</f>
        <v>0</v>
      </c>
      <c r="PTQ54" s="5">
        <f>-IFERROR('4. NPV'!#REF!/'4. NPV'!PTR$8,0)</f>
        <v>0</v>
      </c>
      <c r="PTR54" s="5">
        <f>-IFERROR('4. NPV'!#REF!/'4. NPV'!PTS$8,0)</f>
        <v>0</v>
      </c>
      <c r="PTS54" s="5">
        <f>-IFERROR('4. NPV'!#REF!/'4. NPV'!PTT$8,0)</f>
        <v>0</v>
      </c>
      <c r="PTT54" s="5">
        <f>-IFERROR('4. NPV'!#REF!/'4. NPV'!PTU$8,0)</f>
        <v>0</v>
      </c>
      <c r="PTU54" s="5">
        <f>-IFERROR('4. NPV'!#REF!/'4. NPV'!PTV$8,0)</f>
        <v>0</v>
      </c>
      <c r="PTV54" s="5">
        <f>-IFERROR('4. NPV'!#REF!/'4. NPV'!PTW$8,0)</f>
        <v>0</v>
      </c>
      <c r="PTW54" s="5">
        <f>-IFERROR('4. NPV'!#REF!/'4. NPV'!PTX$8,0)</f>
        <v>0</v>
      </c>
      <c r="PTX54" s="5">
        <f>-IFERROR('4. NPV'!#REF!/'4. NPV'!PTY$8,0)</f>
        <v>0</v>
      </c>
      <c r="PTY54" s="5">
        <f>-IFERROR('4. NPV'!#REF!/'4. NPV'!PTZ$8,0)</f>
        <v>0</v>
      </c>
      <c r="PTZ54" s="5">
        <f>-IFERROR('4. NPV'!#REF!/'4. NPV'!PUA$8,0)</f>
        <v>0</v>
      </c>
      <c r="PUA54" s="5">
        <f>-IFERROR('4. NPV'!#REF!/'4. NPV'!PUB$8,0)</f>
        <v>0</v>
      </c>
      <c r="PUB54" s="5">
        <f>-IFERROR('4. NPV'!#REF!/'4. NPV'!PUC$8,0)</f>
        <v>0</v>
      </c>
      <c r="PUC54" s="5">
        <f>-IFERROR('4. NPV'!#REF!/'4. NPV'!PUD$8,0)</f>
        <v>0</v>
      </c>
      <c r="PUD54" s="5">
        <f>-IFERROR('4. NPV'!#REF!/'4. NPV'!PUE$8,0)</f>
        <v>0</v>
      </c>
      <c r="PUE54" s="5">
        <f>-IFERROR('4. NPV'!#REF!/'4. NPV'!PUF$8,0)</f>
        <v>0</v>
      </c>
      <c r="PUF54" s="5">
        <f>-IFERROR('4. NPV'!#REF!/'4. NPV'!PUG$8,0)</f>
        <v>0</v>
      </c>
      <c r="PUG54" s="5">
        <f>-IFERROR('4. NPV'!#REF!/'4. NPV'!PUH$8,0)</f>
        <v>0</v>
      </c>
      <c r="PUH54" s="5">
        <f>-IFERROR('4. NPV'!#REF!/'4. NPV'!PUI$8,0)</f>
        <v>0</v>
      </c>
      <c r="PUI54" s="5">
        <f>-IFERROR('4. NPV'!#REF!/'4. NPV'!PUJ$8,0)</f>
        <v>0</v>
      </c>
      <c r="PUJ54" s="5">
        <f>-IFERROR('4. NPV'!#REF!/'4. NPV'!PUK$8,0)</f>
        <v>0</v>
      </c>
      <c r="PUK54" s="5">
        <f>-IFERROR('4. NPV'!#REF!/'4. NPV'!PUL$8,0)</f>
        <v>0</v>
      </c>
      <c r="PUL54" s="5">
        <f>-IFERROR('4. NPV'!#REF!/'4. NPV'!PUM$8,0)</f>
        <v>0</v>
      </c>
      <c r="PUM54" s="5">
        <f>-IFERROR('4. NPV'!#REF!/'4. NPV'!PUN$8,0)</f>
        <v>0</v>
      </c>
      <c r="PUN54" s="5">
        <f>-IFERROR('4. NPV'!#REF!/'4. NPV'!PUO$8,0)</f>
        <v>0</v>
      </c>
      <c r="PUO54" s="5">
        <f>-IFERROR('4. NPV'!#REF!/'4. NPV'!PUP$8,0)</f>
        <v>0</v>
      </c>
      <c r="PUP54" s="5">
        <f>-IFERROR('4. NPV'!#REF!/'4. NPV'!PUQ$8,0)</f>
        <v>0</v>
      </c>
      <c r="PUQ54" s="5">
        <f>-IFERROR('4. NPV'!#REF!/'4. NPV'!PUR$8,0)</f>
        <v>0</v>
      </c>
      <c r="PUR54" s="5">
        <f>-IFERROR('4. NPV'!#REF!/'4. NPV'!PUS$8,0)</f>
        <v>0</v>
      </c>
      <c r="PUS54" s="5">
        <f>-IFERROR('4. NPV'!#REF!/'4. NPV'!PUT$8,0)</f>
        <v>0</v>
      </c>
      <c r="PUT54" s="5">
        <f>-IFERROR('4. NPV'!#REF!/'4. NPV'!PUU$8,0)</f>
        <v>0</v>
      </c>
      <c r="PUU54" s="5">
        <f>-IFERROR('4. NPV'!#REF!/'4. NPV'!PUV$8,0)</f>
        <v>0</v>
      </c>
      <c r="PUV54" s="5">
        <f>-IFERROR('4. NPV'!#REF!/'4. NPV'!PUW$8,0)</f>
        <v>0</v>
      </c>
      <c r="PUW54" s="5">
        <f>-IFERROR('4. NPV'!#REF!/'4. NPV'!PUX$8,0)</f>
        <v>0</v>
      </c>
      <c r="PUX54" s="5">
        <f>-IFERROR('4. NPV'!#REF!/'4. NPV'!PUY$8,0)</f>
        <v>0</v>
      </c>
      <c r="PUY54" s="5">
        <f>-IFERROR('4. NPV'!#REF!/'4. NPV'!PUZ$8,0)</f>
        <v>0</v>
      </c>
      <c r="PUZ54" s="5">
        <f>-IFERROR('4. NPV'!#REF!/'4. NPV'!PVA$8,0)</f>
        <v>0</v>
      </c>
      <c r="PVA54" s="5">
        <f>-IFERROR('4. NPV'!#REF!/'4. NPV'!PVB$8,0)</f>
        <v>0</v>
      </c>
      <c r="PVB54" s="5">
        <f>-IFERROR('4. NPV'!#REF!/'4. NPV'!PVC$8,0)</f>
        <v>0</v>
      </c>
      <c r="PVC54" s="5">
        <f>-IFERROR('4. NPV'!#REF!/'4. NPV'!PVD$8,0)</f>
        <v>0</v>
      </c>
      <c r="PVD54" s="5">
        <f>-IFERROR('4. NPV'!#REF!/'4. NPV'!PVE$8,0)</f>
        <v>0</v>
      </c>
      <c r="PVE54" s="5">
        <f>-IFERROR('4. NPV'!#REF!/'4. NPV'!PVF$8,0)</f>
        <v>0</v>
      </c>
      <c r="PVF54" s="5">
        <f>-IFERROR('4. NPV'!#REF!/'4. NPV'!PVG$8,0)</f>
        <v>0</v>
      </c>
      <c r="PVG54" s="5">
        <f>-IFERROR('4. NPV'!#REF!/'4. NPV'!PVH$8,0)</f>
        <v>0</v>
      </c>
      <c r="PVH54" s="5">
        <f>-IFERROR('4. NPV'!#REF!/'4. NPV'!PVI$8,0)</f>
        <v>0</v>
      </c>
      <c r="PVI54" s="5">
        <f>-IFERROR('4. NPV'!#REF!/'4. NPV'!PVJ$8,0)</f>
        <v>0</v>
      </c>
      <c r="PVJ54" s="5">
        <f>-IFERROR('4. NPV'!#REF!/'4. NPV'!PVK$8,0)</f>
        <v>0</v>
      </c>
      <c r="PVK54" s="5">
        <f>-IFERROR('4. NPV'!#REF!/'4. NPV'!PVL$8,0)</f>
        <v>0</v>
      </c>
      <c r="PVL54" s="5">
        <f>-IFERROR('4. NPV'!#REF!/'4. NPV'!PVM$8,0)</f>
        <v>0</v>
      </c>
      <c r="PVM54" s="5">
        <f>-IFERROR('4. NPV'!#REF!/'4. NPV'!PVN$8,0)</f>
        <v>0</v>
      </c>
      <c r="PVN54" s="5">
        <f>-IFERROR('4. NPV'!#REF!/'4. NPV'!PVO$8,0)</f>
        <v>0</v>
      </c>
      <c r="PVO54" s="5">
        <f>-IFERROR('4. NPV'!#REF!/'4. NPV'!PVP$8,0)</f>
        <v>0</v>
      </c>
      <c r="PVP54" s="5">
        <f>-IFERROR('4. NPV'!#REF!/'4. NPV'!PVQ$8,0)</f>
        <v>0</v>
      </c>
      <c r="PVQ54" s="5">
        <f>-IFERROR('4. NPV'!#REF!/'4. NPV'!PVR$8,0)</f>
        <v>0</v>
      </c>
      <c r="PVR54" s="5">
        <f>-IFERROR('4. NPV'!#REF!/'4. NPV'!PVS$8,0)</f>
        <v>0</v>
      </c>
      <c r="PVS54" s="5">
        <f>-IFERROR('4. NPV'!#REF!/'4. NPV'!PVT$8,0)</f>
        <v>0</v>
      </c>
      <c r="PVT54" s="5">
        <f>-IFERROR('4. NPV'!#REF!/'4. NPV'!PVU$8,0)</f>
        <v>0</v>
      </c>
      <c r="PVU54" s="5">
        <f>-IFERROR('4. NPV'!#REF!/'4. NPV'!PVV$8,0)</f>
        <v>0</v>
      </c>
      <c r="PVV54" s="5">
        <f>-IFERROR('4. NPV'!#REF!/'4. NPV'!PVW$8,0)</f>
        <v>0</v>
      </c>
      <c r="PVW54" s="5">
        <f>-IFERROR('4. NPV'!#REF!/'4. NPV'!PVX$8,0)</f>
        <v>0</v>
      </c>
      <c r="PVX54" s="5">
        <f>-IFERROR('4. NPV'!#REF!/'4. NPV'!PVY$8,0)</f>
        <v>0</v>
      </c>
      <c r="PVY54" s="5">
        <f>-IFERROR('4. NPV'!#REF!/'4. NPV'!PVZ$8,0)</f>
        <v>0</v>
      </c>
      <c r="PVZ54" s="5">
        <f>-IFERROR('4. NPV'!#REF!/'4. NPV'!PWA$8,0)</f>
        <v>0</v>
      </c>
      <c r="PWA54" s="5">
        <f>-IFERROR('4. NPV'!#REF!/'4. NPV'!PWB$8,0)</f>
        <v>0</v>
      </c>
      <c r="PWB54" s="5">
        <f>-IFERROR('4. NPV'!#REF!/'4. NPV'!PWC$8,0)</f>
        <v>0</v>
      </c>
      <c r="PWC54" s="5">
        <f>-IFERROR('4. NPV'!#REF!/'4. NPV'!PWD$8,0)</f>
        <v>0</v>
      </c>
      <c r="PWD54" s="5">
        <f>-IFERROR('4. NPV'!#REF!/'4. NPV'!PWE$8,0)</f>
        <v>0</v>
      </c>
      <c r="PWE54" s="5">
        <f>-IFERROR('4. NPV'!#REF!/'4. NPV'!PWF$8,0)</f>
        <v>0</v>
      </c>
      <c r="PWF54" s="5">
        <f>-IFERROR('4. NPV'!#REF!/'4. NPV'!PWG$8,0)</f>
        <v>0</v>
      </c>
      <c r="PWG54" s="5">
        <f>-IFERROR('4. NPV'!#REF!/'4. NPV'!PWH$8,0)</f>
        <v>0</v>
      </c>
      <c r="PWH54" s="5">
        <f>-IFERROR('4. NPV'!#REF!/'4. NPV'!PWI$8,0)</f>
        <v>0</v>
      </c>
      <c r="PWI54" s="5">
        <f>-IFERROR('4. NPV'!#REF!/'4. NPV'!PWJ$8,0)</f>
        <v>0</v>
      </c>
      <c r="PWJ54" s="5">
        <f>-IFERROR('4. NPV'!#REF!/'4. NPV'!PWK$8,0)</f>
        <v>0</v>
      </c>
      <c r="PWK54" s="5">
        <f>-IFERROR('4. NPV'!#REF!/'4. NPV'!PWL$8,0)</f>
        <v>0</v>
      </c>
      <c r="PWL54" s="5">
        <f>-IFERROR('4. NPV'!#REF!/'4. NPV'!PWM$8,0)</f>
        <v>0</v>
      </c>
      <c r="PWM54" s="5">
        <f>-IFERROR('4. NPV'!#REF!/'4. NPV'!PWN$8,0)</f>
        <v>0</v>
      </c>
      <c r="PWN54" s="5">
        <f>-IFERROR('4. NPV'!#REF!/'4. NPV'!PWO$8,0)</f>
        <v>0</v>
      </c>
      <c r="PWO54" s="5">
        <f>-IFERROR('4. NPV'!#REF!/'4. NPV'!PWP$8,0)</f>
        <v>0</v>
      </c>
      <c r="PWP54" s="5">
        <f>-IFERROR('4. NPV'!#REF!/'4. NPV'!PWQ$8,0)</f>
        <v>0</v>
      </c>
      <c r="PWQ54" s="5">
        <f>-IFERROR('4. NPV'!#REF!/'4. NPV'!PWR$8,0)</f>
        <v>0</v>
      </c>
      <c r="PWR54" s="5">
        <f>-IFERROR('4. NPV'!#REF!/'4. NPV'!PWS$8,0)</f>
        <v>0</v>
      </c>
      <c r="PWS54" s="5">
        <f>-IFERROR('4. NPV'!#REF!/'4. NPV'!PWT$8,0)</f>
        <v>0</v>
      </c>
      <c r="PWT54" s="5">
        <f>-IFERROR('4. NPV'!#REF!/'4. NPV'!PWU$8,0)</f>
        <v>0</v>
      </c>
      <c r="PWU54" s="5">
        <f>-IFERROR('4. NPV'!#REF!/'4. NPV'!PWV$8,0)</f>
        <v>0</v>
      </c>
      <c r="PWV54" s="5">
        <f>-IFERROR('4. NPV'!#REF!/'4. NPV'!PWW$8,0)</f>
        <v>0</v>
      </c>
      <c r="PWW54" s="5">
        <f>-IFERROR('4. NPV'!#REF!/'4. NPV'!PWX$8,0)</f>
        <v>0</v>
      </c>
      <c r="PWX54" s="5">
        <f>-IFERROR('4. NPV'!#REF!/'4. NPV'!PWY$8,0)</f>
        <v>0</v>
      </c>
      <c r="PWY54" s="5">
        <f>-IFERROR('4. NPV'!#REF!/'4. NPV'!PWZ$8,0)</f>
        <v>0</v>
      </c>
      <c r="PWZ54" s="5">
        <f>-IFERROR('4. NPV'!#REF!/'4. NPV'!PXA$8,0)</f>
        <v>0</v>
      </c>
      <c r="PXA54" s="5">
        <f>-IFERROR('4. NPV'!#REF!/'4. NPV'!PXB$8,0)</f>
        <v>0</v>
      </c>
      <c r="PXB54" s="5">
        <f>-IFERROR('4. NPV'!#REF!/'4. NPV'!PXC$8,0)</f>
        <v>0</v>
      </c>
      <c r="PXC54" s="5">
        <f>-IFERROR('4. NPV'!#REF!/'4. NPV'!PXD$8,0)</f>
        <v>0</v>
      </c>
      <c r="PXD54" s="5">
        <f>-IFERROR('4. NPV'!#REF!/'4. NPV'!PXE$8,0)</f>
        <v>0</v>
      </c>
      <c r="PXE54" s="5">
        <f>-IFERROR('4. NPV'!#REF!/'4. NPV'!PXF$8,0)</f>
        <v>0</v>
      </c>
      <c r="PXF54" s="5">
        <f>-IFERROR('4. NPV'!#REF!/'4. NPV'!PXG$8,0)</f>
        <v>0</v>
      </c>
      <c r="PXG54" s="5">
        <f>-IFERROR('4. NPV'!#REF!/'4. NPV'!PXH$8,0)</f>
        <v>0</v>
      </c>
      <c r="PXH54" s="5">
        <f>-IFERROR('4. NPV'!#REF!/'4. NPV'!PXI$8,0)</f>
        <v>0</v>
      </c>
      <c r="PXI54" s="5">
        <f>-IFERROR('4. NPV'!#REF!/'4. NPV'!PXJ$8,0)</f>
        <v>0</v>
      </c>
      <c r="PXJ54" s="5">
        <f>-IFERROR('4. NPV'!#REF!/'4. NPV'!PXK$8,0)</f>
        <v>0</v>
      </c>
      <c r="PXK54" s="5">
        <f>-IFERROR('4. NPV'!#REF!/'4. NPV'!PXL$8,0)</f>
        <v>0</v>
      </c>
      <c r="PXL54" s="5">
        <f>-IFERROR('4. NPV'!#REF!/'4. NPV'!PXM$8,0)</f>
        <v>0</v>
      </c>
      <c r="PXM54" s="5">
        <f>-IFERROR('4. NPV'!#REF!/'4. NPV'!PXN$8,0)</f>
        <v>0</v>
      </c>
      <c r="PXN54" s="5">
        <f>-IFERROR('4. NPV'!#REF!/'4. NPV'!PXO$8,0)</f>
        <v>0</v>
      </c>
      <c r="PXO54" s="5">
        <f>-IFERROR('4. NPV'!#REF!/'4. NPV'!PXP$8,0)</f>
        <v>0</v>
      </c>
      <c r="PXP54" s="5">
        <f>-IFERROR('4. NPV'!#REF!/'4. NPV'!PXQ$8,0)</f>
        <v>0</v>
      </c>
      <c r="PXQ54" s="5">
        <f>-IFERROR('4. NPV'!#REF!/'4. NPV'!PXR$8,0)</f>
        <v>0</v>
      </c>
      <c r="PXR54" s="5">
        <f>-IFERROR('4. NPV'!#REF!/'4. NPV'!PXS$8,0)</f>
        <v>0</v>
      </c>
      <c r="PXS54" s="5">
        <f>-IFERROR('4. NPV'!#REF!/'4. NPV'!PXT$8,0)</f>
        <v>0</v>
      </c>
      <c r="PXT54" s="5">
        <f>-IFERROR('4. NPV'!#REF!/'4. NPV'!PXU$8,0)</f>
        <v>0</v>
      </c>
      <c r="PXU54" s="5">
        <f>-IFERROR('4. NPV'!#REF!/'4. NPV'!PXV$8,0)</f>
        <v>0</v>
      </c>
      <c r="PXV54" s="5">
        <f>-IFERROR('4. NPV'!#REF!/'4. NPV'!PXW$8,0)</f>
        <v>0</v>
      </c>
      <c r="PXW54" s="5">
        <f>-IFERROR('4. NPV'!#REF!/'4. NPV'!PXX$8,0)</f>
        <v>0</v>
      </c>
      <c r="PXX54" s="5">
        <f>-IFERROR('4. NPV'!#REF!/'4. NPV'!PXY$8,0)</f>
        <v>0</v>
      </c>
      <c r="PXY54" s="5">
        <f>-IFERROR('4. NPV'!#REF!/'4. NPV'!PXZ$8,0)</f>
        <v>0</v>
      </c>
      <c r="PXZ54" s="5">
        <f>-IFERROR('4. NPV'!#REF!/'4. NPV'!PYA$8,0)</f>
        <v>0</v>
      </c>
      <c r="PYA54" s="5">
        <f>-IFERROR('4. NPV'!#REF!/'4. NPV'!PYB$8,0)</f>
        <v>0</v>
      </c>
      <c r="PYB54" s="5">
        <f>-IFERROR('4. NPV'!#REF!/'4. NPV'!PYC$8,0)</f>
        <v>0</v>
      </c>
      <c r="PYC54" s="5">
        <f>-IFERROR('4. NPV'!#REF!/'4. NPV'!PYD$8,0)</f>
        <v>0</v>
      </c>
      <c r="PYD54" s="5">
        <f>-IFERROR('4. NPV'!#REF!/'4. NPV'!PYE$8,0)</f>
        <v>0</v>
      </c>
      <c r="PYE54" s="5">
        <f>-IFERROR('4. NPV'!#REF!/'4. NPV'!PYF$8,0)</f>
        <v>0</v>
      </c>
      <c r="PYF54" s="5">
        <f>-IFERROR('4. NPV'!#REF!/'4. NPV'!PYG$8,0)</f>
        <v>0</v>
      </c>
      <c r="PYG54" s="5">
        <f>-IFERROR('4. NPV'!#REF!/'4. NPV'!PYH$8,0)</f>
        <v>0</v>
      </c>
      <c r="PYH54" s="5">
        <f>-IFERROR('4. NPV'!#REF!/'4. NPV'!PYI$8,0)</f>
        <v>0</v>
      </c>
      <c r="PYI54" s="5">
        <f>-IFERROR('4. NPV'!#REF!/'4. NPV'!PYJ$8,0)</f>
        <v>0</v>
      </c>
      <c r="PYJ54" s="5">
        <f>-IFERROR('4. NPV'!#REF!/'4. NPV'!PYK$8,0)</f>
        <v>0</v>
      </c>
      <c r="PYK54" s="5">
        <f>-IFERROR('4. NPV'!#REF!/'4. NPV'!PYL$8,0)</f>
        <v>0</v>
      </c>
      <c r="PYL54" s="5">
        <f>-IFERROR('4. NPV'!#REF!/'4. NPV'!PYM$8,0)</f>
        <v>0</v>
      </c>
      <c r="PYM54" s="5">
        <f>-IFERROR('4. NPV'!#REF!/'4. NPV'!PYN$8,0)</f>
        <v>0</v>
      </c>
      <c r="PYN54" s="5">
        <f>-IFERROR('4. NPV'!#REF!/'4. NPV'!PYO$8,0)</f>
        <v>0</v>
      </c>
      <c r="PYO54" s="5">
        <f>-IFERROR('4. NPV'!#REF!/'4. NPV'!PYP$8,0)</f>
        <v>0</v>
      </c>
      <c r="PYP54" s="5">
        <f>-IFERROR('4. NPV'!#REF!/'4. NPV'!PYQ$8,0)</f>
        <v>0</v>
      </c>
      <c r="PYQ54" s="5">
        <f>-IFERROR('4. NPV'!#REF!/'4. NPV'!PYR$8,0)</f>
        <v>0</v>
      </c>
      <c r="PYR54" s="5">
        <f>-IFERROR('4. NPV'!#REF!/'4. NPV'!PYS$8,0)</f>
        <v>0</v>
      </c>
      <c r="PYS54" s="5">
        <f>-IFERROR('4. NPV'!#REF!/'4. NPV'!PYT$8,0)</f>
        <v>0</v>
      </c>
      <c r="PYT54" s="5">
        <f>-IFERROR('4. NPV'!#REF!/'4. NPV'!PYU$8,0)</f>
        <v>0</v>
      </c>
      <c r="PYU54" s="5">
        <f>-IFERROR('4. NPV'!#REF!/'4. NPV'!PYV$8,0)</f>
        <v>0</v>
      </c>
      <c r="PYV54" s="5">
        <f>-IFERROR('4. NPV'!#REF!/'4. NPV'!PYW$8,0)</f>
        <v>0</v>
      </c>
      <c r="PYW54" s="5">
        <f>-IFERROR('4. NPV'!#REF!/'4. NPV'!PYX$8,0)</f>
        <v>0</v>
      </c>
      <c r="PYX54" s="5">
        <f>-IFERROR('4. NPV'!#REF!/'4. NPV'!PYY$8,0)</f>
        <v>0</v>
      </c>
      <c r="PYY54" s="5">
        <f>-IFERROR('4. NPV'!#REF!/'4. NPV'!PYZ$8,0)</f>
        <v>0</v>
      </c>
      <c r="PYZ54" s="5">
        <f>-IFERROR('4. NPV'!#REF!/'4. NPV'!PZA$8,0)</f>
        <v>0</v>
      </c>
      <c r="PZA54" s="5">
        <f>-IFERROR('4. NPV'!#REF!/'4. NPV'!PZB$8,0)</f>
        <v>0</v>
      </c>
      <c r="PZB54" s="5">
        <f>-IFERROR('4. NPV'!#REF!/'4. NPV'!PZC$8,0)</f>
        <v>0</v>
      </c>
      <c r="PZC54" s="5">
        <f>-IFERROR('4. NPV'!#REF!/'4. NPV'!PZD$8,0)</f>
        <v>0</v>
      </c>
      <c r="PZD54" s="5">
        <f>-IFERROR('4. NPV'!#REF!/'4. NPV'!PZE$8,0)</f>
        <v>0</v>
      </c>
      <c r="PZE54" s="5">
        <f>-IFERROR('4. NPV'!#REF!/'4. NPV'!PZF$8,0)</f>
        <v>0</v>
      </c>
      <c r="PZF54" s="5">
        <f>-IFERROR('4. NPV'!#REF!/'4. NPV'!PZG$8,0)</f>
        <v>0</v>
      </c>
      <c r="PZG54" s="5">
        <f>-IFERROR('4. NPV'!#REF!/'4. NPV'!PZH$8,0)</f>
        <v>0</v>
      </c>
      <c r="PZH54" s="5">
        <f>-IFERROR('4. NPV'!#REF!/'4. NPV'!PZI$8,0)</f>
        <v>0</v>
      </c>
      <c r="PZI54" s="5">
        <f>-IFERROR('4. NPV'!#REF!/'4. NPV'!PZJ$8,0)</f>
        <v>0</v>
      </c>
      <c r="PZJ54" s="5">
        <f>-IFERROR('4. NPV'!#REF!/'4. NPV'!PZK$8,0)</f>
        <v>0</v>
      </c>
      <c r="PZK54" s="5">
        <f>-IFERROR('4. NPV'!#REF!/'4. NPV'!PZL$8,0)</f>
        <v>0</v>
      </c>
      <c r="PZL54" s="5">
        <f>-IFERROR('4. NPV'!#REF!/'4. NPV'!PZM$8,0)</f>
        <v>0</v>
      </c>
      <c r="PZM54" s="5">
        <f>-IFERROR('4. NPV'!#REF!/'4. NPV'!PZN$8,0)</f>
        <v>0</v>
      </c>
      <c r="PZN54" s="5">
        <f>-IFERROR('4. NPV'!#REF!/'4. NPV'!PZO$8,0)</f>
        <v>0</v>
      </c>
      <c r="PZO54" s="5">
        <f>-IFERROR('4. NPV'!#REF!/'4. NPV'!PZP$8,0)</f>
        <v>0</v>
      </c>
      <c r="PZP54" s="5">
        <f>-IFERROR('4. NPV'!#REF!/'4. NPV'!PZQ$8,0)</f>
        <v>0</v>
      </c>
      <c r="PZQ54" s="5">
        <f>-IFERROR('4. NPV'!#REF!/'4. NPV'!PZR$8,0)</f>
        <v>0</v>
      </c>
      <c r="PZR54" s="5">
        <f>-IFERROR('4. NPV'!#REF!/'4. NPV'!PZS$8,0)</f>
        <v>0</v>
      </c>
      <c r="PZS54" s="5">
        <f>-IFERROR('4. NPV'!#REF!/'4. NPV'!PZT$8,0)</f>
        <v>0</v>
      </c>
      <c r="PZT54" s="5">
        <f>-IFERROR('4. NPV'!#REF!/'4. NPV'!PZU$8,0)</f>
        <v>0</v>
      </c>
      <c r="PZU54" s="5">
        <f>-IFERROR('4. NPV'!#REF!/'4. NPV'!PZV$8,0)</f>
        <v>0</v>
      </c>
      <c r="PZV54" s="5">
        <f>-IFERROR('4. NPV'!#REF!/'4. NPV'!PZW$8,0)</f>
        <v>0</v>
      </c>
      <c r="PZW54" s="5">
        <f>-IFERROR('4. NPV'!#REF!/'4. NPV'!PZX$8,0)</f>
        <v>0</v>
      </c>
      <c r="PZX54" s="5">
        <f>-IFERROR('4. NPV'!#REF!/'4. NPV'!PZY$8,0)</f>
        <v>0</v>
      </c>
      <c r="PZY54" s="5">
        <f>-IFERROR('4. NPV'!#REF!/'4. NPV'!PZZ$8,0)</f>
        <v>0</v>
      </c>
      <c r="PZZ54" s="5">
        <f>-IFERROR('4. NPV'!#REF!/'4. NPV'!QAA$8,0)</f>
        <v>0</v>
      </c>
      <c r="QAA54" s="5">
        <f>-IFERROR('4. NPV'!#REF!/'4. NPV'!QAB$8,0)</f>
        <v>0</v>
      </c>
      <c r="QAB54" s="5">
        <f>-IFERROR('4. NPV'!#REF!/'4. NPV'!QAC$8,0)</f>
        <v>0</v>
      </c>
      <c r="QAC54" s="5">
        <f>-IFERROR('4. NPV'!#REF!/'4. NPV'!QAD$8,0)</f>
        <v>0</v>
      </c>
      <c r="QAD54" s="5">
        <f>-IFERROR('4. NPV'!#REF!/'4. NPV'!QAE$8,0)</f>
        <v>0</v>
      </c>
      <c r="QAE54" s="5">
        <f>-IFERROR('4. NPV'!#REF!/'4. NPV'!QAF$8,0)</f>
        <v>0</v>
      </c>
      <c r="QAF54" s="5">
        <f>-IFERROR('4. NPV'!#REF!/'4. NPV'!QAG$8,0)</f>
        <v>0</v>
      </c>
      <c r="QAG54" s="5">
        <f>-IFERROR('4. NPV'!#REF!/'4. NPV'!QAH$8,0)</f>
        <v>0</v>
      </c>
      <c r="QAH54" s="5">
        <f>-IFERROR('4. NPV'!#REF!/'4. NPV'!QAI$8,0)</f>
        <v>0</v>
      </c>
      <c r="QAI54" s="5">
        <f>-IFERROR('4. NPV'!#REF!/'4. NPV'!QAJ$8,0)</f>
        <v>0</v>
      </c>
      <c r="QAJ54" s="5">
        <f>-IFERROR('4. NPV'!#REF!/'4. NPV'!QAK$8,0)</f>
        <v>0</v>
      </c>
      <c r="QAK54" s="5">
        <f>-IFERROR('4. NPV'!#REF!/'4. NPV'!QAL$8,0)</f>
        <v>0</v>
      </c>
      <c r="QAL54" s="5">
        <f>-IFERROR('4. NPV'!#REF!/'4. NPV'!QAM$8,0)</f>
        <v>0</v>
      </c>
      <c r="QAM54" s="5">
        <f>-IFERROR('4. NPV'!#REF!/'4. NPV'!QAN$8,0)</f>
        <v>0</v>
      </c>
      <c r="QAN54" s="5">
        <f>-IFERROR('4. NPV'!#REF!/'4. NPV'!QAO$8,0)</f>
        <v>0</v>
      </c>
      <c r="QAO54" s="5">
        <f>-IFERROR('4. NPV'!#REF!/'4. NPV'!QAP$8,0)</f>
        <v>0</v>
      </c>
      <c r="QAP54" s="5">
        <f>-IFERROR('4. NPV'!#REF!/'4. NPV'!QAQ$8,0)</f>
        <v>0</v>
      </c>
      <c r="QAQ54" s="5">
        <f>-IFERROR('4. NPV'!#REF!/'4. NPV'!QAR$8,0)</f>
        <v>0</v>
      </c>
      <c r="QAR54" s="5">
        <f>-IFERROR('4. NPV'!#REF!/'4. NPV'!QAS$8,0)</f>
        <v>0</v>
      </c>
      <c r="QAS54" s="5">
        <f>-IFERROR('4. NPV'!#REF!/'4. NPV'!QAT$8,0)</f>
        <v>0</v>
      </c>
      <c r="QAT54" s="5">
        <f>-IFERROR('4. NPV'!#REF!/'4. NPV'!QAU$8,0)</f>
        <v>0</v>
      </c>
      <c r="QAU54" s="5">
        <f>-IFERROR('4. NPV'!#REF!/'4. NPV'!QAV$8,0)</f>
        <v>0</v>
      </c>
      <c r="QAV54" s="5">
        <f>-IFERROR('4. NPV'!#REF!/'4. NPV'!QAW$8,0)</f>
        <v>0</v>
      </c>
      <c r="QAW54" s="5">
        <f>-IFERROR('4. NPV'!#REF!/'4. NPV'!QAX$8,0)</f>
        <v>0</v>
      </c>
      <c r="QAX54" s="5">
        <f>-IFERROR('4. NPV'!#REF!/'4. NPV'!QAY$8,0)</f>
        <v>0</v>
      </c>
      <c r="QAY54" s="5">
        <f>-IFERROR('4. NPV'!#REF!/'4. NPV'!QAZ$8,0)</f>
        <v>0</v>
      </c>
      <c r="QAZ54" s="5">
        <f>-IFERROR('4. NPV'!#REF!/'4. NPV'!QBA$8,0)</f>
        <v>0</v>
      </c>
      <c r="QBA54" s="5">
        <f>-IFERROR('4. NPV'!#REF!/'4. NPV'!QBB$8,0)</f>
        <v>0</v>
      </c>
      <c r="QBB54" s="5">
        <f>-IFERROR('4. NPV'!#REF!/'4. NPV'!QBC$8,0)</f>
        <v>0</v>
      </c>
      <c r="QBC54" s="5">
        <f>-IFERROR('4. NPV'!#REF!/'4. NPV'!QBD$8,0)</f>
        <v>0</v>
      </c>
      <c r="QBD54" s="5">
        <f>-IFERROR('4. NPV'!#REF!/'4. NPV'!QBE$8,0)</f>
        <v>0</v>
      </c>
      <c r="QBE54" s="5">
        <f>-IFERROR('4. NPV'!#REF!/'4. NPV'!QBF$8,0)</f>
        <v>0</v>
      </c>
      <c r="QBF54" s="5">
        <f>-IFERROR('4. NPV'!#REF!/'4. NPV'!QBG$8,0)</f>
        <v>0</v>
      </c>
      <c r="QBG54" s="5">
        <f>-IFERROR('4. NPV'!#REF!/'4. NPV'!QBH$8,0)</f>
        <v>0</v>
      </c>
      <c r="QBH54" s="5">
        <f>-IFERROR('4. NPV'!#REF!/'4. NPV'!QBI$8,0)</f>
        <v>0</v>
      </c>
      <c r="QBI54" s="5">
        <f>-IFERROR('4. NPV'!#REF!/'4. NPV'!QBJ$8,0)</f>
        <v>0</v>
      </c>
      <c r="QBJ54" s="5">
        <f>-IFERROR('4. NPV'!#REF!/'4. NPV'!QBK$8,0)</f>
        <v>0</v>
      </c>
      <c r="QBK54" s="5">
        <f>-IFERROR('4. NPV'!#REF!/'4. NPV'!QBL$8,0)</f>
        <v>0</v>
      </c>
      <c r="QBL54" s="5">
        <f>-IFERROR('4. NPV'!#REF!/'4. NPV'!QBM$8,0)</f>
        <v>0</v>
      </c>
      <c r="QBM54" s="5">
        <f>-IFERROR('4. NPV'!#REF!/'4. NPV'!QBN$8,0)</f>
        <v>0</v>
      </c>
      <c r="QBN54" s="5">
        <f>-IFERROR('4. NPV'!#REF!/'4. NPV'!QBO$8,0)</f>
        <v>0</v>
      </c>
      <c r="QBO54" s="5">
        <f>-IFERROR('4. NPV'!#REF!/'4. NPV'!QBP$8,0)</f>
        <v>0</v>
      </c>
      <c r="QBP54" s="5">
        <f>-IFERROR('4. NPV'!#REF!/'4. NPV'!QBQ$8,0)</f>
        <v>0</v>
      </c>
      <c r="QBQ54" s="5">
        <f>-IFERROR('4. NPV'!#REF!/'4. NPV'!QBR$8,0)</f>
        <v>0</v>
      </c>
      <c r="QBR54" s="5">
        <f>-IFERROR('4. NPV'!#REF!/'4. NPV'!QBS$8,0)</f>
        <v>0</v>
      </c>
      <c r="QBS54" s="5">
        <f>-IFERROR('4. NPV'!#REF!/'4. NPV'!QBT$8,0)</f>
        <v>0</v>
      </c>
      <c r="QBT54" s="5">
        <f>-IFERROR('4. NPV'!#REF!/'4. NPV'!QBU$8,0)</f>
        <v>0</v>
      </c>
      <c r="QBU54" s="5">
        <f>-IFERROR('4. NPV'!#REF!/'4. NPV'!QBV$8,0)</f>
        <v>0</v>
      </c>
      <c r="QBV54" s="5">
        <f>-IFERROR('4. NPV'!#REF!/'4. NPV'!QBW$8,0)</f>
        <v>0</v>
      </c>
      <c r="QBW54" s="5">
        <f>-IFERROR('4. NPV'!#REF!/'4. NPV'!QBX$8,0)</f>
        <v>0</v>
      </c>
      <c r="QBX54" s="5">
        <f>-IFERROR('4. NPV'!#REF!/'4. NPV'!QBY$8,0)</f>
        <v>0</v>
      </c>
      <c r="QBY54" s="5">
        <f>-IFERROR('4. NPV'!#REF!/'4. NPV'!QBZ$8,0)</f>
        <v>0</v>
      </c>
      <c r="QBZ54" s="5">
        <f>-IFERROR('4. NPV'!#REF!/'4. NPV'!QCA$8,0)</f>
        <v>0</v>
      </c>
      <c r="QCA54" s="5">
        <f>-IFERROR('4. NPV'!#REF!/'4. NPV'!QCB$8,0)</f>
        <v>0</v>
      </c>
      <c r="QCB54" s="5">
        <f>-IFERROR('4. NPV'!#REF!/'4. NPV'!QCC$8,0)</f>
        <v>0</v>
      </c>
      <c r="QCC54" s="5">
        <f>-IFERROR('4. NPV'!#REF!/'4. NPV'!QCD$8,0)</f>
        <v>0</v>
      </c>
      <c r="QCD54" s="5">
        <f>-IFERROR('4. NPV'!#REF!/'4. NPV'!QCE$8,0)</f>
        <v>0</v>
      </c>
      <c r="QCE54" s="5">
        <f>-IFERROR('4. NPV'!#REF!/'4. NPV'!QCF$8,0)</f>
        <v>0</v>
      </c>
      <c r="QCF54" s="5">
        <f>-IFERROR('4. NPV'!#REF!/'4. NPV'!QCG$8,0)</f>
        <v>0</v>
      </c>
      <c r="QCG54" s="5">
        <f>-IFERROR('4. NPV'!#REF!/'4. NPV'!QCH$8,0)</f>
        <v>0</v>
      </c>
      <c r="QCH54" s="5">
        <f>-IFERROR('4. NPV'!#REF!/'4. NPV'!QCI$8,0)</f>
        <v>0</v>
      </c>
      <c r="QCI54" s="5">
        <f>-IFERROR('4. NPV'!#REF!/'4. NPV'!QCJ$8,0)</f>
        <v>0</v>
      </c>
      <c r="QCJ54" s="5">
        <f>-IFERROR('4. NPV'!#REF!/'4. NPV'!QCK$8,0)</f>
        <v>0</v>
      </c>
      <c r="QCK54" s="5">
        <f>-IFERROR('4. NPV'!#REF!/'4. NPV'!QCL$8,0)</f>
        <v>0</v>
      </c>
      <c r="QCL54" s="5">
        <f>-IFERROR('4. NPV'!#REF!/'4. NPV'!QCM$8,0)</f>
        <v>0</v>
      </c>
      <c r="QCM54" s="5">
        <f>-IFERROR('4. NPV'!#REF!/'4. NPV'!QCN$8,0)</f>
        <v>0</v>
      </c>
      <c r="QCN54" s="5">
        <f>-IFERROR('4. NPV'!#REF!/'4. NPV'!QCO$8,0)</f>
        <v>0</v>
      </c>
      <c r="QCO54" s="5">
        <f>-IFERROR('4. NPV'!#REF!/'4. NPV'!QCP$8,0)</f>
        <v>0</v>
      </c>
      <c r="QCP54" s="5">
        <f>-IFERROR('4. NPV'!#REF!/'4. NPV'!QCQ$8,0)</f>
        <v>0</v>
      </c>
      <c r="QCQ54" s="5">
        <f>-IFERROR('4. NPV'!#REF!/'4. NPV'!QCR$8,0)</f>
        <v>0</v>
      </c>
      <c r="QCR54" s="5">
        <f>-IFERROR('4. NPV'!#REF!/'4. NPV'!QCS$8,0)</f>
        <v>0</v>
      </c>
      <c r="QCS54" s="5">
        <f>-IFERROR('4. NPV'!#REF!/'4. NPV'!QCT$8,0)</f>
        <v>0</v>
      </c>
      <c r="QCT54" s="5">
        <f>-IFERROR('4. NPV'!#REF!/'4. NPV'!QCU$8,0)</f>
        <v>0</v>
      </c>
      <c r="QCU54" s="5">
        <f>-IFERROR('4. NPV'!#REF!/'4. NPV'!QCV$8,0)</f>
        <v>0</v>
      </c>
      <c r="QCV54" s="5">
        <f>-IFERROR('4. NPV'!#REF!/'4. NPV'!QCW$8,0)</f>
        <v>0</v>
      </c>
      <c r="QCW54" s="5">
        <f>-IFERROR('4. NPV'!#REF!/'4. NPV'!QCX$8,0)</f>
        <v>0</v>
      </c>
      <c r="QCX54" s="5">
        <f>-IFERROR('4. NPV'!#REF!/'4. NPV'!QCY$8,0)</f>
        <v>0</v>
      </c>
      <c r="QCY54" s="5">
        <f>-IFERROR('4. NPV'!#REF!/'4. NPV'!QCZ$8,0)</f>
        <v>0</v>
      </c>
      <c r="QCZ54" s="5">
        <f>-IFERROR('4. NPV'!#REF!/'4. NPV'!QDA$8,0)</f>
        <v>0</v>
      </c>
      <c r="QDA54" s="5">
        <f>-IFERROR('4. NPV'!#REF!/'4. NPV'!QDB$8,0)</f>
        <v>0</v>
      </c>
      <c r="QDB54" s="5">
        <f>-IFERROR('4. NPV'!#REF!/'4. NPV'!QDC$8,0)</f>
        <v>0</v>
      </c>
      <c r="QDC54" s="5">
        <f>-IFERROR('4. NPV'!#REF!/'4. NPV'!QDD$8,0)</f>
        <v>0</v>
      </c>
      <c r="QDD54" s="5">
        <f>-IFERROR('4. NPV'!#REF!/'4. NPV'!QDE$8,0)</f>
        <v>0</v>
      </c>
      <c r="QDE54" s="5">
        <f>-IFERROR('4. NPV'!#REF!/'4. NPV'!QDF$8,0)</f>
        <v>0</v>
      </c>
      <c r="QDF54" s="5">
        <f>-IFERROR('4. NPV'!#REF!/'4. NPV'!QDG$8,0)</f>
        <v>0</v>
      </c>
      <c r="QDG54" s="5">
        <f>-IFERROR('4. NPV'!#REF!/'4. NPV'!QDH$8,0)</f>
        <v>0</v>
      </c>
      <c r="QDH54" s="5">
        <f>-IFERROR('4. NPV'!#REF!/'4. NPV'!QDI$8,0)</f>
        <v>0</v>
      </c>
      <c r="QDI54" s="5">
        <f>-IFERROR('4. NPV'!#REF!/'4. NPV'!QDJ$8,0)</f>
        <v>0</v>
      </c>
      <c r="QDJ54" s="5">
        <f>-IFERROR('4. NPV'!#REF!/'4. NPV'!QDK$8,0)</f>
        <v>0</v>
      </c>
      <c r="QDK54" s="5">
        <f>-IFERROR('4. NPV'!#REF!/'4. NPV'!QDL$8,0)</f>
        <v>0</v>
      </c>
      <c r="QDL54" s="5">
        <f>-IFERROR('4. NPV'!#REF!/'4. NPV'!QDM$8,0)</f>
        <v>0</v>
      </c>
      <c r="QDM54" s="5">
        <f>-IFERROR('4. NPV'!#REF!/'4. NPV'!QDN$8,0)</f>
        <v>0</v>
      </c>
      <c r="QDN54" s="5">
        <f>-IFERROR('4. NPV'!#REF!/'4. NPV'!QDO$8,0)</f>
        <v>0</v>
      </c>
      <c r="QDO54" s="5">
        <f>-IFERROR('4. NPV'!#REF!/'4. NPV'!QDP$8,0)</f>
        <v>0</v>
      </c>
      <c r="QDP54" s="5">
        <f>-IFERROR('4. NPV'!#REF!/'4. NPV'!QDQ$8,0)</f>
        <v>0</v>
      </c>
      <c r="QDQ54" s="5">
        <f>-IFERROR('4. NPV'!#REF!/'4. NPV'!QDR$8,0)</f>
        <v>0</v>
      </c>
      <c r="QDR54" s="5">
        <f>-IFERROR('4. NPV'!#REF!/'4. NPV'!QDS$8,0)</f>
        <v>0</v>
      </c>
      <c r="QDS54" s="5">
        <f>-IFERROR('4. NPV'!#REF!/'4. NPV'!QDT$8,0)</f>
        <v>0</v>
      </c>
      <c r="QDT54" s="5">
        <f>-IFERROR('4. NPV'!#REF!/'4. NPV'!QDU$8,0)</f>
        <v>0</v>
      </c>
      <c r="QDU54" s="5">
        <f>-IFERROR('4. NPV'!#REF!/'4. NPV'!QDV$8,0)</f>
        <v>0</v>
      </c>
      <c r="QDV54" s="5">
        <f>-IFERROR('4. NPV'!#REF!/'4. NPV'!QDW$8,0)</f>
        <v>0</v>
      </c>
      <c r="QDW54" s="5">
        <f>-IFERROR('4. NPV'!#REF!/'4. NPV'!QDX$8,0)</f>
        <v>0</v>
      </c>
      <c r="QDX54" s="5">
        <f>-IFERROR('4. NPV'!#REF!/'4. NPV'!QDY$8,0)</f>
        <v>0</v>
      </c>
      <c r="QDY54" s="5">
        <f>-IFERROR('4. NPV'!#REF!/'4. NPV'!QDZ$8,0)</f>
        <v>0</v>
      </c>
      <c r="QDZ54" s="5">
        <f>-IFERROR('4. NPV'!#REF!/'4. NPV'!QEA$8,0)</f>
        <v>0</v>
      </c>
      <c r="QEA54" s="5">
        <f>-IFERROR('4. NPV'!#REF!/'4. NPV'!QEB$8,0)</f>
        <v>0</v>
      </c>
      <c r="QEB54" s="5">
        <f>-IFERROR('4. NPV'!#REF!/'4. NPV'!QEC$8,0)</f>
        <v>0</v>
      </c>
      <c r="QEC54" s="5">
        <f>-IFERROR('4. NPV'!#REF!/'4. NPV'!QED$8,0)</f>
        <v>0</v>
      </c>
      <c r="QED54" s="5">
        <f>-IFERROR('4. NPV'!#REF!/'4. NPV'!QEE$8,0)</f>
        <v>0</v>
      </c>
      <c r="QEE54" s="5">
        <f>-IFERROR('4. NPV'!#REF!/'4. NPV'!QEF$8,0)</f>
        <v>0</v>
      </c>
      <c r="QEF54" s="5">
        <f>-IFERROR('4. NPV'!#REF!/'4. NPV'!QEG$8,0)</f>
        <v>0</v>
      </c>
      <c r="QEG54" s="5">
        <f>-IFERROR('4. NPV'!#REF!/'4. NPV'!QEH$8,0)</f>
        <v>0</v>
      </c>
      <c r="QEH54" s="5">
        <f>-IFERROR('4. NPV'!#REF!/'4. NPV'!QEI$8,0)</f>
        <v>0</v>
      </c>
      <c r="QEI54" s="5">
        <f>-IFERROR('4. NPV'!#REF!/'4. NPV'!QEJ$8,0)</f>
        <v>0</v>
      </c>
      <c r="QEJ54" s="5">
        <f>-IFERROR('4. NPV'!#REF!/'4. NPV'!QEK$8,0)</f>
        <v>0</v>
      </c>
      <c r="QEK54" s="5">
        <f>-IFERROR('4. NPV'!#REF!/'4. NPV'!QEL$8,0)</f>
        <v>0</v>
      </c>
      <c r="QEL54" s="5">
        <f>-IFERROR('4. NPV'!#REF!/'4. NPV'!QEM$8,0)</f>
        <v>0</v>
      </c>
      <c r="QEM54" s="5">
        <f>-IFERROR('4. NPV'!#REF!/'4. NPV'!QEN$8,0)</f>
        <v>0</v>
      </c>
      <c r="QEN54" s="5">
        <f>-IFERROR('4. NPV'!#REF!/'4. NPV'!QEO$8,0)</f>
        <v>0</v>
      </c>
      <c r="QEO54" s="5">
        <f>-IFERROR('4. NPV'!#REF!/'4. NPV'!QEP$8,0)</f>
        <v>0</v>
      </c>
      <c r="QEP54" s="5">
        <f>-IFERROR('4. NPV'!#REF!/'4. NPV'!QEQ$8,0)</f>
        <v>0</v>
      </c>
      <c r="QEQ54" s="5">
        <f>-IFERROR('4. NPV'!#REF!/'4. NPV'!QER$8,0)</f>
        <v>0</v>
      </c>
      <c r="QER54" s="5">
        <f>-IFERROR('4. NPV'!#REF!/'4. NPV'!QES$8,0)</f>
        <v>0</v>
      </c>
      <c r="QES54" s="5">
        <f>-IFERROR('4. NPV'!#REF!/'4. NPV'!QET$8,0)</f>
        <v>0</v>
      </c>
      <c r="QET54" s="5">
        <f>-IFERROR('4. NPV'!#REF!/'4. NPV'!QEU$8,0)</f>
        <v>0</v>
      </c>
      <c r="QEU54" s="5">
        <f>-IFERROR('4. NPV'!#REF!/'4. NPV'!QEV$8,0)</f>
        <v>0</v>
      </c>
      <c r="QEV54" s="5">
        <f>-IFERROR('4. NPV'!#REF!/'4. NPV'!QEW$8,0)</f>
        <v>0</v>
      </c>
      <c r="QEW54" s="5">
        <f>-IFERROR('4. NPV'!#REF!/'4. NPV'!QEX$8,0)</f>
        <v>0</v>
      </c>
      <c r="QEX54" s="5">
        <f>-IFERROR('4. NPV'!#REF!/'4. NPV'!QEY$8,0)</f>
        <v>0</v>
      </c>
      <c r="QEY54" s="5">
        <f>-IFERROR('4. NPV'!#REF!/'4. NPV'!QEZ$8,0)</f>
        <v>0</v>
      </c>
      <c r="QEZ54" s="5">
        <f>-IFERROR('4. NPV'!#REF!/'4. NPV'!QFA$8,0)</f>
        <v>0</v>
      </c>
      <c r="QFA54" s="5">
        <f>-IFERROR('4. NPV'!#REF!/'4. NPV'!QFB$8,0)</f>
        <v>0</v>
      </c>
      <c r="QFB54" s="5">
        <f>-IFERROR('4. NPV'!#REF!/'4. NPV'!QFC$8,0)</f>
        <v>0</v>
      </c>
      <c r="QFC54" s="5">
        <f>-IFERROR('4. NPV'!#REF!/'4. NPV'!QFD$8,0)</f>
        <v>0</v>
      </c>
      <c r="QFD54" s="5">
        <f>-IFERROR('4. NPV'!#REF!/'4. NPV'!QFE$8,0)</f>
        <v>0</v>
      </c>
      <c r="QFE54" s="5">
        <f>-IFERROR('4. NPV'!#REF!/'4. NPV'!QFF$8,0)</f>
        <v>0</v>
      </c>
      <c r="QFF54" s="5">
        <f>-IFERROR('4. NPV'!#REF!/'4. NPV'!QFG$8,0)</f>
        <v>0</v>
      </c>
      <c r="QFG54" s="5">
        <f>-IFERROR('4. NPV'!#REF!/'4. NPV'!QFH$8,0)</f>
        <v>0</v>
      </c>
      <c r="QFH54" s="5">
        <f>-IFERROR('4. NPV'!#REF!/'4. NPV'!QFI$8,0)</f>
        <v>0</v>
      </c>
      <c r="QFI54" s="5">
        <f>-IFERROR('4. NPV'!#REF!/'4. NPV'!QFJ$8,0)</f>
        <v>0</v>
      </c>
      <c r="QFJ54" s="5">
        <f>-IFERROR('4. NPV'!#REF!/'4. NPV'!QFK$8,0)</f>
        <v>0</v>
      </c>
      <c r="QFK54" s="5">
        <f>-IFERROR('4. NPV'!#REF!/'4. NPV'!QFL$8,0)</f>
        <v>0</v>
      </c>
      <c r="QFL54" s="5">
        <f>-IFERROR('4. NPV'!#REF!/'4. NPV'!QFM$8,0)</f>
        <v>0</v>
      </c>
      <c r="QFM54" s="5">
        <f>-IFERROR('4. NPV'!#REF!/'4. NPV'!QFN$8,0)</f>
        <v>0</v>
      </c>
      <c r="QFN54" s="5">
        <f>-IFERROR('4. NPV'!#REF!/'4. NPV'!QFO$8,0)</f>
        <v>0</v>
      </c>
      <c r="QFO54" s="5">
        <f>-IFERROR('4. NPV'!#REF!/'4. NPV'!QFP$8,0)</f>
        <v>0</v>
      </c>
      <c r="QFP54" s="5">
        <f>-IFERROR('4. NPV'!#REF!/'4. NPV'!QFQ$8,0)</f>
        <v>0</v>
      </c>
      <c r="QFQ54" s="5">
        <f>-IFERROR('4. NPV'!#REF!/'4. NPV'!QFR$8,0)</f>
        <v>0</v>
      </c>
      <c r="QFR54" s="5">
        <f>-IFERROR('4. NPV'!#REF!/'4. NPV'!QFS$8,0)</f>
        <v>0</v>
      </c>
      <c r="QFS54" s="5">
        <f>-IFERROR('4. NPV'!#REF!/'4. NPV'!QFT$8,0)</f>
        <v>0</v>
      </c>
      <c r="QFT54" s="5">
        <f>-IFERROR('4. NPV'!#REF!/'4. NPV'!QFU$8,0)</f>
        <v>0</v>
      </c>
      <c r="QFU54" s="5">
        <f>-IFERROR('4. NPV'!#REF!/'4. NPV'!QFV$8,0)</f>
        <v>0</v>
      </c>
      <c r="QFV54" s="5">
        <f>-IFERROR('4. NPV'!#REF!/'4. NPV'!QFW$8,0)</f>
        <v>0</v>
      </c>
      <c r="QFW54" s="5">
        <f>-IFERROR('4. NPV'!#REF!/'4. NPV'!QFX$8,0)</f>
        <v>0</v>
      </c>
      <c r="QFX54" s="5">
        <f>-IFERROR('4. NPV'!#REF!/'4. NPV'!QFY$8,0)</f>
        <v>0</v>
      </c>
      <c r="QFY54" s="5">
        <f>-IFERROR('4. NPV'!#REF!/'4. NPV'!QFZ$8,0)</f>
        <v>0</v>
      </c>
      <c r="QFZ54" s="5">
        <f>-IFERROR('4. NPV'!#REF!/'4. NPV'!QGA$8,0)</f>
        <v>0</v>
      </c>
      <c r="QGA54" s="5">
        <f>-IFERROR('4. NPV'!#REF!/'4. NPV'!QGB$8,0)</f>
        <v>0</v>
      </c>
      <c r="QGB54" s="5">
        <f>-IFERROR('4. NPV'!#REF!/'4. NPV'!QGC$8,0)</f>
        <v>0</v>
      </c>
      <c r="QGC54" s="5">
        <f>-IFERROR('4. NPV'!#REF!/'4. NPV'!QGD$8,0)</f>
        <v>0</v>
      </c>
      <c r="QGD54" s="5">
        <f>-IFERROR('4. NPV'!#REF!/'4. NPV'!QGE$8,0)</f>
        <v>0</v>
      </c>
      <c r="QGE54" s="5">
        <f>-IFERROR('4. NPV'!#REF!/'4. NPV'!QGF$8,0)</f>
        <v>0</v>
      </c>
      <c r="QGF54" s="5">
        <f>-IFERROR('4. NPV'!#REF!/'4. NPV'!QGG$8,0)</f>
        <v>0</v>
      </c>
      <c r="QGG54" s="5">
        <f>-IFERROR('4. NPV'!#REF!/'4. NPV'!QGH$8,0)</f>
        <v>0</v>
      </c>
      <c r="QGH54" s="5">
        <f>-IFERROR('4. NPV'!#REF!/'4. NPV'!QGI$8,0)</f>
        <v>0</v>
      </c>
      <c r="QGI54" s="5">
        <f>-IFERROR('4. NPV'!#REF!/'4. NPV'!QGJ$8,0)</f>
        <v>0</v>
      </c>
      <c r="QGJ54" s="5">
        <f>-IFERROR('4. NPV'!#REF!/'4. NPV'!QGK$8,0)</f>
        <v>0</v>
      </c>
      <c r="QGK54" s="5">
        <f>-IFERROR('4. NPV'!#REF!/'4. NPV'!QGL$8,0)</f>
        <v>0</v>
      </c>
      <c r="QGL54" s="5">
        <f>-IFERROR('4. NPV'!#REF!/'4. NPV'!QGM$8,0)</f>
        <v>0</v>
      </c>
      <c r="QGM54" s="5">
        <f>-IFERROR('4. NPV'!#REF!/'4. NPV'!QGN$8,0)</f>
        <v>0</v>
      </c>
      <c r="QGN54" s="5">
        <f>-IFERROR('4. NPV'!#REF!/'4. NPV'!QGO$8,0)</f>
        <v>0</v>
      </c>
      <c r="QGO54" s="5">
        <f>-IFERROR('4. NPV'!#REF!/'4. NPV'!QGP$8,0)</f>
        <v>0</v>
      </c>
      <c r="QGP54" s="5">
        <f>-IFERROR('4. NPV'!#REF!/'4. NPV'!QGQ$8,0)</f>
        <v>0</v>
      </c>
      <c r="QGQ54" s="5">
        <f>-IFERROR('4. NPV'!#REF!/'4. NPV'!QGR$8,0)</f>
        <v>0</v>
      </c>
      <c r="QGR54" s="5">
        <f>-IFERROR('4. NPV'!#REF!/'4. NPV'!QGS$8,0)</f>
        <v>0</v>
      </c>
      <c r="QGS54" s="5">
        <f>-IFERROR('4. NPV'!#REF!/'4. NPV'!QGT$8,0)</f>
        <v>0</v>
      </c>
      <c r="QGT54" s="5">
        <f>-IFERROR('4. NPV'!#REF!/'4. NPV'!QGU$8,0)</f>
        <v>0</v>
      </c>
      <c r="QGU54" s="5">
        <f>-IFERROR('4. NPV'!#REF!/'4. NPV'!QGV$8,0)</f>
        <v>0</v>
      </c>
      <c r="QGV54" s="5">
        <f>-IFERROR('4. NPV'!#REF!/'4. NPV'!QGW$8,0)</f>
        <v>0</v>
      </c>
      <c r="QGW54" s="5">
        <f>-IFERROR('4. NPV'!#REF!/'4. NPV'!QGX$8,0)</f>
        <v>0</v>
      </c>
      <c r="QGX54" s="5">
        <f>-IFERROR('4. NPV'!#REF!/'4. NPV'!QGY$8,0)</f>
        <v>0</v>
      </c>
      <c r="QGY54" s="5">
        <f>-IFERROR('4. NPV'!#REF!/'4. NPV'!QGZ$8,0)</f>
        <v>0</v>
      </c>
      <c r="QGZ54" s="5">
        <f>-IFERROR('4. NPV'!#REF!/'4. NPV'!QHA$8,0)</f>
        <v>0</v>
      </c>
      <c r="QHA54" s="5">
        <f>-IFERROR('4. NPV'!#REF!/'4. NPV'!QHB$8,0)</f>
        <v>0</v>
      </c>
      <c r="QHB54" s="5">
        <f>-IFERROR('4. NPV'!#REF!/'4. NPV'!QHC$8,0)</f>
        <v>0</v>
      </c>
      <c r="QHC54" s="5">
        <f>-IFERROR('4. NPV'!#REF!/'4. NPV'!QHD$8,0)</f>
        <v>0</v>
      </c>
      <c r="QHD54" s="5">
        <f>-IFERROR('4. NPV'!#REF!/'4. NPV'!QHE$8,0)</f>
        <v>0</v>
      </c>
      <c r="QHE54" s="5">
        <f>-IFERROR('4. NPV'!#REF!/'4. NPV'!QHF$8,0)</f>
        <v>0</v>
      </c>
      <c r="QHF54" s="5">
        <f>-IFERROR('4. NPV'!#REF!/'4. NPV'!QHG$8,0)</f>
        <v>0</v>
      </c>
      <c r="QHG54" s="5">
        <f>-IFERROR('4. NPV'!#REF!/'4. NPV'!QHH$8,0)</f>
        <v>0</v>
      </c>
      <c r="QHH54" s="5">
        <f>-IFERROR('4. NPV'!#REF!/'4. NPV'!QHI$8,0)</f>
        <v>0</v>
      </c>
      <c r="QHI54" s="5">
        <f>-IFERROR('4. NPV'!#REF!/'4. NPV'!QHJ$8,0)</f>
        <v>0</v>
      </c>
      <c r="QHJ54" s="5">
        <f>-IFERROR('4. NPV'!#REF!/'4. NPV'!QHK$8,0)</f>
        <v>0</v>
      </c>
      <c r="QHK54" s="5">
        <f>-IFERROR('4. NPV'!#REF!/'4. NPV'!QHL$8,0)</f>
        <v>0</v>
      </c>
      <c r="QHL54" s="5">
        <f>-IFERROR('4. NPV'!#REF!/'4. NPV'!QHM$8,0)</f>
        <v>0</v>
      </c>
      <c r="QHM54" s="5">
        <f>-IFERROR('4. NPV'!#REF!/'4. NPV'!QHN$8,0)</f>
        <v>0</v>
      </c>
      <c r="QHN54" s="5">
        <f>-IFERROR('4. NPV'!#REF!/'4. NPV'!QHO$8,0)</f>
        <v>0</v>
      </c>
      <c r="QHO54" s="5">
        <f>-IFERROR('4. NPV'!#REF!/'4. NPV'!QHP$8,0)</f>
        <v>0</v>
      </c>
      <c r="QHP54" s="5">
        <f>-IFERROR('4. NPV'!#REF!/'4. NPV'!QHQ$8,0)</f>
        <v>0</v>
      </c>
      <c r="QHQ54" s="5">
        <f>-IFERROR('4. NPV'!#REF!/'4. NPV'!QHR$8,0)</f>
        <v>0</v>
      </c>
      <c r="QHR54" s="5">
        <f>-IFERROR('4. NPV'!#REF!/'4. NPV'!QHS$8,0)</f>
        <v>0</v>
      </c>
      <c r="QHS54" s="5">
        <f>-IFERROR('4. NPV'!#REF!/'4. NPV'!QHT$8,0)</f>
        <v>0</v>
      </c>
      <c r="QHT54" s="5">
        <f>-IFERROR('4. NPV'!#REF!/'4. NPV'!QHU$8,0)</f>
        <v>0</v>
      </c>
      <c r="QHU54" s="5">
        <f>-IFERROR('4. NPV'!#REF!/'4. NPV'!QHV$8,0)</f>
        <v>0</v>
      </c>
      <c r="QHV54" s="5">
        <f>-IFERROR('4. NPV'!#REF!/'4. NPV'!QHW$8,0)</f>
        <v>0</v>
      </c>
      <c r="QHW54" s="5">
        <f>-IFERROR('4. NPV'!#REF!/'4. NPV'!QHX$8,0)</f>
        <v>0</v>
      </c>
      <c r="QHX54" s="5">
        <f>-IFERROR('4. NPV'!#REF!/'4. NPV'!QHY$8,0)</f>
        <v>0</v>
      </c>
      <c r="QHY54" s="5">
        <f>-IFERROR('4. NPV'!#REF!/'4. NPV'!QHZ$8,0)</f>
        <v>0</v>
      </c>
      <c r="QHZ54" s="5">
        <f>-IFERROR('4. NPV'!#REF!/'4. NPV'!QIA$8,0)</f>
        <v>0</v>
      </c>
      <c r="QIA54" s="5">
        <f>-IFERROR('4. NPV'!#REF!/'4. NPV'!QIB$8,0)</f>
        <v>0</v>
      </c>
      <c r="QIB54" s="5">
        <f>-IFERROR('4. NPV'!#REF!/'4. NPV'!QIC$8,0)</f>
        <v>0</v>
      </c>
      <c r="QIC54" s="5">
        <f>-IFERROR('4. NPV'!#REF!/'4. NPV'!QID$8,0)</f>
        <v>0</v>
      </c>
      <c r="QID54" s="5">
        <f>-IFERROR('4. NPV'!#REF!/'4. NPV'!QIE$8,0)</f>
        <v>0</v>
      </c>
      <c r="QIE54" s="5">
        <f>-IFERROR('4. NPV'!#REF!/'4. NPV'!QIF$8,0)</f>
        <v>0</v>
      </c>
      <c r="QIF54" s="5">
        <f>-IFERROR('4. NPV'!#REF!/'4. NPV'!QIG$8,0)</f>
        <v>0</v>
      </c>
      <c r="QIG54" s="5">
        <f>-IFERROR('4. NPV'!#REF!/'4. NPV'!QIH$8,0)</f>
        <v>0</v>
      </c>
      <c r="QIH54" s="5">
        <f>-IFERROR('4. NPV'!#REF!/'4. NPV'!QII$8,0)</f>
        <v>0</v>
      </c>
      <c r="QII54" s="5">
        <f>-IFERROR('4. NPV'!#REF!/'4. NPV'!QIJ$8,0)</f>
        <v>0</v>
      </c>
      <c r="QIJ54" s="5">
        <f>-IFERROR('4. NPV'!#REF!/'4. NPV'!QIK$8,0)</f>
        <v>0</v>
      </c>
      <c r="QIK54" s="5">
        <f>-IFERROR('4. NPV'!#REF!/'4. NPV'!QIL$8,0)</f>
        <v>0</v>
      </c>
      <c r="QIL54" s="5">
        <f>-IFERROR('4. NPV'!#REF!/'4. NPV'!QIM$8,0)</f>
        <v>0</v>
      </c>
      <c r="QIM54" s="5">
        <f>-IFERROR('4. NPV'!#REF!/'4. NPV'!QIN$8,0)</f>
        <v>0</v>
      </c>
      <c r="QIN54" s="5">
        <f>-IFERROR('4. NPV'!#REF!/'4. NPV'!QIO$8,0)</f>
        <v>0</v>
      </c>
      <c r="QIO54" s="5">
        <f>-IFERROR('4. NPV'!#REF!/'4. NPV'!QIP$8,0)</f>
        <v>0</v>
      </c>
      <c r="QIP54" s="5">
        <f>-IFERROR('4. NPV'!#REF!/'4. NPV'!QIQ$8,0)</f>
        <v>0</v>
      </c>
      <c r="QIQ54" s="5">
        <f>-IFERROR('4. NPV'!#REF!/'4. NPV'!QIR$8,0)</f>
        <v>0</v>
      </c>
      <c r="QIR54" s="5">
        <f>-IFERROR('4. NPV'!#REF!/'4. NPV'!QIS$8,0)</f>
        <v>0</v>
      </c>
      <c r="QIS54" s="5">
        <f>-IFERROR('4. NPV'!#REF!/'4. NPV'!QIT$8,0)</f>
        <v>0</v>
      </c>
      <c r="QIT54" s="5">
        <f>-IFERROR('4. NPV'!#REF!/'4. NPV'!QIU$8,0)</f>
        <v>0</v>
      </c>
      <c r="QIU54" s="5">
        <f>-IFERROR('4. NPV'!#REF!/'4. NPV'!QIV$8,0)</f>
        <v>0</v>
      </c>
      <c r="QIV54" s="5">
        <f>-IFERROR('4. NPV'!#REF!/'4. NPV'!QIW$8,0)</f>
        <v>0</v>
      </c>
      <c r="QIW54" s="5">
        <f>-IFERROR('4. NPV'!#REF!/'4. NPV'!QIX$8,0)</f>
        <v>0</v>
      </c>
      <c r="QIX54" s="5">
        <f>-IFERROR('4. NPV'!#REF!/'4. NPV'!QIY$8,0)</f>
        <v>0</v>
      </c>
      <c r="QIY54" s="5">
        <f>-IFERROR('4. NPV'!#REF!/'4. NPV'!QIZ$8,0)</f>
        <v>0</v>
      </c>
      <c r="QIZ54" s="5">
        <f>-IFERROR('4. NPV'!#REF!/'4. NPV'!QJA$8,0)</f>
        <v>0</v>
      </c>
      <c r="QJA54" s="5">
        <f>-IFERROR('4. NPV'!#REF!/'4. NPV'!QJB$8,0)</f>
        <v>0</v>
      </c>
      <c r="QJB54" s="5">
        <f>-IFERROR('4. NPV'!#REF!/'4. NPV'!QJC$8,0)</f>
        <v>0</v>
      </c>
      <c r="QJC54" s="5">
        <f>-IFERROR('4. NPV'!#REF!/'4. NPV'!QJD$8,0)</f>
        <v>0</v>
      </c>
      <c r="QJD54" s="5">
        <f>-IFERROR('4. NPV'!#REF!/'4. NPV'!QJE$8,0)</f>
        <v>0</v>
      </c>
      <c r="QJE54" s="5">
        <f>-IFERROR('4. NPV'!#REF!/'4. NPV'!QJF$8,0)</f>
        <v>0</v>
      </c>
      <c r="QJF54" s="5">
        <f>-IFERROR('4. NPV'!#REF!/'4. NPV'!QJG$8,0)</f>
        <v>0</v>
      </c>
      <c r="QJG54" s="5">
        <f>-IFERROR('4. NPV'!#REF!/'4. NPV'!QJH$8,0)</f>
        <v>0</v>
      </c>
      <c r="QJH54" s="5">
        <f>-IFERROR('4. NPV'!#REF!/'4. NPV'!QJI$8,0)</f>
        <v>0</v>
      </c>
      <c r="QJI54" s="5">
        <f>-IFERROR('4. NPV'!#REF!/'4. NPV'!QJJ$8,0)</f>
        <v>0</v>
      </c>
      <c r="QJJ54" s="5">
        <f>-IFERROR('4. NPV'!#REF!/'4. NPV'!QJK$8,0)</f>
        <v>0</v>
      </c>
      <c r="QJK54" s="5">
        <f>-IFERROR('4. NPV'!#REF!/'4. NPV'!QJL$8,0)</f>
        <v>0</v>
      </c>
      <c r="QJL54" s="5">
        <f>-IFERROR('4. NPV'!#REF!/'4. NPV'!QJM$8,0)</f>
        <v>0</v>
      </c>
      <c r="QJM54" s="5">
        <f>-IFERROR('4. NPV'!#REF!/'4. NPV'!QJN$8,0)</f>
        <v>0</v>
      </c>
      <c r="QJN54" s="5">
        <f>-IFERROR('4. NPV'!#REF!/'4. NPV'!QJO$8,0)</f>
        <v>0</v>
      </c>
      <c r="QJO54" s="5">
        <f>-IFERROR('4. NPV'!#REF!/'4. NPV'!QJP$8,0)</f>
        <v>0</v>
      </c>
      <c r="QJP54" s="5">
        <f>-IFERROR('4. NPV'!#REF!/'4. NPV'!QJQ$8,0)</f>
        <v>0</v>
      </c>
      <c r="QJQ54" s="5">
        <f>-IFERROR('4. NPV'!#REF!/'4. NPV'!QJR$8,0)</f>
        <v>0</v>
      </c>
      <c r="QJR54" s="5">
        <f>-IFERROR('4. NPV'!#REF!/'4. NPV'!QJS$8,0)</f>
        <v>0</v>
      </c>
      <c r="QJS54" s="5">
        <f>-IFERROR('4. NPV'!#REF!/'4. NPV'!QJT$8,0)</f>
        <v>0</v>
      </c>
      <c r="QJT54" s="5">
        <f>-IFERROR('4. NPV'!#REF!/'4. NPV'!QJU$8,0)</f>
        <v>0</v>
      </c>
      <c r="QJU54" s="5">
        <f>-IFERROR('4. NPV'!#REF!/'4. NPV'!QJV$8,0)</f>
        <v>0</v>
      </c>
      <c r="QJV54" s="5">
        <f>-IFERROR('4. NPV'!#REF!/'4. NPV'!QJW$8,0)</f>
        <v>0</v>
      </c>
      <c r="QJW54" s="5">
        <f>-IFERROR('4. NPV'!#REF!/'4. NPV'!QJX$8,0)</f>
        <v>0</v>
      </c>
      <c r="QJX54" s="5">
        <f>-IFERROR('4. NPV'!#REF!/'4. NPV'!QJY$8,0)</f>
        <v>0</v>
      </c>
      <c r="QJY54" s="5">
        <f>-IFERROR('4. NPV'!#REF!/'4. NPV'!QJZ$8,0)</f>
        <v>0</v>
      </c>
      <c r="QJZ54" s="5">
        <f>-IFERROR('4. NPV'!#REF!/'4. NPV'!QKA$8,0)</f>
        <v>0</v>
      </c>
      <c r="QKA54" s="5">
        <f>-IFERROR('4. NPV'!#REF!/'4. NPV'!QKB$8,0)</f>
        <v>0</v>
      </c>
      <c r="QKB54" s="5">
        <f>-IFERROR('4. NPV'!#REF!/'4. NPV'!QKC$8,0)</f>
        <v>0</v>
      </c>
      <c r="QKC54" s="5">
        <f>-IFERROR('4. NPV'!#REF!/'4. NPV'!QKD$8,0)</f>
        <v>0</v>
      </c>
      <c r="QKD54" s="5">
        <f>-IFERROR('4. NPV'!#REF!/'4. NPV'!QKE$8,0)</f>
        <v>0</v>
      </c>
      <c r="QKE54" s="5">
        <f>-IFERROR('4. NPV'!#REF!/'4. NPV'!QKF$8,0)</f>
        <v>0</v>
      </c>
      <c r="QKF54" s="5">
        <f>-IFERROR('4. NPV'!#REF!/'4. NPV'!QKG$8,0)</f>
        <v>0</v>
      </c>
      <c r="QKG54" s="5">
        <f>-IFERROR('4. NPV'!#REF!/'4. NPV'!QKH$8,0)</f>
        <v>0</v>
      </c>
      <c r="QKH54" s="5">
        <f>-IFERROR('4. NPV'!#REF!/'4. NPV'!QKI$8,0)</f>
        <v>0</v>
      </c>
      <c r="QKI54" s="5">
        <f>-IFERROR('4. NPV'!#REF!/'4. NPV'!QKJ$8,0)</f>
        <v>0</v>
      </c>
      <c r="QKJ54" s="5">
        <f>-IFERROR('4. NPV'!#REF!/'4. NPV'!QKK$8,0)</f>
        <v>0</v>
      </c>
      <c r="QKK54" s="5">
        <f>-IFERROR('4. NPV'!#REF!/'4. NPV'!QKL$8,0)</f>
        <v>0</v>
      </c>
      <c r="QKL54" s="5">
        <f>-IFERROR('4. NPV'!#REF!/'4. NPV'!QKM$8,0)</f>
        <v>0</v>
      </c>
      <c r="QKM54" s="5">
        <f>-IFERROR('4. NPV'!#REF!/'4. NPV'!QKN$8,0)</f>
        <v>0</v>
      </c>
      <c r="QKN54" s="5">
        <f>-IFERROR('4. NPV'!#REF!/'4. NPV'!QKO$8,0)</f>
        <v>0</v>
      </c>
      <c r="QKO54" s="5">
        <f>-IFERROR('4. NPV'!#REF!/'4. NPV'!QKP$8,0)</f>
        <v>0</v>
      </c>
      <c r="QKP54" s="5">
        <f>-IFERROR('4. NPV'!#REF!/'4. NPV'!QKQ$8,0)</f>
        <v>0</v>
      </c>
      <c r="QKQ54" s="5">
        <f>-IFERROR('4. NPV'!#REF!/'4. NPV'!QKR$8,0)</f>
        <v>0</v>
      </c>
      <c r="QKR54" s="5">
        <f>-IFERROR('4. NPV'!#REF!/'4. NPV'!QKS$8,0)</f>
        <v>0</v>
      </c>
      <c r="QKS54" s="5">
        <f>-IFERROR('4. NPV'!#REF!/'4. NPV'!QKT$8,0)</f>
        <v>0</v>
      </c>
      <c r="QKT54" s="5">
        <f>-IFERROR('4. NPV'!#REF!/'4. NPV'!QKU$8,0)</f>
        <v>0</v>
      </c>
      <c r="QKU54" s="5">
        <f>-IFERROR('4. NPV'!#REF!/'4. NPV'!QKV$8,0)</f>
        <v>0</v>
      </c>
      <c r="QKV54" s="5">
        <f>-IFERROR('4. NPV'!#REF!/'4. NPV'!QKW$8,0)</f>
        <v>0</v>
      </c>
      <c r="QKW54" s="5">
        <f>-IFERROR('4. NPV'!#REF!/'4. NPV'!QKX$8,0)</f>
        <v>0</v>
      </c>
      <c r="QKX54" s="5">
        <f>-IFERROR('4. NPV'!#REF!/'4. NPV'!QKY$8,0)</f>
        <v>0</v>
      </c>
      <c r="QKY54" s="5">
        <f>-IFERROR('4. NPV'!#REF!/'4. NPV'!QKZ$8,0)</f>
        <v>0</v>
      </c>
      <c r="QKZ54" s="5">
        <f>-IFERROR('4. NPV'!#REF!/'4. NPV'!QLA$8,0)</f>
        <v>0</v>
      </c>
      <c r="QLA54" s="5">
        <f>-IFERROR('4. NPV'!#REF!/'4. NPV'!QLB$8,0)</f>
        <v>0</v>
      </c>
      <c r="QLB54" s="5">
        <f>-IFERROR('4. NPV'!#REF!/'4. NPV'!QLC$8,0)</f>
        <v>0</v>
      </c>
      <c r="QLC54" s="5">
        <f>-IFERROR('4. NPV'!#REF!/'4. NPV'!QLD$8,0)</f>
        <v>0</v>
      </c>
      <c r="QLD54" s="5">
        <f>-IFERROR('4. NPV'!#REF!/'4. NPV'!QLE$8,0)</f>
        <v>0</v>
      </c>
      <c r="QLE54" s="5">
        <f>-IFERROR('4. NPV'!#REF!/'4. NPV'!QLF$8,0)</f>
        <v>0</v>
      </c>
      <c r="QLF54" s="5">
        <f>-IFERROR('4. NPV'!#REF!/'4. NPV'!QLG$8,0)</f>
        <v>0</v>
      </c>
      <c r="QLG54" s="5">
        <f>-IFERROR('4. NPV'!#REF!/'4. NPV'!QLH$8,0)</f>
        <v>0</v>
      </c>
      <c r="QLH54" s="5">
        <f>-IFERROR('4. NPV'!#REF!/'4. NPV'!QLI$8,0)</f>
        <v>0</v>
      </c>
      <c r="QLI54" s="5">
        <f>-IFERROR('4. NPV'!#REF!/'4. NPV'!QLJ$8,0)</f>
        <v>0</v>
      </c>
      <c r="QLJ54" s="5">
        <f>-IFERROR('4. NPV'!#REF!/'4. NPV'!QLK$8,0)</f>
        <v>0</v>
      </c>
      <c r="QLK54" s="5">
        <f>-IFERROR('4. NPV'!#REF!/'4. NPV'!QLL$8,0)</f>
        <v>0</v>
      </c>
      <c r="QLL54" s="5">
        <f>-IFERROR('4. NPV'!#REF!/'4. NPV'!QLM$8,0)</f>
        <v>0</v>
      </c>
      <c r="QLM54" s="5">
        <f>-IFERROR('4. NPV'!#REF!/'4. NPV'!QLN$8,0)</f>
        <v>0</v>
      </c>
      <c r="QLN54" s="5">
        <f>-IFERROR('4. NPV'!#REF!/'4. NPV'!QLO$8,0)</f>
        <v>0</v>
      </c>
      <c r="QLO54" s="5">
        <f>-IFERROR('4. NPV'!#REF!/'4. NPV'!QLP$8,0)</f>
        <v>0</v>
      </c>
      <c r="QLP54" s="5">
        <f>-IFERROR('4. NPV'!#REF!/'4. NPV'!QLQ$8,0)</f>
        <v>0</v>
      </c>
      <c r="QLQ54" s="5">
        <f>-IFERROR('4. NPV'!#REF!/'4. NPV'!QLR$8,0)</f>
        <v>0</v>
      </c>
      <c r="QLR54" s="5">
        <f>-IFERROR('4. NPV'!#REF!/'4. NPV'!QLS$8,0)</f>
        <v>0</v>
      </c>
      <c r="QLS54" s="5">
        <f>-IFERROR('4. NPV'!#REF!/'4. NPV'!QLT$8,0)</f>
        <v>0</v>
      </c>
      <c r="QLT54" s="5">
        <f>-IFERROR('4. NPV'!#REF!/'4. NPV'!QLU$8,0)</f>
        <v>0</v>
      </c>
      <c r="QLU54" s="5">
        <f>-IFERROR('4. NPV'!#REF!/'4. NPV'!QLV$8,0)</f>
        <v>0</v>
      </c>
      <c r="QLV54" s="5">
        <f>-IFERROR('4. NPV'!#REF!/'4. NPV'!QLW$8,0)</f>
        <v>0</v>
      </c>
      <c r="QLW54" s="5">
        <f>-IFERROR('4. NPV'!#REF!/'4. NPV'!QLX$8,0)</f>
        <v>0</v>
      </c>
      <c r="QLX54" s="5">
        <f>-IFERROR('4. NPV'!#REF!/'4. NPV'!QLY$8,0)</f>
        <v>0</v>
      </c>
      <c r="QLY54" s="5">
        <f>-IFERROR('4. NPV'!#REF!/'4. NPV'!QLZ$8,0)</f>
        <v>0</v>
      </c>
      <c r="QLZ54" s="5">
        <f>-IFERROR('4. NPV'!#REF!/'4. NPV'!QMA$8,0)</f>
        <v>0</v>
      </c>
      <c r="QMA54" s="5">
        <f>-IFERROR('4. NPV'!#REF!/'4. NPV'!QMB$8,0)</f>
        <v>0</v>
      </c>
      <c r="QMB54" s="5">
        <f>-IFERROR('4. NPV'!#REF!/'4. NPV'!QMC$8,0)</f>
        <v>0</v>
      </c>
      <c r="QMC54" s="5">
        <f>-IFERROR('4. NPV'!#REF!/'4. NPV'!QMD$8,0)</f>
        <v>0</v>
      </c>
      <c r="QMD54" s="5">
        <f>-IFERROR('4. NPV'!#REF!/'4. NPV'!QME$8,0)</f>
        <v>0</v>
      </c>
      <c r="QME54" s="5">
        <f>-IFERROR('4. NPV'!#REF!/'4. NPV'!QMF$8,0)</f>
        <v>0</v>
      </c>
      <c r="QMF54" s="5">
        <f>-IFERROR('4. NPV'!#REF!/'4. NPV'!QMG$8,0)</f>
        <v>0</v>
      </c>
      <c r="QMG54" s="5">
        <f>-IFERROR('4. NPV'!#REF!/'4. NPV'!QMH$8,0)</f>
        <v>0</v>
      </c>
      <c r="QMH54" s="5">
        <f>-IFERROR('4. NPV'!#REF!/'4. NPV'!QMI$8,0)</f>
        <v>0</v>
      </c>
      <c r="QMI54" s="5">
        <f>-IFERROR('4. NPV'!#REF!/'4. NPV'!QMJ$8,0)</f>
        <v>0</v>
      </c>
      <c r="QMJ54" s="5">
        <f>-IFERROR('4. NPV'!#REF!/'4. NPV'!QMK$8,0)</f>
        <v>0</v>
      </c>
      <c r="QMK54" s="5">
        <f>-IFERROR('4. NPV'!#REF!/'4. NPV'!QML$8,0)</f>
        <v>0</v>
      </c>
      <c r="QML54" s="5">
        <f>-IFERROR('4. NPV'!#REF!/'4. NPV'!QMM$8,0)</f>
        <v>0</v>
      </c>
      <c r="QMM54" s="5">
        <f>-IFERROR('4. NPV'!#REF!/'4. NPV'!QMN$8,0)</f>
        <v>0</v>
      </c>
      <c r="QMN54" s="5">
        <f>-IFERROR('4. NPV'!#REF!/'4. NPV'!QMO$8,0)</f>
        <v>0</v>
      </c>
      <c r="QMO54" s="5">
        <f>-IFERROR('4. NPV'!#REF!/'4. NPV'!QMP$8,0)</f>
        <v>0</v>
      </c>
      <c r="QMP54" s="5">
        <f>-IFERROR('4. NPV'!#REF!/'4. NPV'!QMQ$8,0)</f>
        <v>0</v>
      </c>
      <c r="QMQ54" s="5">
        <f>-IFERROR('4. NPV'!#REF!/'4. NPV'!QMR$8,0)</f>
        <v>0</v>
      </c>
      <c r="QMR54" s="5">
        <f>-IFERROR('4. NPV'!#REF!/'4. NPV'!QMS$8,0)</f>
        <v>0</v>
      </c>
      <c r="QMS54" s="5">
        <f>-IFERROR('4. NPV'!#REF!/'4. NPV'!QMT$8,0)</f>
        <v>0</v>
      </c>
      <c r="QMT54" s="5">
        <f>-IFERROR('4. NPV'!#REF!/'4. NPV'!QMU$8,0)</f>
        <v>0</v>
      </c>
      <c r="QMU54" s="5">
        <f>-IFERROR('4. NPV'!#REF!/'4. NPV'!QMV$8,0)</f>
        <v>0</v>
      </c>
      <c r="QMV54" s="5">
        <f>-IFERROR('4. NPV'!#REF!/'4. NPV'!QMW$8,0)</f>
        <v>0</v>
      </c>
      <c r="QMW54" s="5">
        <f>-IFERROR('4. NPV'!#REF!/'4. NPV'!QMX$8,0)</f>
        <v>0</v>
      </c>
      <c r="QMX54" s="5">
        <f>-IFERROR('4. NPV'!#REF!/'4. NPV'!QMY$8,0)</f>
        <v>0</v>
      </c>
      <c r="QMY54" s="5">
        <f>-IFERROR('4. NPV'!#REF!/'4. NPV'!QMZ$8,0)</f>
        <v>0</v>
      </c>
      <c r="QMZ54" s="5">
        <f>-IFERROR('4. NPV'!#REF!/'4. NPV'!QNA$8,0)</f>
        <v>0</v>
      </c>
      <c r="QNA54" s="5">
        <f>-IFERROR('4. NPV'!#REF!/'4. NPV'!QNB$8,0)</f>
        <v>0</v>
      </c>
      <c r="QNB54" s="5">
        <f>-IFERROR('4. NPV'!#REF!/'4. NPV'!QNC$8,0)</f>
        <v>0</v>
      </c>
      <c r="QNC54" s="5">
        <f>-IFERROR('4. NPV'!#REF!/'4. NPV'!QND$8,0)</f>
        <v>0</v>
      </c>
      <c r="QND54" s="5">
        <f>-IFERROR('4. NPV'!#REF!/'4. NPV'!QNE$8,0)</f>
        <v>0</v>
      </c>
      <c r="QNE54" s="5">
        <f>-IFERROR('4. NPV'!#REF!/'4. NPV'!QNF$8,0)</f>
        <v>0</v>
      </c>
      <c r="QNF54" s="5">
        <f>-IFERROR('4. NPV'!#REF!/'4. NPV'!QNG$8,0)</f>
        <v>0</v>
      </c>
      <c r="QNG54" s="5">
        <f>-IFERROR('4. NPV'!#REF!/'4. NPV'!QNH$8,0)</f>
        <v>0</v>
      </c>
      <c r="QNH54" s="5">
        <f>-IFERROR('4. NPV'!#REF!/'4. NPV'!QNI$8,0)</f>
        <v>0</v>
      </c>
      <c r="QNI54" s="5">
        <f>-IFERROR('4. NPV'!#REF!/'4. NPV'!QNJ$8,0)</f>
        <v>0</v>
      </c>
      <c r="QNJ54" s="5">
        <f>-IFERROR('4. NPV'!#REF!/'4. NPV'!QNK$8,0)</f>
        <v>0</v>
      </c>
      <c r="QNK54" s="5">
        <f>-IFERROR('4. NPV'!#REF!/'4. NPV'!QNL$8,0)</f>
        <v>0</v>
      </c>
      <c r="QNL54" s="5">
        <f>-IFERROR('4. NPV'!#REF!/'4. NPV'!QNM$8,0)</f>
        <v>0</v>
      </c>
      <c r="QNM54" s="5">
        <f>-IFERROR('4. NPV'!#REF!/'4. NPV'!QNN$8,0)</f>
        <v>0</v>
      </c>
      <c r="QNN54" s="5">
        <f>-IFERROR('4. NPV'!#REF!/'4. NPV'!QNO$8,0)</f>
        <v>0</v>
      </c>
      <c r="QNO54" s="5">
        <f>-IFERROR('4. NPV'!#REF!/'4. NPV'!QNP$8,0)</f>
        <v>0</v>
      </c>
      <c r="QNP54" s="5">
        <f>-IFERROR('4. NPV'!#REF!/'4. NPV'!QNQ$8,0)</f>
        <v>0</v>
      </c>
      <c r="QNQ54" s="5">
        <f>-IFERROR('4. NPV'!#REF!/'4. NPV'!QNR$8,0)</f>
        <v>0</v>
      </c>
      <c r="QNR54" s="5">
        <f>-IFERROR('4. NPV'!#REF!/'4. NPV'!QNS$8,0)</f>
        <v>0</v>
      </c>
      <c r="QNS54" s="5">
        <f>-IFERROR('4. NPV'!#REF!/'4. NPV'!QNT$8,0)</f>
        <v>0</v>
      </c>
      <c r="QNT54" s="5">
        <f>-IFERROR('4. NPV'!#REF!/'4. NPV'!QNU$8,0)</f>
        <v>0</v>
      </c>
      <c r="QNU54" s="5">
        <f>-IFERROR('4. NPV'!#REF!/'4. NPV'!QNV$8,0)</f>
        <v>0</v>
      </c>
      <c r="QNV54" s="5">
        <f>-IFERROR('4. NPV'!#REF!/'4. NPV'!QNW$8,0)</f>
        <v>0</v>
      </c>
      <c r="QNW54" s="5">
        <f>-IFERROR('4. NPV'!#REF!/'4. NPV'!QNX$8,0)</f>
        <v>0</v>
      </c>
      <c r="QNX54" s="5">
        <f>-IFERROR('4. NPV'!#REF!/'4. NPV'!QNY$8,0)</f>
        <v>0</v>
      </c>
      <c r="QNY54" s="5">
        <f>-IFERROR('4. NPV'!#REF!/'4. NPV'!QNZ$8,0)</f>
        <v>0</v>
      </c>
      <c r="QNZ54" s="5">
        <f>-IFERROR('4. NPV'!#REF!/'4. NPV'!QOA$8,0)</f>
        <v>0</v>
      </c>
      <c r="QOA54" s="5">
        <f>-IFERROR('4. NPV'!#REF!/'4. NPV'!QOB$8,0)</f>
        <v>0</v>
      </c>
      <c r="QOB54" s="5">
        <f>-IFERROR('4. NPV'!#REF!/'4. NPV'!QOC$8,0)</f>
        <v>0</v>
      </c>
      <c r="QOC54" s="5">
        <f>-IFERROR('4. NPV'!#REF!/'4. NPV'!QOD$8,0)</f>
        <v>0</v>
      </c>
      <c r="QOD54" s="5">
        <f>-IFERROR('4. NPV'!#REF!/'4. NPV'!QOE$8,0)</f>
        <v>0</v>
      </c>
      <c r="QOE54" s="5">
        <f>-IFERROR('4. NPV'!#REF!/'4. NPV'!QOF$8,0)</f>
        <v>0</v>
      </c>
      <c r="QOF54" s="5">
        <f>-IFERROR('4. NPV'!#REF!/'4. NPV'!QOG$8,0)</f>
        <v>0</v>
      </c>
      <c r="QOG54" s="5">
        <f>-IFERROR('4. NPV'!#REF!/'4. NPV'!QOH$8,0)</f>
        <v>0</v>
      </c>
      <c r="QOH54" s="5">
        <f>-IFERROR('4. NPV'!#REF!/'4. NPV'!QOI$8,0)</f>
        <v>0</v>
      </c>
      <c r="QOI54" s="5">
        <f>-IFERROR('4. NPV'!#REF!/'4. NPV'!QOJ$8,0)</f>
        <v>0</v>
      </c>
      <c r="QOJ54" s="5">
        <f>-IFERROR('4. NPV'!#REF!/'4. NPV'!QOK$8,0)</f>
        <v>0</v>
      </c>
      <c r="QOK54" s="5">
        <f>-IFERROR('4. NPV'!#REF!/'4. NPV'!QOL$8,0)</f>
        <v>0</v>
      </c>
      <c r="QOL54" s="5">
        <f>-IFERROR('4. NPV'!#REF!/'4. NPV'!QOM$8,0)</f>
        <v>0</v>
      </c>
      <c r="QOM54" s="5">
        <f>-IFERROR('4. NPV'!#REF!/'4. NPV'!QON$8,0)</f>
        <v>0</v>
      </c>
      <c r="QON54" s="5">
        <f>-IFERROR('4. NPV'!#REF!/'4. NPV'!QOO$8,0)</f>
        <v>0</v>
      </c>
      <c r="QOO54" s="5">
        <f>-IFERROR('4. NPV'!#REF!/'4. NPV'!QOP$8,0)</f>
        <v>0</v>
      </c>
      <c r="QOP54" s="5">
        <f>-IFERROR('4. NPV'!#REF!/'4. NPV'!QOQ$8,0)</f>
        <v>0</v>
      </c>
      <c r="QOQ54" s="5">
        <f>-IFERROR('4. NPV'!#REF!/'4. NPV'!QOR$8,0)</f>
        <v>0</v>
      </c>
      <c r="QOR54" s="5">
        <f>-IFERROR('4. NPV'!#REF!/'4. NPV'!QOS$8,0)</f>
        <v>0</v>
      </c>
      <c r="QOS54" s="5">
        <f>-IFERROR('4. NPV'!#REF!/'4. NPV'!QOT$8,0)</f>
        <v>0</v>
      </c>
      <c r="QOT54" s="5">
        <f>-IFERROR('4. NPV'!#REF!/'4. NPV'!QOU$8,0)</f>
        <v>0</v>
      </c>
      <c r="QOU54" s="5">
        <f>-IFERROR('4. NPV'!#REF!/'4. NPV'!QOV$8,0)</f>
        <v>0</v>
      </c>
      <c r="QOV54" s="5">
        <f>-IFERROR('4. NPV'!#REF!/'4. NPV'!QOW$8,0)</f>
        <v>0</v>
      </c>
      <c r="QOW54" s="5">
        <f>-IFERROR('4. NPV'!#REF!/'4. NPV'!QOX$8,0)</f>
        <v>0</v>
      </c>
      <c r="QOX54" s="5">
        <f>-IFERROR('4. NPV'!#REF!/'4. NPV'!QOY$8,0)</f>
        <v>0</v>
      </c>
      <c r="QOY54" s="5">
        <f>-IFERROR('4. NPV'!#REF!/'4. NPV'!QOZ$8,0)</f>
        <v>0</v>
      </c>
      <c r="QOZ54" s="5">
        <f>-IFERROR('4. NPV'!#REF!/'4. NPV'!QPA$8,0)</f>
        <v>0</v>
      </c>
      <c r="QPA54" s="5">
        <f>-IFERROR('4. NPV'!#REF!/'4. NPV'!QPB$8,0)</f>
        <v>0</v>
      </c>
      <c r="QPB54" s="5">
        <f>-IFERROR('4. NPV'!#REF!/'4. NPV'!QPC$8,0)</f>
        <v>0</v>
      </c>
      <c r="QPC54" s="5">
        <f>-IFERROR('4. NPV'!#REF!/'4. NPV'!QPD$8,0)</f>
        <v>0</v>
      </c>
      <c r="QPD54" s="5">
        <f>-IFERROR('4. NPV'!#REF!/'4. NPV'!QPE$8,0)</f>
        <v>0</v>
      </c>
      <c r="QPE54" s="5">
        <f>-IFERROR('4. NPV'!#REF!/'4. NPV'!QPF$8,0)</f>
        <v>0</v>
      </c>
      <c r="QPF54" s="5">
        <f>-IFERROR('4. NPV'!#REF!/'4. NPV'!QPG$8,0)</f>
        <v>0</v>
      </c>
      <c r="QPG54" s="5">
        <f>-IFERROR('4. NPV'!#REF!/'4. NPV'!QPH$8,0)</f>
        <v>0</v>
      </c>
      <c r="QPH54" s="5">
        <f>-IFERROR('4. NPV'!#REF!/'4. NPV'!QPI$8,0)</f>
        <v>0</v>
      </c>
      <c r="QPI54" s="5">
        <f>-IFERROR('4. NPV'!#REF!/'4. NPV'!QPJ$8,0)</f>
        <v>0</v>
      </c>
      <c r="QPJ54" s="5">
        <f>-IFERROR('4. NPV'!#REF!/'4. NPV'!QPK$8,0)</f>
        <v>0</v>
      </c>
      <c r="QPK54" s="5">
        <f>-IFERROR('4. NPV'!#REF!/'4. NPV'!QPL$8,0)</f>
        <v>0</v>
      </c>
      <c r="QPL54" s="5">
        <f>-IFERROR('4. NPV'!#REF!/'4. NPV'!QPM$8,0)</f>
        <v>0</v>
      </c>
      <c r="QPM54" s="5">
        <f>-IFERROR('4. NPV'!#REF!/'4. NPV'!QPN$8,0)</f>
        <v>0</v>
      </c>
      <c r="QPN54" s="5">
        <f>-IFERROR('4. NPV'!#REF!/'4. NPV'!QPO$8,0)</f>
        <v>0</v>
      </c>
      <c r="QPO54" s="5">
        <f>-IFERROR('4. NPV'!#REF!/'4. NPV'!QPP$8,0)</f>
        <v>0</v>
      </c>
      <c r="QPP54" s="5">
        <f>-IFERROR('4. NPV'!#REF!/'4. NPV'!QPQ$8,0)</f>
        <v>0</v>
      </c>
      <c r="QPQ54" s="5">
        <f>-IFERROR('4. NPV'!#REF!/'4. NPV'!QPR$8,0)</f>
        <v>0</v>
      </c>
      <c r="QPR54" s="5">
        <f>-IFERROR('4. NPV'!#REF!/'4. NPV'!QPS$8,0)</f>
        <v>0</v>
      </c>
      <c r="QPS54" s="5">
        <f>-IFERROR('4. NPV'!#REF!/'4. NPV'!QPT$8,0)</f>
        <v>0</v>
      </c>
      <c r="QPT54" s="5">
        <f>-IFERROR('4. NPV'!#REF!/'4. NPV'!QPU$8,0)</f>
        <v>0</v>
      </c>
      <c r="QPU54" s="5">
        <f>-IFERROR('4. NPV'!#REF!/'4. NPV'!QPV$8,0)</f>
        <v>0</v>
      </c>
      <c r="QPV54" s="5">
        <f>-IFERROR('4. NPV'!#REF!/'4. NPV'!QPW$8,0)</f>
        <v>0</v>
      </c>
      <c r="QPW54" s="5">
        <f>-IFERROR('4. NPV'!#REF!/'4. NPV'!QPX$8,0)</f>
        <v>0</v>
      </c>
      <c r="QPX54" s="5">
        <f>-IFERROR('4. NPV'!#REF!/'4. NPV'!QPY$8,0)</f>
        <v>0</v>
      </c>
      <c r="QPY54" s="5">
        <f>-IFERROR('4. NPV'!#REF!/'4. NPV'!QPZ$8,0)</f>
        <v>0</v>
      </c>
      <c r="QPZ54" s="5">
        <f>-IFERROR('4. NPV'!#REF!/'4. NPV'!QQA$8,0)</f>
        <v>0</v>
      </c>
      <c r="QQA54" s="5">
        <f>-IFERROR('4. NPV'!#REF!/'4. NPV'!QQB$8,0)</f>
        <v>0</v>
      </c>
      <c r="QQB54" s="5">
        <f>-IFERROR('4. NPV'!#REF!/'4. NPV'!QQC$8,0)</f>
        <v>0</v>
      </c>
      <c r="QQC54" s="5">
        <f>-IFERROR('4. NPV'!#REF!/'4. NPV'!QQD$8,0)</f>
        <v>0</v>
      </c>
      <c r="QQD54" s="5">
        <f>-IFERROR('4. NPV'!#REF!/'4. NPV'!QQE$8,0)</f>
        <v>0</v>
      </c>
      <c r="QQE54" s="5">
        <f>-IFERROR('4. NPV'!#REF!/'4. NPV'!QQF$8,0)</f>
        <v>0</v>
      </c>
      <c r="QQF54" s="5">
        <f>-IFERROR('4. NPV'!#REF!/'4. NPV'!QQG$8,0)</f>
        <v>0</v>
      </c>
      <c r="QQG54" s="5">
        <f>-IFERROR('4. NPV'!#REF!/'4. NPV'!QQH$8,0)</f>
        <v>0</v>
      </c>
      <c r="QQH54" s="5">
        <f>-IFERROR('4. NPV'!#REF!/'4. NPV'!QQI$8,0)</f>
        <v>0</v>
      </c>
      <c r="QQI54" s="5">
        <f>-IFERROR('4. NPV'!#REF!/'4. NPV'!QQJ$8,0)</f>
        <v>0</v>
      </c>
      <c r="QQJ54" s="5">
        <f>-IFERROR('4. NPV'!#REF!/'4. NPV'!QQK$8,0)</f>
        <v>0</v>
      </c>
      <c r="QQK54" s="5">
        <f>-IFERROR('4. NPV'!#REF!/'4. NPV'!QQL$8,0)</f>
        <v>0</v>
      </c>
      <c r="QQL54" s="5">
        <f>-IFERROR('4. NPV'!#REF!/'4. NPV'!QQM$8,0)</f>
        <v>0</v>
      </c>
      <c r="QQM54" s="5">
        <f>-IFERROR('4. NPV'!#REF!/'4. NPV'!QQN$8,0)</f>
        <v>0</v>
      </c>
      <c r="QQN54" s="5">
        <f>-IFERROR('4. NPV'!#REF!/'4. NPV'!QQO$8,0)</f>
        <v>0</v>
      </c>
      <c r="QQO54" s="5">
        <f>-IFERROR('4. NPV'!#REF!/'4. NPV'!QQP$8,0)</f>
        <v>0</v>
      </c>
      <c r="QQP54" s="5">
        <f>-IFERROR('4. NPV'!#REF!/'4. NPV'!QQQ$8,0)</f>
        <v>0</v>
      </c>
      <c r="QQQ54" s="5">
        <f>-IFERROR('4. NPV'!#REF!/'4. NPV'!QQR$8,0)</f>
        <v>0</v>
      </c>
      <c r="QQR54" s="5">
        <f>-IFERROR('4. NPV'!#REF!/'4. NPV'!QQS$8,0)</f>
        <v>0</v>
      </c>
      <c r="QQS54" s="5">
        <f>-IFERROR('4. NPV'!#REF!/'4. NPV'!QQT$8,0)</f>
        <v>0</v>
      </c>
      <c r="QQT54" s="5">
        <f>-IFERROR('4. NPV'!#REF!/'4. NPV'!QQU$8,0)</f>
        <v>0</v>
      </c>
      <c r="QQU54" s="5">
        <f>-IFERROR('4. NPV'!#REF!/'4. NPV'!QQV$8,0)</f>
        <v>0</v>
      </c>
      <c r="QQV54" s="5">
        <f>-IFERROR('4. NPV'!#REF!/'4. NPV'!QQW$8,0)</f>
        <v>0</v>
      </c>
      <c r="QQW54" s="5">
        <f>-IFERROR('4. NPV'!#REF!/'4. NPV'!QQX$8,0)</f>
        <v>0</v>
      </c>
      <c r="QQX54" s="5">
        <f>-IFERROR('4. NPV'!#REF!/'4. NPV'!QQY$8,0)</f>
        <v>0</v>
      </c>
      <c r="QQY54" s="5">
        <f>-IFERROR('4. NPV'!#REF!/'4. NPV'!QQZ$8,0)</f>
        <v>0</v>
      </c>
      <c r="QQZ54" s="5">
        <f>-IFERROR('4. NPV'!#REF!/'4. NPV'!QRA$8,0)</f>
        <v>0</v>
      </c>
      <c r="QRA54" s="5">
        <f>-IFERROR('4. NPV'!#REF!/'4. NPV'!QRB$8,0)</f>
        <v>0</v>
      </c>
      <c r="QRB54" s="5">
        <f>-IFERROR('4. NPV'!#REF!/'4. NPV'!QRC$8,0)</f>
        <v>0</v>
      </c>
      <c r="QRC54" s="5">
        <f>-IFERROR('4. NPV'!#REF!/'4. NPV'!QRD$8,0)</f>
        <v>0</v>
      </c>
      <c r="QRD54" s="5">
        <f>-IFERROR('4. NPV'!#REF!/'4. NPV'!QRE$8,0)</f>
        <v>0</v>
      </c>
      <c r="QRE54" s="5">
        <f>-IFERROR('4. NPV'!#REF!/'4. NPV'!QRF$8,0)</f>
        <v>0</v>
      </c>
      <c r="QRF54" s="5">
        <f>-IFERROR('4. NPV'!#REF!/'4. NPV'!QRG$8,0)</f>
        <v>0</v>
      </c>
      <c r="QRG54" s="5">
        <f>-IFERROR('4. NPV'!#REF!/'4. NPV'!QRH$8,0)</f>
        <v>0</v>
      </c>
      <c r="QRH54" s="5">
        <f>-IFERROR('4. NPV'!#REF!/'4. NPV'!QRI$8,0)</f>
        <v>0</v>
      </c>
      <c r="QRI54" s="5">
        <f>-IFERROR('4. NPV'!#REF!/'4. NPV'!QRJ$8,0)</f>
        <v>0</v>
      </c>
      <c r="QRJ54" s="5">
        <f>-IFERROR('4. NPV'!#REF!/'4. NPV'!QRK$8,0)</f>
        <v>0</v>
      </c>
      <c r="QRK54" s="5">
        <f>-IFERROR('4. NPV'!#REF!/'4. NPV'!QRL$8,0)</f>
        <v>0</v>
      </c>
      <c r="QRL54" s="5">
        <f>-IFERROR('4. NPV'!#REF!/'4. NPV'!QRM$8,0)</f>
        <v>0</v>
      </c>
      <c r="QRM54" s="5">
        <f>-IFERROR('4. NPV'!#REF!/'4. NPV'!QRN$8,0)</f>
        <v>0</v>
      </c>
      <c r="QRN54" s="5">
        <f>-IFERROR('4. NPV'!#REF!/'4. NPV'!QRO$8,0)</f>
        <v>0</v>
      </c>
      <c r="QRO54" s="5">
        <f>-IFERROR('4. NPV'!#REF!/'4. NPV'!QRP$8,0)</f>
        <v>0</v>
      </c>
      <c r="QRP54" s="5">
        <f>-IFERROR('4. NPV'!#REF!/'4. NPV'!QRQ$8,0)</f>
        <v>0</v>
      </c>
      <c r="QRQ54" s="5">
        <f>-IFERROR('4. NPV'!#REF!/'4. NPV'!QRR$8,0)</f>
        <v>0</v>
      </c>
      <c r="QRR54" s="5">
        <f>-IFERROR('4. NPV'!#REF!/'4. NPV'!QRS$8,0)</f>
        <v>0</v>
      </c>
      <c r="QRS54" s="5">
        <f>-IFERROR('4. NPV'!#REF!/'4. NPV'!QRT$8,0)</f>
        <v>0</v>
      </c>
      <c r="QRT54" s="5">
        <f>-IFERROR('4. NPV'!#REF!/'4. NPV'!QRU$8,0)</f>
        <v>0</v>
      </c>
      <c r="QRU54" s="5">
        <f>-IFERROR('4. NPV'!#REF!/'4. NPV'!QRV$8,0)</f>
        <v>0</v>
      </c>
      <c r="QRV54" s="5">
        <f>-IFERROR('4. NPV'!#REF!/'4. NPV'!QRW$8,0)</f>
        <v>0</v>
      </c>
      <c r="QRW54" s="5">
        <f>-IFERROR('4. NPV'!#REF!/'4. NPV'!QRX$8,0)</f>
        <v>0</v>
      </c>
      <c r="QRX54" s="5">
        <f>-IFERROR('4. NPV'!#REF!/'4. NPV'!QRY$8,0)</f>
        <v>0</v>
      </c>
      <c r="QRY54" s="5">
        <f>-IFERROR('4. NPV'!#REF!/'4. NPV'!QRZ$8,0)</f>
        <v>0</v>
      </c>
      <c r="QRZ54" s="5">
        <f>-IFERROR('4. NPV'!#REF!/'4. NPV'!QSA$8,0)</f>
        <v>0</v>
      </c>
      <c r="QSA54" s="5">
        <f>-IFERROR('4. NPV'!#REF!/'4. NPV'!QSB$8,0)</f>
        <v>0</v>
      </c>
      <c r="QSB54" s="5">
        <f>-IFERROR('4. NPV'!#REF!/'4. NPV'!QSC$8,0)</f>
        <v>0</v>
      </c>
      <c r="QSC54" s="5">
        <f>-IFERROR('4. NPV'!#REF!/'4. NPV'!QSD$8,0)</f>
        <v>0</v>
      </c>
      <c r="QSD54" s="5">
        <f>-IFERROR('4. NPV'!#REF!/'4. NPV'!QSE$8,0)</f>
        <v>0</v>
      </c>
      <c r="QSE54" s="5">
        <f>-IFERROR('4. NPV'!#REF!/'4. NPV'!QSF$8,0)</f>
        <v>0</v>
      </c>
      <c r="QSF54" s="5">
        <f>-IFERROR('4. NPV'!#REF!/'4. NPV'!QSG$8,0)</f>
        <v>0</v>
      </c>
      <c r="QSG54" s="5">
        <f>-IFERROR('4. NPV'!#REF!/'4. NPV'!QSH$8,0)</f>
        <v>0</v>
      </c>
      <c r="QSH54" s="5">
        <f>-IFERROR('4. NPV'!#REF!/'4. NPV'!QSI$8,0)</f>
        <v>0</v>
      </c>
      <c r="QSI54" s="5">
        <f>-IFERROR('4. NPV'!#REF!/'4. NPV'!QSJ$8,0)</f>
        <v>0</v>
      </c>
      <c r="QSJ54" s="5">
        <f>-IFERROR('4. NPV'!#REF!/'4. NPV'!QSK$8,0)</f>
        <v>0</v>
      </c>
      <c r="QSK54" s="5">
        <f>-IFERROR('4. NPV'!#REF!/'4. NPV'!QSL$8,0)</f>
        <v>0</v>
      </c>
      <c r="QSL54" s="5">
        <f>-IFERROR('4. NPV'!#REF!/'4. NPV'!QSM$8,0)</f>
        <v>0</v>
      </c>
      <c r="QSM54" s="5">
        <f>-IFERROR('4. NPV'!#REF!/'4. NPV'!QSN$8,0)</f>
        <v>0</v>
      </c>
      <c r="QSN54" s="5">
        <f>-IFERROR('4. NPV'!#REF!/'4. NPV'!QSO$8,0)</f>
        <v>0</v>
      </c>
      <c r="QSO54" s="5">
        <f>-IFERROR('4. NPV'!#REF!/'4. NPV'!QSP$8,0)</f>
        <v>0</v>
      </c>
      <c r="QSP54" s="5">
        <f>-IFERROR('4. NPV'!#REF!/'4. NPV'!QSQ$8,0)</f>
        <v>0</v>
      </c>
      <c r="QSQ54" s="5">
        <f>-IFERROR('4. NPV'!#REF!/'4. NPV'!QSR$8,0)</f>
        <v>0</v>
      </c>
      <c r="QSR54" s="5">
        <f>-IFERROR('4. NPV'!#REF!/'4. NPV'!QSS$8,0)</f>
        <v>0</v>
      </c>
      <c r="QSS54" s="5">
        <f>-IFERROR('4. NPV'!#REF!/'4. NPV'!QST$8,0)</f>
        <v>0</v>
      </c>
      <c r="QST54" s="5">
        <f>-IFERROR('4. NPV'!#REF!/'4. NPV'!QSU$8,0)</f>
        <v>0</v>
      </c>
      <c r="QSU54" s="5">
        <f>-IFERROR('4. NPV'!#REF!/'4. NPV'!QSV$8,0)</f>
        <v>0</v>
      </c>
      <c r="QSV54" s="5">
        <f>-IFERROR('4. NPV'!#REF!/'4. NPV'!QSW$8,0)</f>
        <v>0</v>
      </c>
      <c r="QSW54" s="5">
        <f>-IFERROR('4. NPV'!#REF!/'4. NPV'!QSX$8,0)</f>
        <v>0</v>
      </c>
      <c r="QSX54" s="5">
        <f>-IFERROR('4. NPV'!#REF!/'4. NPV'!QSY$8,0)</f>
        <v>0</v>
      </c>
      <c r="QSY54" s="5">
        <f>-IFERROR('4. NPV'!#REF!/'4. NPV'!QSZ$8,0)</f>
        <v>0</v>
      </c>
      <c r="QSZ54" s="5">
        <f>-IFERROR('4. NPV'!#REF!/'4. NPV'!QTA$8,0)</f>
        <v>0</v>
      </c>
      <c r="QTA54" s="5">
        <f>-IFERROR('4. NPV'!#REF!/'4. NPV'!QTB$8,0)</f>
        <v>0</v>
      </c>
      <c r="QTB54" s="5">
        <f>-IFERROR('4. NPV'!#REF!/'4. NPV'!QTC$8,0)</f>
        <v>0</v>
      </c>
      <c r="QTC54" s="5">
        <f>-IFERROR('4. NPV'!#REF!/'4. NPV'!QTD$8,0)</f>
        <v>0</v>
      </c>
      <c r="QTD54" s="5">
        <f>-IFERROR('4. NPV'!#REF!/'4. NPV'!QTE$8,0)</f>
        <v>0</v>
      </c>
      <c r="QTE54" s="5">
        <f>-IFERROR('4. NPV'!#REF!/'4. NPV'!QTF$8,0)</f>
        <v>0</v>
      </c>
      <c r="QTF54" s="5">
        <f>-IFERROR('4. NPV'!#REF!/'4. NPV'!QTG$8,0)</f>
        <v>0</v>
      </c>
      <c r="QTG54" s="5">
        <f>-IFERROR('4. NPV'!#REF!/'4. NPV'!QTH$8,0)</f>
        <v>0</v>
      </c>
      <c r="QTH54" s="5">
        <f>-IFERROR('4. NPV'!#REF!/'4. NPV'!QTI$8,0)</f>
        <v>0</v>
      </c>
      <c r="QTI54" s="5">
        <f>-IFERROR('4. NPV'!#REF!/'4. NPV'!QTJ$8,0)</f>
        <v>0</v>
      </c>
      <c r="QTJ54" s="5">
        <f>-IFERROR('4. NPV'!#REF!/'4. NPV'!QTK$8,0)</f>
        <v>0</v>
      </c>
      <c r="QTK54" s="5">
        <f>-IFERROR('4. NPV'!#REF!/'4. NPV'!QTL$8,0)</f>
        <v>0</v>
      </c>
      <c r="QTL54" s="5">
        <f>-IFERROR('4. NPV'!#REF!/'4. NPV'!QTM$8,0)</f>
        <v>0</v>
      </c>
      <c r="QTM54" s="5">
        <f>-IFERROR('4. NPV'!#REF!/'4. NPV'!QTN$8,0)</f>
        <v>0</v>
      </c>
      <c r="QTN54" s="5">
        <f>-IFERROR('4. NPV'!#REF!/'4. NPV'!QTO$8,0)</f>
        <v>0</v>
      </c>
      <c r="QTO54" s="5">
        <f>-IFERROR('4. NPV'!#REF!/'4. NPV'!QTP$8,0)</f>
        <v>0</v>
      </c>
      <c r="QTP54" s="5">
        <f>-IFERROR('4. NPV'!#REF!/'4. NPV'!QTQ$8,0)</f>
        <v>0</v>
      </c>
      <c r="QTQ54" s="5">
        <f>-IFERROR('4. NPV'!#REF!/'4. NPV'!QTR$8,0)</f>
        <v>0</v>
      </c>
      <c r="QTR54" s="5">
        <f>-IFERROR('4. NPV'!#REF!/'4. NPV'!QTS$8,0)</f>
        <v>0</v>
      </c>
      <c r="QTS54" s="5">
        <f>-IFERROR('4. NPV'!#REF!/'4. NPV'!QTT$8,0)</f>
        <v>0</v>
      </c>
      <c r="QTT54" s="5">
        <f>-IFERROR('4. NPV'!#REF!/'4. NPV'!QTU$8,0)</f>
        <v>0</v>
      </c>
      <c r="QTU54" s="5">
        <f>-IFERROR('4. NPV'!#REF!/'4. NPV'!QTV$8,0)</f>
        <v>0</v>
      </c>
      <c r="QTV54" s="5">
        <f>-IFERROR('4. NPV'!#REF!/'4. NPV'!QTW$8,0)</f>
        <v>0</v>
      </c>
      <c r="QTW54" s="5">
        <f>-IFERROR('4. NPV'!#REF!/'4. NPV'!QTX$8,0)</f>
        <v>0</v>
      </c>
      <c r="QTX54" s="5">
        <f>-IFERROR('4. NPV'!#REF!/'4. NPV'!QTY$8,0)</f>
        <v>0</v>
      </c>
      <c r="QTY54" s="5">
        <f>-IFERROR('4. NPV'!#REF!/'4. NPV'!QTZ$8,0)</f>
        <v>0</v>
      </c>
      <c r="QTZ54" s="5">
        <f>-IFERROR('4. NPV'!#REF!/'4. NPV'!QUA$8,0)</f>
        <v>0</v>
      </c>
      <c r="QUA54" s="5">
        <f>-IFERROR('4. NPV'!#REF!/'4. NPV'!QUB$8,0)</f>
        <v>0</v>
      </c>
      <c r="QUB54" s="5">
        <f>-IFERROR('4. NPV'!#REF!/'4. NPV'!QUC$8,0)</f>
        <v>0</v>
      </c>
      <c r="QUC54" s="5">
        <f>-IFERROR('4. NPV'!#REF!/'4. NPV'!QUD$8,0)</f>
        <v>0</v>
      </c>
      <c r="QUD54" s="5">
        <f>-IFERROR('4. NPV'!#REF!/'4. NPV'!QUE$8,0)</f>
        <v>0</v>
      </c>
      <c r="QUE54" s="5">
        <f>-IFERROR('4. NPV'!#REF!/'4. NPV'!QUF$8,0)</f>
        <v>0</v>
      </c>
      <c r="QUF54" s="5">
        <f>-IFERROR('4. NPV'!#REF!/'4. NPV'!QUG$8,0)</f>
        <v>0</v>
      </c>
      <c r="QUG54" s="5">
        <f>-IFERROR('4. NPV'!#REF!/'4. NPV'!QUH$8,0)</f>
        <v>0</v>
      </c>
      <c r="QUH54" s="5">
        <f>-IFERROR('4. NPV'!#REF!/'4. NPV'!QUI$8,0)</f>
        <v>0</v>
      </c>
      <c r="QUI54" s="5">
        <f>-IFERROR('4. NPV'!#REF!/'4. NPV'!QUJ$8,0)</f>
        <v>0</v>
      </c>
      <c r="QUJ54" s="5">
        <f>-IFERROR('4. NPV'!#REF!/'4. NPV'!QUK$8,0)</f>
        <v>0</v>
      </c>
      <c r="QUK54" s="5">
        <f>-IFERROR('4. NPV'!#REF!/'4. NPV'!QUL$8,0)</f>
        <v>0</v>
      </c>
      <c r="QUL54" s="5">
        <f>-IFERROR('4. NPV'!#REF!/'4. NPV'!QUM$8,0)</f>
        <v>0</v>
      </c>
      <c r="QUM54" s="5">
        <f>-IFERROR('4. NPV'!#REF!/'4. NPV'!QUN$8,0)</f>
        <v>0</v>
      </c>
      <c r="QUN54" s="5">
        <f>-IFERROR('4. NPV'!#REF!/'4. NPV'!QUO$8,0)</f>
        <v>0</v>
      </c>
      <c r="QUO54" s="5">
        <f>-IFERROR('4. NPV'!#REF!/'4. NPV'!QUP$8,0)</f>
        <v>0</v>
      </c>
      <c r="QUP54" s="5">
        <f>-IFERROR('4. NPV'!#REF!/'4. NPV'!QUQ$8,0)</f>
        <v>0</v>
      </c>
      <c r="QUQ54" s="5">
        <f>-IFERROR('4. NPV'!#REF!/'4. NPV'!QUR$8,0)</f>
        <v>0</v>
      </c>
      <c r="QUR54" s="5">
        <f>-IFERROR('4. NPV'!#REF!/'4. NPV'!QUS$8,0)</f>
        <v>0</v>
      </c>
      <c r="QUS54" s="5">
        <f>-IFERROR('4. NPV'!#REF!/'4. NPV'!QUT$8,0)</f>
        <v>0</v>
      </c>
      <c r="QUT54" s="5">
        <f>-IFERROR('4. NPV'!#REF!/'4. NPV'!QUU$8,0)</f>
        <v>0</v>
      </c>
      <c r="QUU54" s="5">
        <f>-IFERROR('4. NPV'!#REF!/'4. NPV'!QUV$8,0)</f>
        <v>0</v>
      </c>
      <c r="QUV54" s="5">
        <f>-IFERROR('4. NPV'!#REF!/'4. NPV'!QUW$8,0)</f>
        <v>0</v>
      </c>
      <c r="QUW54" s="5">
        <f>-IFERROR('4. NPV'!#REF!/'4. NPV'!QUX$8,0)</f>
        <v>0</v>
      </c>
      <c r="QUX54" s="5">
        <f>-IFERROR('4. NPV'!#REF!/'4. NPV'!QUY$8,0)</f>
        <v>0</v>
      </c>
      <c r="QUY54" s="5">
        <f>-IFERROR('4. NPV'!#REF!/'4. NPV'!QUZ$8,0)</f>
        <v>0</v>
      </c>
      <c r="QUZ54" s="5">
        <f>-IFERROR('4. NPV'!#REF!/'4. NPV'!QVA$8,0)</f>
        <v>0</v>
      </c>
      <c r="QVA54" s="5">
        <f>-IFERROR('4. NPV'!#REF!/'4. NPV'!QVB$8,0)</f>
        <v>0</v>
      </c>
      <c r="QVB54" s="5">
        <f>-IFERROR('4. NPV'!#REF!/'4. NPV'!QVC$8,0)</f>
        <v>0</v>
      </c>
      <c r="QVC54" s="5">
        <f>-IFERROR('4. NPV'!#REF!/'4. NPV'!QVD$8,0)</f>
        <v>0</v>
      </c>
      <c r="QVD54" s="5">
        <f>-IFERROR('4. NPV'!#REF!/'4. NPV'!QVE$8,0)</f>
        <v>0</v>
      </c>
      <c r="QVE54" s="5">
        <f>-IFERROR('4. NPV'!#REF!/'4. NPV'!QVF$8,0)</f>
        <v>0</v>
      </c>
      <c r="QVF54" s="5">
        <f>-IFERROR('4. NPV'!#REF!/'4. NPV'!QVG$8,0)</f>
        <v>0</v>
      </c>
      <c r="QVG54" s="5">
        <f>-IFERROR('4. NPV'!#REF!/'4. NPV'!QVH$8,0)</f>
        <v>0</v>
      </c>
      <c r="QVH54" s="5">
        <f>-IFERROR('4. NPV'!#REF!/'4. NPV'!QVI$8,0)</f>
        <v>0</v>
      </c>
      <c r="QVI54" s="5">
        <f>-IFERROR('4. NPV'!#REF!/'4. NPV'!QVJ$8,0)</f>
        <v>0</v>
      </c>
      <c r="QVJ54" s="5">
        <f>-IFERROR('4. NPV'!#REF!/'4. NPV'!QVK$8,0)</f>
        <v>0</v>
      </c>
      <c r="QVK54" s="5">
        <f>-IFERROR('4. NPV'!#REF!/'4. NPV'!QVL$8,0)</f>
        <v>0</v>
      </c>
      <c r="QVL54" s="5">
        <f>-IFERROR('4. NPV'!#REF!/'4. NPV'!QVM$8,0)</f>
        <v>0</v>
      </c>
      <c r="QVM54" s="5">
        <f>-IFERROR('4. NPV'!#REF!/'4. NPV'!QVN$8,0)</f>
        <v>0</v>
      </c>
      <c r="QVN54" s="5">
        <f>-IFERROR('4. NPV'!#REF!/'4. NPV'!QVO$8,0)</f>
        <v>0</v>
      </c>
      <c r="QVO54" s="5">
        <f>-IFERROR('4. NPV'!#REF!/'4. NPV'!QVP$8,0)</f>
        <v>0</v>
      </c>
      <c r="QVP54" s="5">
        <f>-IFERROR('4. NPV'!#REF!/'4. NPV'!QVQ$8,0)</f>
        <v>0</v>
      </c>
      <c r="QVQ54" s="5">
        <f>-IFERROR('4. NPV'!#REF!/'4. NPV'!QVR$8,0)</f>
        <v>0</v>
      </c>
      <c r="QVR54" s="5">
        <f>-IFERROR('4. NPV'!#REF!/'4. NPV'!QVS$8,0)</f>
        <v>0</v>
      </c>
      <c r="QVS54" s="5">
        <f>-IFERROR('4. NPV'!#REF!/'4. NPV'!QVT$8,0)</f>
        <v>0</v>
      </c>
      <c r="QVT54" s="5">
        <f>-IFERROR('4. NPV'!#REF!/'4. NPV'!QVU$8,0)</f>
        <v>0</v>
      </c>
      <c r="QVU54" s="5">
        <f>-IFERROR('4. NPV'!#REF!/'4. NPV'!QVV$8,0)</f>
        <v>0</v>
      </c>
      <c r="QVV54" s="5">
        <f>-IFERROR('4. NPV'!#REF!/'4. NPV'!QVW$8,0)</f>
        <v>0</v>
      </c>
      <c r="QVW54" s="5">
        <f>-IFERROR('4. NPV'!#REF!/'4. NPV'!QVX$8,0)</f>
        <v>0</v>
      </c>
      <c r="QVX54" s="5">
        <f>-IFERROR('4. NPV'!#REF!/'4. NPV'!QVY$8,0)</f>
        <v>0</v>
      </c>
      <c r="QVY54" s="5">
        <f>-IFERROR('4. NPV'!#REF!/'4. NPV'!QVZ$8,0)</f>
        <v>0</v>
      </c>
      <c r="QVZ54" s="5">
        <f>-IFERROR('4. NPV'!#REF!/'4. NPV'!QWA$8,0)</f>
        <v>0</v>
      </c>
      <c r="QWA54" s="5">
        <f>-IFERROR('4. NPV'!#REF!/'4. NPV'!QWB$8,0)</f>
        <v>0</v>
      </c>
      <c r="QWB54" s="5">
        <f>-IFERROR('4. NPV'!#REF!/'4. NPV'!QWC$8,0)</f>
        <v>0</v>
      </c>
      <c r="QWC54" s="5">
        <f>-IFERROR('4. NPV'!#REF!/'4. NPV'!QWD$8,0)</f>
        <v>0</v>
      </c>
      <c r="QWD54" s="5">
        <f>-IFERROR('4. NPV'!#REF!/'4. NPV'!QWE$8,0)</f>
        <v>0</v>
      </c>
      <c r="QWE54" s="5">
        <f>-IFERROR('4. NPV'!#REF!/'4. NPV'!QWF$8,0)</f>
        <v>0</v>
      </c>
      <c r="QWF54" s="5">
        <f>-IFERROR('4. NPV'!#REF!/'4. NPV'!QWG$8,0)</f>
        <v>0</v>
      </c>
      <c r="QWG54" s="5">
        <f>-IFERROR('4. NPV'!#REF!/'4. NPV'!QWH$8,0)</f>
        <v>0</v>
      </c>
      <c r="QWH54" s="5">
        <f>-IFERROR('4. NPV'!#REF!/'4. NPV'!QWI$8,0)</f>
        <v>0</v>
      </c>
      <c r="QWI54" s="5">
        <f>-IFERROR('4. NPV'!#REF!/'4. NPV'!QWJ$8,0)</f>
        <v>0</v>
      </c>
      <c r="QWJ54" s="5">
        <f>-IFERROR('4. NPV'!#REF!/'4. NPV'!QWK$8,0)</f>
        <v>0</v>
      </c>
      <c r="QWK54" s="5">
        <f>-IFERROR('4. NPV'!#REF!/'4. NPV'!QWL$8,0)</f>
        <v>0</v>
      </c>
      <c r="QWL54" s="5">
        <f>-IFERROR('4. NPV'!#REF!/'4. NPV'!QWM$8,0)</f>
        <v>0</v>
      </c>
      <c r="QWM54" s="5">
        <f>-IFERROR('4. NPV'!#REF!/'4. NPV'!QWN$8,0)</f>
        <v>0</v>
      </c>
      <c r="QWN54" s="5">
        <f>-IFERROR('4. NPV'!#REF!/'4. NPV'!QWO$8,0)</f>
        <v>0</v>
      </c>
      <c r="QWO54" s="5">
        <f>-IFERROR('4. NPV'!#REF!/'4. NPV'!QWP$8,0)</f>
        <v>0</v>
      </c>
      <c r="QWP54" s="5">
        <f>-IFERROR('4. NPV'!#REF!/'4. NPV'!QWQ$8,0)</f>
        <v>0</v>
      </c>
      <c r="QWQ54" s="5">
        <f>-IFERROR('4. NPV'!#REF!/'4. NPV'!QWR$8,0)</f>
        <v>0</v>
      </c>
      <c r="QWR54" s="5">
        <f>-IFERROR('4. NPV'!#REF!/'4. NPV'!QWS$8,0)</f>
        <v>0</v>
      </c>
      <c r="QWS54" s="5">
        <f>-IFERROR('4. NPV'!#REF!/'4. NPV'!QWT$8,0)</f>
        <v>0</v>
      </c>
      <c r="QWT54" s="5">
        <f>-IFERROR('4. NPV'!#REF!/'4. NPV'!QWU$8,0)</f>
        <v>0</v>
      </c>
      <c r="QWU54" s="5">
        <f>-IFERROR('4. NPV'!#REF!/'4. NPV'!QWV$8,0)</f>
        <v>0</v>
      </c>
      <c r="QWV54" s="5">
        <f>-IFERROR('4. NPV'!#REF!/'4. NPV'!QWW$8,0)</f>
        <v>0</v>
      </c>
      <c r="QWW54" s="5">
        <f>-IFERROR('4. NPV'!#REF!/'4. NPV'!QWX$8,0)</f>
        <v>0</v>
      </c>
      <c r="QWX54" s="5">
        <f>-IFERROR('4. NPV'!#REF!/'4. NPV'!QWY$8,0)</f>
        <v>0</v>
      </c>
      <c r="QWY54" s="5">
        <f>-IFERROR('4. NPV'!#REF!/'4. NPV'!QWZ$8,0)</f>
        <v>0</v>
      </c>
      <c r="QWZ54" s="5">
        <f>-IFERROR('4. NPV'!#REF!/'4. NPV'!QXA$8,0)</f>
        <v>0</v>
      </c>
      <c r="QXA54" s="5">
        <f>-IFERROR('4. NPV'!#REF!/'4. NPV'!QXB$8,0)</f>
        <v>0</v>
      </c>
      <c r="QXB54" s="5">
        <f>-IFERROR('4. NPV'!#REF!/'4. NPV'!QXC$8,0)</f>
        <v>0</v>
      </c>
      <c r="QXC54" s="5">
        <f>-IFERROR('4. NPV'!#REF!/'4. NPV'!QXD$8,0)</f>
        <v>0</v>
      </c>
      <c r="QXD54" s="5">
        <f>-IFERROR('4. NPV'!#REF!/'4. NPV'!QXE$8,0)</f>
        <v>0</v>
      </c>
      <c r="QXE54" s="5">
        <f>-IFERROR('4. NPV'!#REF!/'4. NPV'!QXF$8,0)</f>
        <v>0</v>
      </c>
      <c r="QXF54" s="5">
        <f>-IFERROR('4. NPV'!#REF!/'4. NPV'!QXG$8,0)</f>
        <v>0</v>
      </c>
      <c r="QXG54" s="5">
        <f>-IFERROR('4. NPV'!#REF!/'4. NPV'!QXH$8,0)</f>
        <v>0</v>
      </c>
      <c r="QXH54" s="5">
        <f>-IFERROR('4. NPV'!#REF!/'4. NPV'!QXI$8,0)</f>
        <v>0</v>
      </c>
      <c r="QXI54" s="5">
        <f>-IFERROR('4. NPV'!#REF!/'4. NPV'!QXJ$8,0)</f>
        <v>0</v>
      </c>
      <c r="QXJ54" s="5">
        <f>-IFERROR('4. NPV'!#REF!/'4. NPV'!QXK$8,0)</f>
        <v>0</v>
      </c>
      <c r="QXK54" s="5">
        <f>-IFERROR('4. NPV'!#REF!/'4. NPV'!QXL$8,0)</f>
        <v>0</v>
      </c>
      <c r="QXL54" s="5">
        <f>-IFERROR('4. NPV'!#REF!/'4. NPV'!QXM$8,0)</f>
        <v>0</v>
      </c>
      <c r="QXM54" s="5">
        <f>-IFERROR('4. NPV'!#REF!/'4. NPV'!QXN$8,0)</f>
        <v>0</v>
      </c>
      <c r="QXN54" s="5">
        <f>-IFERROR('4. NPV'!#REF!/'4. NPV'!QXO$8,0)</f>
        <v>0</v>
      </c>
      <c r="QXO54" s="5">
        <f>-IFERROR('4. NPV'!#REF!/'4. NPV'!QXP$8,0)</f>
        <v>0</v>
      </c>
      <c r="QXP54" s="5">
        <f>-IFERROR('4. NPV'!#REF!/'4. NPV'!QXQ$8,0)</f>
        <v>0</v>
      </c>
      <c r="QXQ54" s="5">
        <f>-IFERROR('4. NPV'!#REF!/'4. NPV'!QXR$8,0)</f>
        <v>0</v>
      </c>
      <c r="QXR54" s="5">
        <f>-IFERROR('4. NPV'!#REF!/'4. NPV'!QXS$8,0)</f>
        <v>0</v>
      </c>
      <c r="QXS54" s="5">
        <f>-IFERROR('4. NPV'!#REF!/'4. NPV'!QXT$8,0)</f>
        <v>0</v>
      </c>
      <c r="QXT54" s="5">
        <f>-IFERROR('4. NPV'!#REF!/'4. NPV'!QXU$8,0)</f>
        <v>0</v>
      </c>
      <c r="QXU54" s="5">
        <f>-IFERROR('4. NPV'!#REF!/'4. NPV'!QXV$8,0)</f>
        <v>0</v>
      </c>
      <c r="QXV54" s="5">
        <f>-IFERROR('4. NPV'!#REF!/'4. NPV'!QXW$8,0)</f>
        <v>0</v>
      </c>
      <c r="QXW54" s="5">
        <f>-IFERROR('4. NPV'!#REF!/'4. NPV'!QXX$8,0)</f>
        <v>0</v>
      </c>
      <c r="QXX54" s="5">
        <f>-IFERROR('4. NPV'!#REF!/'4. NPV'!QXY$8,0)</f>
        <v>0</v>
      </c>
      <c r="QXY54" s="5">
        <f>-IFERROR('4. NPV'!#REF!/'4. NPV'!QXZ$8,0)</f>
        <v>0</v>
      </c>
      <c r="QXZ54" s="5">
        <f>-IFERROR('4. NPV'!#REF!/'4. NPV'!QYA$8,0)</f>
        <v>0</v>
      </c>
      <c r="QYA54" s="5">
        <f>-IFERROR('4. NPV'!#REF!/'4. NPV'!QYB$8,0)</f>
        <v>0</v>
      </c>
      <c r="QYB54" s="5">
        <f>-IFERROR('4. NPV'!#REF!/'4. NPV'!QYC$8,0)</f>
        <v>0</v>
      </c>
      <c r="QYC54" s="5">
        <f>-IFERROR('4. NPV'!#REF!/'4. NPV'!QYD$8,0)</f>
        <v>0</v>
      </c>
      <c r="QYD54" s="5">
        <f>-IFERROR('4. NPV'!#REF!/'4. NPV'!QYE$8,0)</f>
        <v>0</v>
      </c>
      <c r="QYE54" s="5">
        <f>-IFERROR('4. NPV'!#REF!/'4. NPV'!QYF$8,0)</f>
        <v>0</v>
      </c>
      <c r="QYF54" s="5">
        <f>-IFERROR('4. NPV'!#REF!/'4. NPV'!QYG$8,0)</f>
        <v>0</v>
      </c>
      <c r="QYG54" s="5">
        <f>-IFERROR('4. NPV'!#REF!/'4. NPV'!QYH$8,0)</f>
        <v>0</v>
      </c>
      <c r="QYH54" s="5">
        <f>-IFERROR('4. NPV'!#REF!/'4. NPV'!QYI$8,0)</f>
        <v>0</v>
      </c>
      <c r="QYI54" s="5">
        <f>-IFERROR('4. NPV'!#REF!/'4. NPV'!QYJ$8,0)</f>
        <v>0</v>
      </c>
      <c r="QYJ54" s="5">
        <f>-IFERROR('4. NPV'!#REF!/'4. NPV'!QYK$8,0)</f>
        <v>0</v>
      </c>
      <c r="QYK54" s="5">
        <f>-IFERROR('4. NPV'!#REF!/'4. NPV'!QYL$8,0)</f>
        <v>0</v>
      </c>
      <c r="QYL54" s="5">
        <f>-IFERROR('4. NPV'!#REF!/'4. NPV'!QYM$8,0)</f>
        <v>0</v>
      </c>
      <c r="QYM54" s="5">
        <f>-IFERROR('4. NPV'!#REF!/'4. NPV'!QYN$8,0)</f>
        <v>0</v>
      </c>
      <c r="QYN54" s="5">
        <f>-IFERROR('4. NPV'!#REF!/'4. NPV'!QYO$8,0)</f>
        <v>0</v>
      </c>
      <c r="QYO54" s="5">
        <f>-IFERROR('4. NPV'!#REF!/'4. NPV'!QYP$8,0)</f>
        <v>0</v>
      </c>
      <c r="QYP54" s="5">
        <f>-IFERROR('4. NPV'!#REF!/'4. NPV'!QYQ$8,0)</f>
        <v>0</v>
      </c>
      <c r="QYQ54" s="5">
        <f>-IFERROR('4. NPV'!#REF!/'4. NPV'!QYR$8,0)</f>
        <v>0</v>
      </c>
      <c r="QYR54" s="5">
        <f>-IFERROR('4. NPV'!#REF!/'4. NPV'!QYS$8,0)</f>
        <v>0</v>
      </c>
      <c r="QYS54" s="5">
        <f>-IFERROR('4. NPV'!#REF!/'4. NPV'!QYT$8,0)</f>
        <v>0</v>
      </c>
      <c r="QYT54" s="5">
        <f>-IFERROR('4. NPV'!#REF!/'4. NPV'!QYU$8,0)</f>
        <v>0</v>
      </c>
      <c r="QYU54" s="5">
        <f>-IFERROR('4. NPV'!#REF!/'4. NPV'!QYV$8,0)</f>
        <v>0</v>
      </c>
      <c r="QYV54" s="5">
        <f>-IFERROR('4. NPV'!#REF!/'4. NPV'!QYW$8,0)</f>
        <v>0</v>
      </c>
      <c r="QYW54" s="5">
        <f>-IFERROR('4. NPV'!#REF!/'4. NPV'!QYX$8,0)</f>
        <v>0</v>
      </c>
      <c r="QYX54" s="5">
        <f>-IFERROR('4. NPV'!#REF!/'4. NPV'!QYY$8,0)</f>
        <v>0</v>
      </c>
      <c r="QYY54" s="5">
        <f>-IFERROR('4. NPV'!#REF!/'4. NPV'!QYZ$8,0)</f>
        <v>0</v>
      </c>
      <c r="QYZ54" s="5">
        <f>-IFERROR('4. NPV'!#REF!/'4. NPV'!QZA$8,0)</f>
        <v>0</v>
      </c>
      <c r="QZA54" s="5">
        <f>-IFERROR('4. NPV'!#REF!/'4. NPV'!QZB$8,0)</f>
        <v>0</v>
      </c>
      <c r="QZB54" s="5">
        <f>-IFERROR('4. NPV'!#REF!/'4. NPV'!QZC$8,0)</f>
        <v>0</v>
      </c>
      <c r="QZC54" s="5">
        <f>-IFERROR('4. NPV'!#REF!/'4. NPV'!QZD$8,0)</f>
        <v>0</v>
      </c>
      <c r="QZD54" s="5">
        <f>-IFERROR('4. NPV'!#REF!/'4. NPV'!QZE$8,0)</f>
        <v>0</v>
      </c>
      <c r="QZE54" s="5">
        <f>-IFERROR('4. NPV'!#REF!/'4. NPV'!QZF$8,0)</f>
        <v>0</v>
      </c>
      <c r="QZF54" s="5">
        <f>-IFERROR('4. NPV'!#REF!/'4. NPV'!QZG$8,0)</f>
        <v>0</v>
      </c>
      <c r="QZG54" s="5">
        <f>-IFERROR('4. NPV'!#REF!/'4. NPV'!QZH$8,0)</f>
        <v>0</v>
      </c>
      <c r="QZH54" s="5">
        <f>-IFERROR('4. NPV'!#REF!/'4. NPV'!QZI$8,0)</f>
        <v>0</v>
      </c>
      <c r="QZI54" s="5">
        <f>-IFERROR('4. NPV'!#REF!/'4. NPV'!QZJ$8,0)</f>
        <v>0</v>
      </c>
      <c r="QZJ54" s="5">
        <f>-IFERROR('4. NPV'!#REF!/'4. NPV'!QZK$8,0)</f>
        <v>0</v>
      </c>
      <c r="QZK54" s="5">
        <f>-IFERROR('4. NPV'!#REF!/'4. NPV'!QZL$8,0)</f>
        <v>0</v>
      </c>
      <c r="QZL54" s="5">
        <f>-IFERROR('4. NPV'!#REF!/'4. NPV'!QZM$8,0)</f>
        <v>0</v>
      </c>
      <c r="QZM54" s="5">
        <f>-IFERROR('4. NPV'!#REF!/'4. NPV'!QZN$8,0)</f>
        <v>0</v>
      </c>
      <c r="QZN54" s="5">
        <f>-IFERROR('4. NPV'!#REF!/'4. NPV'!QZO$8,0)</f>
        <v>0</v>
      </c>
      <c r="QZO54" s="5">
        <f>-IFERROR('4. NPV'!#REF!/'4. NPV'!QZP$8,0)</f>
        <v>0</v>
      </c>
      <c r="QZP54" s="5">
        <f>-IFERROR('4. NPV'!#REF!/'4. NPV'!QZQ$8,0)</f>
        <v>0</v>
      </c>
      <c r="QZQ54" s="5">
        <f>-IFERROR('4. NPV'!#REF!/'4. NPV'!QZR$8,0)</f>
        <v>0</v>
      </c>
      <c r="QZR54" s="5">
        <f>-IFERROR('4. NPV'!#REF!/'4. NPV'!QZS$8,0)</f>
        <v>0</v>
      </c>
      <c r="QZS54" s="5">
        <f>-IFERROR('4. NPV'!#REF!/'4. NPV'!QZT$8,0)</f>
        <v>0</v>
      </c>
      <c r="QZT54" s="5">
        <f>-IFERROR('4. NPV'!#REF!/'4. NPV'!QZU$8,0)</f>
        <v>0</v>
      </c>
      <c r="QZU54" s="5">
        <f>-IFERROR('4. NPV'!#REF!/'4. NPV'!QZV$8,0)</f>
        <v>0</v>
      </c>
      <c r="QZV54" s="5">
        <f>-IFERROR('4. NPV'!#REF!/'4. NPV'!QZW$8,0)</f>
        <v>0</v>
      </c>
      <c r="QZW54" s="5">
        <f>-IFERROR('4. NPV'!#REF!/'4. NPV'!QZX$8,0)</f>
        <v>0</v>
      </c>
      <c r="QZX54" s="5">
        <f>-IFERROR('4. NPV'!#REF!/'4. NPV'!QZY$8,0)</f>
        <v>0</v>
      </c>
      <c r="QZY54" s="5">
        <f>-IFERROR('4. NPV'!#REF!/'4. NPV'!QZZ$8,0)</f>
        <v>0</v>
      </c>
      <c r="QZZ54" s="5">
        <f>-IFERROR('4. NPV'!#REF!/'4. NPV'!RAA$8,0)</f>
        <v>0</v>
      </c>
      <c r="RAA54" s="5">
        <f>-IFERROR('4. NPV'!#REF!/'4. NPV'!RAB$8,0)</f>
        <v>0</v>
      </c>
      <c r="RAB54" s="5">
        <f>-IFERROR('4. NPV'!#REF!/'4. NPV'!RAC$8,0)</f>
        <v>0</v>
      </c>
      <c r="RAC54" s="5">
        <f>-IFERROR('4. NPV'!#REF!/'4. NPV'!RAD$8,0)</f>
        <v>0</v>
      </c>
      <c r="RAD54" s="5">
        <f>-IFERROR('4. NPV'!#REF!/'4. NPV'!RAE$8,0)</f>
        <v>0</v>
      </c>
      <c r="RAE54" s="5">
        <f>-IFERROR('4. NPV'!#REF!/'4. NPV'!RAF$8,0)</f>
        <v>0</v>
      </c>
      <c r="RAF54" s="5">
        <f>-IFERROR('4. NPV'!#REF!/'4. NPV'!RAG$8,0)</f>
        <v>0</v>
      </c>
      <c r="RAG54" s="5">
        <f>-IFERROR('4. NPV'!#REF!/'4. NPV'!RAH$8,0)</f>
        <v>0</v>
      </c>
      <c r="RAH54" s="5">
        <f>-IFERROR('4. NPV'!#REF!/'4. NPV'!RAI$8,0)</f>
        <v>0</v>
      </c>
      <c r="RAI54" s="5">
        <f>-IFERROR('4. NPV'!#REF!/'4. NPV'!RAJ$8,0)</f>
        <v>0</v>
      </c>
      <c r="RAJ54" s="5">
        <f>-IFERROR('4. NPV'!#REF!/'4. NPV'!RAK$8,0)</f>
        <v>0</v>
      </c>
      <c r="RAK54" s="5">
        <f>-IFERROR('4. NPV'!#REF!/'4. NPV'!RAL$8,0)</f>
        <v>0</v>
      </c>
      <c r="RAL54" s="5">
        <f>-IFERROR('4. NPV'!#REF!/'4. NPV'!RAM$8,0)</f>
        <v>0</v>
      </c>
      <c r="RAM54" s="5">
        <f>-IFERROR('4. NPV'!#REF!/'4. NPV'!RAN$8,0)</f>
        <v>0</v>
      </c>
      <c r="RAN54" s="5">
        <f>-IFERROR('4. NPV'!#REF!/'4. NPV'!RAO$8,0)</f>
        <v>0</v>
      </c>
      <c r="RAO54" s="5">
        <f>-IFERROR('4. NPV'!#REF!/'4. NPV'!RAP$8,0)</f>
        <v>0</v>
      </c>
      <c r="RAP54" s="5">
        <f>-IFERROR('4. NPV'!#REF!/'4. NPV'!RAQ$8,0)</f>
        <v>0</v>
      </c>
      <c r="RAQ54" s="5">
        <f>-IFERROR('4. NPV'!#REF!/'4. NPV'!RAR$8,0)</f>
        <v>0</v>
      </c>
      <c r="RAR54" s="5">
        <f>-IFERROR('4. NPV'!#REF!/'4. NPV'!RAS$8,0)</f>
        <v>0</v>
      </c>
      <c r="RAS54" s="5">
        <f>-IFERROR('4. NPV'!#REF!/'4. NPV'!RAT$8,0)</f>
        <v>0</v>
      </c>
      <c r="RAT54" s="5">
        <f>-IFERROR('4. NPV'!#REF!/'4. NPV'!RAU$8,0)</f>
        <v>0</v>
      </c>
      <c r="RAU54" s="5">
        <f>-IFERROR('4. NPV'!#REF!/'4. NPV'!RAV$8,0)</f>
        <v>0</v>
      </c>
      <c r="RAV54" s="5">
        <f>-IFERROR('4. NPV'!#REF!/'4. NPV'!RAW$8,0)</f>
        <v>0</v>
      </c>
      <c r="RAW54" s="5">
        <f>-IFERROR('4. NPV'!#REF!/'4. NPV'!RAX$8,0)</f>
        <v>0</v>
      </c>
      <c r="RAX54" s="5">
        <f>-IFERROR('4. NPV'!#REF!/'4. NPV'!RAY$8,0)</f>
        <v>0</v>
      </c>
      <c r="RAY54" s="5">
        <f>-IFERROR('4. NPV'!#REF!/'4. NPV'!RAZ$8,0)</f>
        <v>0</v>
      </c>
      <c r="RAZ54" s="5">
        <f>-IFERROR('4. NPV'!#REF!/'4. NPV'!RBA$8,0)</f>
        <v>0</v>
      </c>
      <c r="RBA54" s="5">
        <f>-IFERROR('4. NPV'!#REF!/'4. NPV'!RBB$8,0)</f>
        <v>0</v>
      </c>
      <c r="RBB54" s="5">
        <f>-IFERROR('4. NPV'!#REF!/'4. NPV'!RBC$8,0)</f>
        <v>0</v>
      </c>
      <c r="RBC54" s="5">
        <f>-IFERROR('4. NPV'!#REF!/'4. NPV'!RBD$8,0)</f>
        <v>0</v>
      </c>
      <c r="RBD54" s="5">
        <f>-IFERROR('4. NPV'!#REF!/'4. NPV'!RBE$8,0)</f>
        <v>0</v>
      </c>
      <c r="RBE54" s="5">
        <f>-IFERROR('4. NPV'!#REF!/'4. NPV'!RBF$8,0)</f>
        <v>0</v>
      </c>
      <c r="RBF54" s="5">
        <f>-IFERROR('4. NPV'!#REF!/'4. NPV'!RBG$8,0)</f>
        <v>0</v>
      </c>
      <c r="RBG54" s="5">
        <f>-IFERROR('4. NPV'!#REF!/'4. NPV'!RBH$8,0)</f>
        <v>0</v>
      </c>
      <c r="RBH54" s="5">
        <f>-IFERROR('4. NPV'!#REF!/'4. NPV'!RBI$8,0)</f>
        <v>0</v>
      </c>
      <c r="RBI54" s="5">
        <f>-IFERROR('4. NPV'!#REF!/'4. NPV'!RBJ$8,0)</f>
        <v>0</v>
      </c>
      <c r="RBJ54" s="5">
        <f>-IFERROR('4. NPV'!#REF!/'4. NPV'!RBK$8,0)</f>
        <v>0</v>
      </c>
      <c r="RBK54" s="5">
        <f>-IFERROR('4. NPV'!#REF!/'4. NPV'!RBL$8,0)</f>
        <v>0</v>
      </c>
      <c r="RBL54" s="5">
        <f>-IFERROR('4. NPV'!#REF!/'4. NPV'!RBM$8,0)</f>
        <v>0</v>
      </c>
      <c r="RBM54" s="5">
        <f>-IFERROR('4. NPV'!#REF!/'4. NPV'!RBN$8,0)</f>
        <v>0</v>
      </c>
      <c r="RBN54" s="5">
        <f>-IFERROR('4. NPV'!#REF!/'4. NPV'!RBO$8,0)</f>
        <v>0</v>
      </c>
      <c r="RBO54" s="5">
        <f>-IFERROR('4. NPV'!#REF!/'4. NPV'!RBP$8,0)</f>
        <v>0</v>
      </c>
      <c r="RBP54" s="5">
        <f>-IFERROR('4. NPV'!#REF!/'4. NPV'!RBQ$8,0)</f>
        <v>0</v>
      </c>
      <c r="RBQ54" s="5">
        <f>-IFERROR('4. NPV'!#REF!/'4. NPV'!RBR$8,0)</f>
        <v>0</v>
      </c>
      <c r="RBR54" s="5">
        <f>-IFERROR('4. NPV'!#REF!/'4. NPV'!RBS$8,0)</f>
        <v>0</v>
      </c>
      <c r="RBS54" s="5">
        <f>-IFERROR('4. NPV'!#REF!/'4. NPV'!RBT$8,0)</f>
        <v>0</v>
      </c>
      <c r="RBT54" s="5">
        <f>-IFERROR('4. NPV'!#REF!/'4. NPV'!RBU$8,0)</f>
        <v>0</v>
      </c>
      <c r="RBU54" s="5">
        <f>-IFERROR('4. NPV'!#REF!/'4. NPV'!RBV$8,0)</f>
        <v>0</v>
      </c>
      <c r="RBV54" s="5">
        <f>-IFERROR('4. NPV'!#REF!/'4. NPV'!RBW$8,0)</f>
        <v>0</v>
      </c>
      <c r="RBW54" s="5">
        <f>-IFERROR('4. NPV'!#REF!/'4. NPV'!RBX$8,0)</f>
        <v>0</v>
      </c>
      <c r="RBX54" s="5">
        <f>-IFERROR('4. NPV'!#REF!/'4. NPV'!RBY$8,0)</f>
        <v>0</v>
      </c>
      <c r="RBY54" s="5">
        <f>-IFERROR('4. NPV'!#REF!/'4. NPV'!RBZ$8,0)</f>
        <v>0</v>
      </c>
      <c r="RBZ54" s="5">
        <f>-IFERROR('4. NPV'!#REF!/'4. NPV'!RCA$8,0)</f>
        <v>0</v>
      </c>
      <c r="RCA54" s="5">
        <f>-IFERROR('4. NPV'!#REF!/'4. NPV'!RCB$8,0)</f>
        <v>0</v>
      </c>
      <c r="RCB54" s="5">
        <f>-IFERROR('4. NPV'!#REF!/'4. NPV'!RCC$8,0)</f>
        <v>0</v>
      </c>
      <c r="RCC54" s="5">
        <f>-IFERROR('4. NPV'!#REF!/'4. NPV'!RCD$8,0)</f>
        <v>0</v>
      </c>
      <c r="RCD54" s="5">
        <f>-IFERROR('4. NPV'!#REF!/'4. NPV'!RCE$8,0)</f>
        <v>0</v>
      </c>
      <c r="RCE54" s="5">
        <f>-IFERROR('4. NPV'!#REF!/'4. NPV'!RCF$8,0)</f>
        <v>0</v>
      </c>
      <c r="RCF54" s="5">
        <f>-IFERROR('4. NPV'!#REF!/'4. NPV'!RCG$8,0)</f>
        <v>0</v>
      </c>
      <c r="RCG54" s="5">
        <f>-IFERROR('4. NPV'!#REF!/'4. NPV'!RCH$8,0)</f>
        <v>0</v>
      </c>
      <c r="RCH54" s="5">
        <f>-IFERROR('4. NPV'!#REF!/'4. NPV'!RCI$8,0)</f>
        <v>0</v>
      </c>
      <c r="RCI54" s="5">
        <f>-IFERROR('4. NPV'!#REF!/'4. NPV'!RCJ$8,0)</f>
        <v>0</v>
      </c>
      <c r="RCJ54" s="5">
        <f>-IFERROR('4. NPV'!#REF!/'4. NPV'!RCK$8,0)</f>
        <v>0</v>
      </c>
      <c r="RCK54" s="5">
        <f>-IFERROR('4. NPV'!#REF!/'4. NPV'!RCL$8,0)</f>
        <v>0</v>
      </c>
      <c r="RCL54" s="5">
        <f>-IFERROR('4. NPV'!#REF!/'4. NPV'!RCM$8,0)</f>
        <v>0</v>
      </c>
      <c r="RCM54" s="5">
        <f>-IFERROR('4. NPV'!#REF!/'4. NPV'!RCN$8,0)</f>
        <v>0</v>
      </c>
      <c r="RCN54" s="5">
        <f>-IFERROR('4. NPV'!#REF!/'4. NPV'!RCO$8,0)</f>
        <v>0</v>
      </c>
      <c r="RCO54" s="5">
        <f>-IFERROR('4. NPV'!#REF!/'4. NPV'!RCP$8,0)</f>
        <v>0</v>
      </c>
      <c r="RCP54" s="5">
        <f>-IFERROR('4. NPV'!#REF!/'4. NPV'!RCQ$8,0)</f>
        <v>0</v>
      </c>
      <c r="RCQ54" s="5">
        <f>-IFERROR('4. NPV'!#REF!/'4. NPV'!RCR$8,0)</f>
        <v>0</v>
      </c>
      <c r="RCR54" s="5">
        <f>-IFERROR('4. NPV'!#REF!/'4. NPV'!RCS$8,0)</f>
        <v>0</v>
      </c>
      <c r="RCS54" s="5">
        <f>-IFERROR('4. NPV'!#REF!/'4. NPV'!RCT$8,0)</f>
        <v>0</v>
      </c>
      <c r="RCT54" s="5">
        <f>-IFERROR('4. NPV'!#REF!/'4. NPV'!RCU$8,0)</f>
        <v>0</v>
      </c>
      <c r="RCU54" s="5">
        <f>-IFERROR('4. NPV'!#REF!/'4. NPV'!RCV$8,0)</f>
        <v>0</v>
      </c>
      <c r="RCV54" s="5">
        <f>-IFERROR('4. NPV'!#REF!/'4. NPV'!RCW$8,0)</f>
        <v>0</v>
      </c>
      <c r="RCW54" s="5">
        <f>-IFERROR('4. NPV'!#REF!/'4. NPV'!RCX$8,0)</f>
        <v>0</v>
      </c>
      <c r="RCX54" s="5">
        <f>-IFERROR('4. NPV'!#REF!/'4. NPV'!RCY$8,0)</f>
        <v>0</v>
      </c>
      <c r="RCY54" s="5">
        <f>-IFERROR('4. NPV'!#REF!/'4. NPV'!RCZ$8,0)</f>
        <v>0</v>
      </c>
      <c r="RCZ54" s="5">
        <f>-IFERROR('4. NPV'!#REF!/'4. NPV'!RDA$8,0)</f>
        <v>0</v>
      </c>
      <c r="RDA54" s="5">
        <f>-IFERROR('4. NPV'!#REF!/'4. NPV'!RDB$8,0)</f>
        <v>0</v>
      </c>
      <c r="RDB54" s="5">
        <f>-IFERROR('4. NPV'!#REF!/'4. NPV'!RDC$8,0)</f>
        <v>0</v>
      </c>
      <c r="RDC54" s="5">
        <f>-IFERROR('4. NPV'!#REF!/'4. NPV'!RDD$8,0)</f>
        <v>0</v>
      </c>
      <c r="RDD54" s="5">
        <f>-IFERROR('4. NPV'!#REF!/'4. NPV'!RDE$8,0)</f>
        <v>0</v>
      </c>
      <c r="RDE54" s="5">
        <f>-IFERROR('4. NPV'!#REF!/'4. NPV'!RDF$8,0)</f>
        <v>0</v>
      </c>
      <c r="RDF54" s="5">
        <f>-IFERROR('4. NPV'!#REF!/'4. NPV'!RDG$8,0)</f>
        <v>0</v>
      </c>
      <c r="RDG54" s="5">
        <f>-IFERROR('4. NPV'!#REF!/'4. NPV'!RDH$8,0)</f>
        <v>0</v>
      </c>
      <c r="RDH54" s="5">
        <f>-IFERROR('4. NPV'!#REF!/'4. NPV'!RDI$8,0)</f>
        <v>0</v>
      </c>
      <c r="RDI54" s="5">
        <f>-IFERROR('4. NPV'!#REF!/'4. NPV'!RDJ$8,0)</f>
        <v>0</v>
      </c>
      <c r="RDJ54" s="5">
        <f>-IFERROR('4. NPV'!#REF!/'4. NPV'!RDK$8,0)</f>
        <v>0</v>
      </c>
      <c r="RDK54" s="5">
        <f>-IFERROR('4. NPV'!#REF!/'4. NPV'!RDL$8,0)</f>
        <v>0</v>
      </c>
      <c r="RDL54" s="5">
        <f>-IFERROR('4. NPV'!#REF!/'4. NPV'!RDM$8,0)</f>
        <v>0</v>
      </c>
      <c r="RDM54" s="5">
        <f>-IFERROR('4. NPV'!#REF!/'4. NPV'!RDN$8,0)</f>
        <v>0</v>
      </c>
      <c r="RDN54" s="5">
        <f>-IFERROR('4. NPV'!#REF!/'4. NPV'!RDO$8,0)</f>
        <v>0</v>
      </c>
      <c r="RDO54" s="5">
        <f>-IFERROR('4. NPV'!#REF!/'4. NPV'!RDP$8,0)</f>
        <v>0</v>
      </c>
      <c r="RDP54" s="5">
        <f>-IFERROR('4. NPV'!#REF!/'4. NPV'!RDQ$8,0)</f>
        <v>0</v>
      </c>
      <c r="RDQ54" s="5">
        <f>-IFERROR('4. NPV'!#REF!/'4. NPV'!RDR$8,0)</f>
        <v>0</v>
      </c>
      <c r="RDR54" s="5">
        <f>-IFERROR('4. NPV'!#REF!/'4. NPV'!RDS$8,0)</f>
        <v>0</v>
      </c>
      <c r="RDS54" s="5">
        <f>-IFERROR('4. NPV'!#REF!/'4. NPV'!RDT$8,0)</f>
        <v>0</v>
      </c>
      <c r="RDT54" s="5">
        <f>-IFERROR('4. NPV'!#REF!/'4. NPV'!RDU$8,0)</f>
        <v>0</v>
      </c>
      <c r="RDU54" s="5">
        <f>-IFERROR('4. NPV'!#REF!/'4. NPV'!RDV$8,0)</f>
        <v>0</v>
      </c>
      <c r="RDV54" s="5">
        <f>-IFERROR('4. NPV'!#REF!/'4. NPV'!RDW$8,0)</f>
        <v>0</v>
      </c>
      <c r="RDW54" s="5">
        <f>-IFERROR('4. NPV'!#REF!/'4. NPV'!RDX$8,0)</f>
        <v>0</v>
      </c>
      <c r="RDX54" s="5">
        <f>-IFERROR('4. NPV'!#REF!/'4. NPV'!RDY$8,0)</f>
        <v>0</v>
      </c>
      <c r="RDY54" s="5">
        <f>-IFERROR('4. NPV'!#REF!/'4. NPV'!RDZ$8,0)</f>
        <v>0</v>
      </c>
      <c r="RDZ54" s="5">
        <f>-IFERROR('4. NPV'!#REF!/'4. NPV'!REA$8,0)</f>
        <v>0</v>
      </c>
      <c r="REA54" s="5">
        <f>-IFERROR('4. NPV'!#REF!/'4. NPV'!REB$8,0)</f>
        <v>0</v>
      </c>
      <c r="REB54" s="5">
        <f>-IFERROR('4. NPV'!#REF!/'4. NPV'!REC$8,0)</f>
        <v>0</v>
      </c>
      <c r="REC54" s="5">
        <f>-IFERROR('4. NPV'!#REF!/'4. NPV'!RED$8,0)</f>
        <v>0</v>
      </c>
      <c r="RED54" s="5">
        <f>-IFERROR('4. NPV'!#REF!/'4. NPV'!REE$8,0)</f>
        <v>0</v>
      </c>
      <c r="REE54" s="5">
        <f>-IFERROR('4. NPV'!#REF!/'4. NPV'!REF$8,0)</f>
        <v>0</v>
      </c>
      <c r="REF54" s="5">
        <f>-IFERROR('4. NPV'!#REF!/'4. NPV'!REG$8,0)</f>
        <v>0</v>
      </c>
      <c r="REG54" s="5">
        <f>-IFERROR('4. NPV'!#REF!/'4. NPV'!REH$8,0)</f>
        <v>0</v>
      </c>
      <c r="REH54" s="5">
        <f>-IFERROR('4. NPV'!#REF!/'4. NPV'!REI$8,0)</f>
        <v>0</v>
      </c>
      <c r="REI54" s="5">
        <f>-IFERROR('4. NPV'!#REF!/'4. NPV'!REJ$8,0)</f>
        <v>0</v>
      </c>
      <c r="REJ54" s="5">
        <f>-IFERROR('4. NPV'!#REF!/'4. NPV'!REK$8,0)</f>
        <v>0</v>
      </c>
      <c r="REK54" s="5">
        <f>-IFERROR('4. NPV'!#REF!/'4. NPV'!REL$8,0)</f>
        <v>0</v>
      </c>
      <c r="REL54" s="5">
        <f>-IFERROR('4. NPV'!#REF!/'4. NPV'!REM$8,0)</f>
        <v>0</v>
      </c>
      <c r="REM54" s="5">
        <f>-IFERROR('4. NPV'!#REF!/'4. NPV'!REN$8,0)</f>
        <v>0</v>
      </c>
      <c r="REN54" s="5">
        <f>-IFERROR('4. NPV'!#REF!/'4. NPV'!REO$8,0)</f>
        <v>0</v>
      </c>
      <c r="REO54" s="5">
        <f>-IFERROR('4. NPV'!#REF!/'4. NPV'!REP$8,0)</f>
        <v>0</v>
      </c>
      <c r="REP54" s="5">
        <f>-IFERROR('4. NPV'!#REF!/'4. NPV'!REQ$8,0)</f>
        <v>0</v>
      </c>
      <c r="REQ54" s="5">
        <f>-IFERROR('4. NPV'!#REF!/'4. NPV'!RER$8,0)</f>
        <v>0</v>
      </c>
      <c r="RER54" s="5">
        <f>-IFERROR('4. NPV'!#REF!/'4. NPV'!RES$8,0)</f>
        <v>0</v>
      </c>
      <c r="RES54" s="5">
        <f>-IFERROR('4. NPV'!#REF!/'4. NPV'!RET$8,0)</f>
        <v>0</v>
      </c>
      <c r="RET54" s="5">
        <f>-IFERROR('4. NPV'!#REF!/'4. NPV'!REU$8,0)</f>
        <v>0</v>
      </c>
      <c r="REU54" s="5">
        <f>-IFERROR('4. NPV'!#REF!/'4. NPV'!REV$8,0)</f>
        <v>0</v>
      </c>
      <c r="REV54" s="5">
        <f>-IFERROR('4. NPV'!#REF!/'4. NPV'!REW$8,0)</f>
        <v>0</v>
      </c>
      <c r="REW54" s="5">
        <f>-IFERROR('4. NPV'!#REF!/'4. NPV'!REX$8,0)</f>
        <v>0</v>
      </c>
      <c r="REX54" s="5">
        <f>-IFERROR('4. NPV'!#REF!/'4. NPV'!REY$8,0)</f>
        <v>0</v>
      </c>
      <c r="REY54" s="5">
        <f>-IFERROR('4. NPV'!#REF!/'4. NPV'!REZ$8,0)</f>
        <v>0</v>
      </c>
      <c r="REZ54" s="5">
        <f>-IFERROR('4. NPV'!#REF!/'4. NPV'!RFA$8,0)</f>
        <v>0</v>
      </c>
      <c r="RFA54" s="5">
        <f>-IFERROR('4. NPV'!#REF!/'4. NPV'!RFB$8,0)</f>
        <v>0</v>
      </c>
      <c r="RFB54" s="5">
        <f>-IFERROR('4. NPV'!#REF!/'4. NPV'!RFC$8,0)</f>
        <v>0</v>
      </c>
      <c r="RFC54" s="5">
        <f>-IFERROR('4. NPV'!#REF!/'4. NPV'!RFD$8,0)</f>
        <v>0</v>
      </c>
      <c r="RFD54" s="5">
        <f>-IFERROR('4. NPV'!#REF!/'4. NPV'!RFE$8,0)</f>
        <v>0</v>
      </c>
      <c r="RFE54" s="5">
        <f>-IFERROR('4. NPV'!#REF!/'4. NPV'!RFF$8,0)</f>
        <v>0</v>
      </c>
      <c r="RFF54" s="5">
        <f>-IFERROR('4. NPV'!#REF!/'4. NPV'!RFG$8,0)</f>
        <v>0</v>
      </c>
      <c r="RFG54" s="5">
        <f>-IFERROR('4. NPV'!#REF!/'4. NPV'!RFH$8,0)</f>
        <v>0</v>
      </c>
      <c r="RFH54" s="5">
        <f>-IFERROR('4. NPV'!#REF!/'4. NPV'!RFI$8,0)</f>
        <v>0</v>
      </c>
      <c r="RFI54" s="5">
        <f>-IFERROR('4. NPV'!#REF!/'4. NPV'!RFJ$8,0)</f>
        <v>0</v>
      </c>
      <c r="RFJ54" s="5">
        <f>-IFERROR('4. NPV'!#REF!/'4. NPV'!RFK$8,0)</f>
        <v>0</v>
      </c>
      <c r="RFK54" s="5">
        <f>-IFERROR('4. NPV'!#REF!/'4. NPV'!RFL$8,0)</f>
        <v>0</v>
      </c>
      <c r="RFL54" s="5">
        <f>-IFERROR('4. NPV'!#REF!/'4. NPV'!RFM$8,0)</f>
        <v>0</v>
      </c>
      <c r="RFM54" s="5">
        <f>-IFERROR('4. NPV'!#REF!/'4. NPV'!RFN$8,0)</f>
        <v>0</v>
      </c>
      <c r="RFN54" s="5">
        <f>-IFERROR('4. NPV'!#REF!/'4. NPV'!RFO$8,0)</f>
        <v>0</v>
      </c>
      <c r="RFO54" s="5">
        <f>-IFERROR('4. NPV'!#REF!/'4. NPV'!RFP$8,0)</f>
        <v>0</v>
      </c>
      <c r="RFP54" s="5">
        <f>-IFERROR('4. NPV'!#REF!/'4. NPV'!RFQ$8,0)</f>
        <v>0</v>
      </c>
      <c r="RFQ54" s="5">
        <f>-IFERROR('4. NPV'!#REF!/'4. NPV'!RFR$8,0)</f>
        <v>0</v>
      </c>
      <c r="RFR54" s="5">
        <f>-IFERROR('4. NPV'!#REF!/'4. NPV'!RFS$8,0)</f>
        <v>0</v>
      </c>
      <c r="RFS54" s="5">
        <f>-IFERROR('4. NPV'!#REF!/'4. NPV'!RFT$8,0)</f>
        <v>0</v>
      </c>
      <c r="RFT54" s="5">
        <f>-IFERROR('4. NPV'!#REF!/'4. NPV'!RFU$8,0)</f>
        <v>0</v>
      </c>
      <c r="RFU54" s="5">
        <f>-IFERROR('4. NPV'!#REF!/'4. NPV'!RFV$8,0)</f>
        <v>0</v>
      </c>
      <c r="RFV54" s="5">
        <f>-IFERROR('4. NPV'!#REF!/'4. NPV'!RFW$8,0)</f>
        <v>0</v>
      </c>
      <c r="RFW54" s="5">
        <f>-IFERROR('4. NPV'!#REF!/'4. NPV'!RFX$8,0)</f>
        <v>0</v>
      </c>
      <c r="RFX54" s="5">
        <f>-IFERROR('4. NPV'!#REF!/'4. NPV'!RFY$8,0)</f>
        <v>0</v>
      </c>
      <c r="RFY54" s="5">
        <f>-IFERROR('4. NPV'!#REF!/'4. NPV'!RFZ$8,0)</f>
        <v>0</v>
      </c>
      <c r="RFZ54" s="5">
        <f>-IFERROR('4. NPV'!#REF!/'4. NPV'!RGA$8,0)</f>
        <v>0</v>
      </c>
      <c r="RGA54" s="5">
        <f>-IFERROR('4. NPV'!#REF!/'4. NPV'!RGB$8,0)</f>
        <v>0</v>
      </c>
      <c r="RGB54" s="5">
        <f>-IFERROR('4. NPV'!#REF!/'4. NPV'!RGC$8,0)</f>
        <v>0</v>
      </c>
      <c r="RGC54" s="5">
        <f>-IFERROR('4. NPV'!#REF!/'4. NPV'!RGD$8,0)</f>
        <v>0</v>
      </c>
      <c r="RGD54" s="5">
        <f>-IFERROR('4. NPV'!#REF!/'4. NPV'!RGE$8,0)</f>
        <v>0</v>
      </c>
      <c r="RGE54" s="5">
        <f>-IFERROR('4. NPV'!#REF!/'4. NPV'!RGF$8,0)</f>
        <v>0</v>
      </c>
      <c r="RGF54" s="5">
        <f>-IFERROR('4. NPV'!#REF!/'4. NPV'!RGG$8,0)</f>
        <v>0</v>
      </c>
      <c r="RGG54" s="5">
        <f>-IFERROR('4. NPV'!#REF!/'4. NPV'!RGH$8,0)</f>
        <v>0</v>
      </c>
      <c r="RGH54" s="5">
        <f>-IFERROR('4. NPV'!#REF!/'4. NPV'!RGI$8,0)</f>
        <v>0</v>
      </c>
      <c r="RGI54" s="5">
        <f>-IFERROR('4. NPV'!#REF!/'4. NPV'!RGJ$8,0)</f>
        <v>0</v>
      </c>
      <c r="RGJ54" s="5">
        <f>-IFERROR('4. NPV'!#REF!/'4. NPV'!RGK$8,0)</f>
        <v>0</v>
      </c>
      <c r="RGK54" s="5">
        <f>-IFERROR('4. NPV'!#REF!/'4. NPV'!RGL$8,0)</f>
        <v>0</v>
      </c>
      <c r="RGL54" s="5">
        <f>-IFERROR('4. NPV'!#REF!/'4. NPV'!RGM$8,0)</f>
        <v>0</v>
      </c>
      <c r="RGM54" s="5">
        <f>-IFERROR('4. NPV'!#REF!/'4. NPV'!RGN$8,0)</f>
        <v>0</v>
      </c>
      <c r="RGN54" s="5">
        <f>-IFERROR('4. NPV'!#REF!/'4. NPV'!RGO$8,0)</f>
        <v>0</v>
      </c>
      <c r="RGO54" s="5">
        <f>-IFERROR('4. NPV'!#REF!/'4. NPV'!RGP$8,0)</f>
        <v>0</v>
      </c>
      <c r="RGP54" s="5">
        <f>-IFERROR('4. NPV'!#REF!/'4. NPV'!RGQ$8,0)</f>
        <v>0</v>
      </c>
      <c r="RGQ54" s="5">
        <f>-IFERROR('4. NPV'!#REF!/'4. NPV'!RGR$8,0)</f>
        <v>0</v>
      </c>
      <c r="RGR54" s="5">
        <f>-IFERROR('4. NPV'!#REF!/'4. NPV'!RGS$8,0)</f>
        <v>0</v>
      </c>
      <c r="RGS54" s="5">
        <f>-IFERROR('4. NPV'!#REF!/'4. NPV'!RGT$8,0)</f>
        <v>0</v>
      </c>
      <c r="RGT54" s="5">
        <f>-IFERROR('4. NPV'!#REF!/'4. NPV'!RGU$8,0)</f>
        <v>0</v>
      </c>
      <c r="RGU54" s="5">
        <f>-IFERROR('4. NPV'!#REF!/'4. NPV'!RGV$8,0)</f>
        <v>0</v>
      </c>
      <c r="RGV54" s="5">
        <f>-IFERROR('4. NPV'!#REF!/'4. NPV'!RGW$8,0)</f>
        <v>0</v>
      </c>
      <c r="RGW54" s="5">
        <f>-IFERROR('4. NPV'!#REF!/'4. NPV'!RGX$8,0)</f>
        <v>0</v>
      </c>
      <c r="RGX54" s="5">
        <f>-IFERROR('4. NPV'!#REF!/'4. NPV'!RGY$8,0)</f>
        <v>0</v>
      </c>
      <c r="RGY54" s="5">
        <f>-IFERROR('4. NPV'!#REF!/'4. NPV'!RGZ$8,0)</f>
        <v>0</v>
      </c>
      <c r="RGZ54" s="5">
        <f>-IFERROR('4. NPV'!#REF!/'4. NPV'!RHA$8,0)</f>
        <v>0</v>
      </c>
      <c r="RHA54" s="5">
        <f>-IFERROR('4. NPV'!#REF!/'4. NPV'!RHB$8,0)</f>
        <v>0</v>
      </c>
      <c r="RHB54" s="5">
        <f>-IFERROR('4. NPV'!#REF!/'4. NPV'!RHC$8,0)</f>
        <v>0</v>
      </c>
      <c r="RHC54" s="5">
        <f>-IFERROR('4. NPV'!#REF!/'4. NPV'!RHD$8,0)</f>
        <v>0</v>
      </c>
      <c r="RHD54" s="5">
        <f>-IFERROR('4. NPV'!#REF!/'4. NPV'!RHE$8,0)</f>
        <v>0</v>
      </c>
      <c r="RHE54" s="5">
        <f>-IFERROR('4. NPV'!#REF!/'4. NPV'!RHF$8,0)</f>
        <v>0</v>
      </c>
      <c r="RHF54" s="5">
        <f>-IFERROR('4. NPV'!#REF!/'4. NPV'!RHG$8,0)</f>
        <v>0</v>
      </c>
      <c r="RHG54" s="5">
        <f>-IFERROR('4. NPV'!#REF!/'4. NPV'!RHH$8,0)</f>
        <v>0</v>
      </c>
      <c r="RHH54" s="5">
        <f>-IFERROR('4. NPV'!#REF!/'4. NPV'!RHI$8,0)</f>
        <v>0</v>
      </c>
      <c r="RHI54" s="5">
        <f>-IFERROR('4. NPV'!#REF!/'4. NPV'!RHJ$8,0)</f>
        <v>0</v>
      </c>
      <c r="RHJ54" s="5">
        <f>-IFERROR('4. NPV'!#REF!/'4. NPV'!RHK$8,0)</f>
        <v>0</v>
      </c>
      <c r="RHK54" s="5">
        <f>-IFERROR('4. NPV'!#REF!/'4. NPV'!RHL$8,0)</f>
        <v>0</v>
      </c>
      <c r="RHL54" s="5">
        <f>-IFERROR('4. NPV'!#REF!/'4. NPV'!RHM$8,0)</f>
        <v>0</v>
      </c>
      <c r="RHM54" s="5">
        <f>-IFERROR('4. NPV'!#REF!/'4. NPV'!RHN$8,0)</f>
        <v>0</v>
      </c>
      <c r="RHN54" s="5">
        <f>-IFERROR('4. NPV'!#REF!/'4. NPV'!RHO$8,0)</f>
        <v>0</v>
      </c>
      <c r="RHO54" s="5">
        <f>-IFERROR('4. NPV'!#REF!/'4. NPV'!RHP$8,0)</f>
        <v>0</v>
      </c>
      <c r="RHP54" s="5">
        <f>-IFERROR('4. NPV'!#REF!/'4. NPV'!RHQ$8,0)</f>
        <v>0</v>
      </c>
      <c r="RHQ54" s="5">
        <f>-IFERROR('4. NPV'!#REF!/'4. NPV'!RHR$8,0)</f>
        <v>0</v>
      </c>
      <c r="RHR54" s="5">
        <f>-IFERROR('4. NPV'!#REF!/'4. NPV'!RHS$8,0)</f>
        <v>0</v>
      </c>
      <c r="RHS54" s="5">
        <f>-IFERROR('4. NPV'!#REF!/'4. NPV'!RHT$8,0)</f>
        <v>0</v>
      </c>
      <c r="RHT54" s="5">
        <f>-IFERROR('4. NPV'!#REF!/'4. NPV'!RHU$8,0)</f>
        <v>0</v>
      </c>
      <c r="RHU54" s="5">
        <f>-IFERROR('4. NPV'!#REF!/'4. NPV'!RHV$8,0)</f>
        <v>0</v>
      </c>
      <c r="RHV54" s="5">
        <f>-IFERROR('4. NPV'!#REF!/'4. NPV'!RHW$8,0)</f>
        <v>0</v>
      </c>
      <c r="RHW54" s="5">
        <f>-IFERROR('4. NPV'!#REF!/'4. NPV'!RHX$8,0)</f>
        <v>0</v>
      </c>
      <c r="RHX54" s="5">
        <f>-IFERROR('4. NPV'!#REF!/'4. NPV'!RHY$8,0)</f>
        <v>0</v>
      </c>
      <c r="RHY54" s="5">
        <f>-IFERROR('4. NPV'!#REF!/'4. NPV'!RHZ$8,0)</f>
        <v>0</v>
      </c>
      <c r="RHZ54" s="5">
        <f>-IFERROR('4. NPV'!#REF!/'4. NPV'!RIA$8,0)</f>
        <v>0</v>
      </c>
      <c r="RIA54" s="5">
        <f>-IFERROR('4. NPV'!#REF!/'4. NPV'!RIB$8,0)</f>
        <v>0</v>
      </c>
      <c r="RIB54" s="5">
        <f>-IFERROR('4. NPV'!#REF!/'4. NPV'!RIC$8,0)</f>
        <v>0</v>
      </c>
      <c r="RIC54" s="5">
        <f>-IFERROR('4. NPV'!#REF!/'4. NPV'!RID$8,0)</f>
        <v>0</v>
      </c>
      <c r="RID54" s="5">
        <f>-IFERROR('4. NPV'!#REF!/'4. NPV'!RIE$8,0)</f>
        <v>0</v>
      </c>
      <c r="RIE54" s="5">
        <f>-IFERROR('4. NPV'!#REF!/'4. NPV'!RIF$8,0)</f>
        <v>0</v>
      </c>
      <c r="RIF54" s="5">
        <f>-IFERROR('4. NPV'!#REF!/'4. NPV'!RIG$8,0)</f>
        <v>0</v>
      </c>
      <c r="RIG54" s="5">
        <f>-IFERROR('4. NPV'!#REF!/'4. NPV'!RIH$8,0)</f>
        <v>0</v>
      </c>
      <c r="RIH54" s="5">
        <f>-IFERROR('4. NPV'!#REF!/'4. NPV'!RII$8,0)</f>
        <v>0</v>
      </c>
      <c r="RII54" s="5">
        <f>-IFERROR('4. NPV'!#REF!/'4. NPV'!RIJ$8,0)</f>
        <v>0</v>
      </c>
      <c r="RIJ54" s="5">
        <f>-IFERROR('4. NPV'!#REF!/'4. NPV'!RIK$8,0)</f>
        <v>0</v>
      </c>
      <c r="RIK54" s="5">
        <f>-IFERROR('4. NPV'!#REF!/'4. NPV'!RIL$8,0)</f>
        <v>0</v>
      </c>
      <c r="RIL54" s="5">
        <f>-IFERROR('4. NPV'!#REF!/'4. NPV'!RIM$8,0)</f>
        <v>0</v>
      </c>
      <c r="RIM54" s="5">
        <f>-IFERROR('4. NPV'!#REF!/'4. NPV'!RIN$8,0)</f>
        <v>0</v>
      </c>
      <c r="RIN54" s="5">
        <f>-IFERROR('4. NPV'!#REF!/'4. NPV'!RIO$8,0)</f>
        <v>0</v>
      </c>
      <c r="RIO54" s="5">
        <f>-IFERROR('4. NPV'!#REF!/'4. NPV'!RIP$8,0)</f>
        <v>0</v>
      </c>
      <c r="RIP54" s="5">
        <f>-IFERROR('4. NPV'!#REF!/'4. NPV'!RIQ$8,0)</f>
        <v>0</v>
      </c>
      <c r="RIQ54" s="5">
        <f>-IFERROR('4. NPV'!#REF!/'4. NPV'!RIR$8,0)</f>
        <v>0</v>
      </c>
      <c r="RIR54" s="5">
        <f>-IFERROR('4. NPV'!#REF!/'4. NPV'!RIS$8,0)</f>
        <v>0</v>
      </c>
      <c r="RIS54" s="5">
        <f>-IFERROR('4. NPV'!#REF!/'4. NPV'!RIT$8,0)</f>
        <v>0</v>
      </c>
      <c r="RIT54" s="5">
        <f>-IFERROR('4. NPV'!#REF!/'4. NPV'!RIU$8,0)</f>
        <v>0</v>
      </c>
      <c r="RIU54" s="5">
        <f>-IFERROR('4. NPV'!#REF!/'4. NPV'!RIV$8,0)</f>
        <v>0</v>
      </c>
      <c r="RIV54" s="5">
        <f>-IFERROR('4. NPV'!#REF!/'4. NPV'!RIW$8,0)</f>
        <v>0</v>
      </c>
      <c r="RIW54" s="5">
        <f>-IFERROR('4. NPV'!#REF!/'4. NPV'!RIX$8,0)</f>
        <v>0</v>
      </c>
      <c r="RIX54" s="5">
        <f>-IFERROR('4. NPV'!#REF!/'4. NPV'!RIY$8,0)</f>
        <v>0</v>
      </c>
      <c r="RIY54" s="5">
        <f>-IFERROR('4. NPV'!#REF!/'4. NPV'!RIZ$8,0)</f>
        <v>0</v>
      </c>
      <c r="RIZ54" s="5">
        <f>-IFERROR('4. NPV'!#REF!/'4. NPV'!RJA$8,0)</f>
        <v>0</v>
      </c>
      <c r="RJA54" s="5">
        <f>-IFERROR('4. NPV'!#REF!/'4. NPV'!RJB$8,0)</f>
        <v>0</v>
      </c>
      <c r="RJB54" s="5">
        <f>-IFERROR('4. NPV'!#REF!/'4. NPV'!RJC$8,0)</f>
        <v>0</v>
      </c>
      <c r="RJC54" s="5">
        <f>-IFERROR('4. NPV'!#REF!/'4. NPV'!RJD$8,0)</f>
        <v>0</v>
      </c>
      <c r="RJD54" s="5">
        <f>-IFERROR('4. NPV'!#REF!/'4. NPV'!RJE$8,0)</f>
        <v>0</v>
      </c>
      <c r="RJE54" s="5">
        <f>-IFERROR('4. NPV'!#REF!/'4. NPV'!RJF$8,0)</f>
        <v>0</v>
      </c>
      <c r="RJF54" s="5">
        <f>-IFERROR('4. NPV'!#REF!/'4. NPV'!RJG$8,0)</f>
        <v>0</v>
      </c>
      <c r="RJG54" s="5">
        <f>-IFERROR('4. NPV'!#REF!/'4. NPV'!RJH$8,0)</f>
        <v>0</v>
      </c>
      <c r="RJH54" s="5">
        <f>-IFERROR('4. NPV'!#REF!/'4. NPV'!RJI$8,0)</f>
        <v>0</v>
      </c>
      <c r="RJI54" s="5">
        <f>-IFERROR('4. NPV'!#REF!/'4. NPV'!RJJ$8,0)</f>
        <v>0</v>
      </c>
      <c r="RJJ54" s="5">
        <f>-IFERROR('4. NPV'!#REF!/'4. NPV'!RJK$8,0)</f>
        <v>0</v>
      </c>
      <c r="RJK54" s="5">
        <f>-IFERROR('4. NPV'!#REF!/'4. NPV'!RJL$8,0)</f>
        <v>0</v>
      </c>
      <c r="RJL54" s="5">
        <f>-IFERROR('4. NPV'!#REF!/'4. NPV'!RJM$8,0)</f>
        <v>0</v>
      </c>
      <c r="RJM54" s="5">
        <f>-IFERROR('4. NPV'!#REF!/'4. NPV'!RJN$8,0)</f>
        <v>0</v>
      </c>
      <c r="RJN54" s="5">
        <f>-IFERROR('4. NPV'!#REF!/'4. NPV'!RJO$8,0)</f>
        <v>0</v>
      </c>
      <c r="RJO54" s="5">
        <f>-IFERROR('4. NPV'!#REF!/'4. NPV'!RJP$8,0)</f>
        <v>0</v>
      </c>
      <c r="RJP54" s="5">
        <f>-IFERROR('4. NPV'!#REF!/'4. NPV'!RJQ$8,0)</f>
        <v>0</v>
      </c>
      <c r="RJQ54" s="5">
        <f>-IFERROR('4. NPV'!#REF!/'4. NPV'!RJR$8,0)</f>
        <v>0</v>
      </c>
      <c r="RJR54" s="5">
        <f>-IFERROR('4. NPV'!#REF!/'4. NPV'!RJS$8,0)</f>
        <v>0</v>
      </c>
      <c r="RJS54" s="5">
        <f>-IFERROR('4. NPV'!#REF!/'4. NPV'!RJT$8,0)</f>
        <v>0</v>
      </c>
      <c r="RJT54" s="5">
        <f>-IFERROR('4. NPV'!#REF!/'4. NPV'!RJU$8,0)</f>
        <v>0</v>
      </c>
      <c r="RJU54" s="5">
        <f>-IFERROR('4. NPV'!#REF!/'4. NPV'!RJV$8,0)</f>
        <v>0</v>
      </c>
      <c r="RJV54" s="5">
        <f>-IFERROR('4. NPV'!#REF!/'4. NPV'!RJW$8,0)</f>
        <v>0</v>
      </c>
      <c r="RJW54" s="5">
        <f>-IFERROR('4. NPV'!#REF!/'4. NPV'!RJX$8,0)</f>
        <v>0</v>
      </c>
      <c r="RJX54" s="5">
        <f>-IFERROR('4. NPV'!#REF!/'4. NPV'!RJY$8,0)</f>
        <v>0</v>
      </c>
      <c r="RJY54" s="5">
        <f>-IFERROR('4. NPV'!#REF!/'4. NPV'!RJZ$8,0)</f>
        <v>0</v>
      </c>
      <c r="RJZ54" s="5">
        <f>-IFERROR('4. NPV'!#REF!/'4. NPV'!RKA$8,0)</f>
        <v>0</v>
      </c>
      <c r="RKA54" s="5">
        <f>-IFERROR('4. NPV'!#REF!/'4. NPV'!RKB$8,0)</f>
        <v>0</v>
      </c>
      <c r="RKB54" s="5">
        <f>-IFERROR('4. NPV'!#REF!/'4. NPV'!RKC$8,0)</f>
        <v>0</v>
      </c>
      <c r="RKC54" s="5">
        <f>-IFERROR('4. NPV'!#REF!/'4. NPV'!RKD$8,0)</f>
        <v>0</v>
      </c>
      <c r="RKD54" s="5">
        <f>-IFERROR('4. NPV'!#REF!/'4. NPV'!RKE$8,0)</f>
        <v>0</v>
      </c>
      <c r="RKE54" s="5">
        <f>-IFERROR('4. NPV'!#REF!/'4. NPV'!RKF$8,0)</f>
        <v>0</v>
      </c>
      <c r="RKF54" s="5">
        <f>-IFERROR('4. NPV'!#REF!/'4. NPV'!RKG$8,0)</f>
        <v>0</v>
      </c>
      <c r="RKG54" s="5">
        <f>-IFERROR('4. NPV'!#REF!/'4. NPV'!RKH$8,0)</f>
        <v>0</v>
      </c>
      <c r="RKH54" s="5">
        <f>-IFERROR('4. NPV'!#REF!/'4. NPV'!RKI$8,0)</f>
        <v>0</v>
      </c>
      <c r="RKI54" s="5">
        <f>-IFERROR('4. NPV'!#REF!/'4. NPV'!RKJ$8,0)</f>
        <v>0</v>
      </c>
      <c r="RKJ54" s="5">
        <f>-IFERROR('4. NPV'!#REF!/'4. NPV'!RKK$8,0)</f>
        <v>0</v>
      </c>
      <c r="RKK54" s="5">
        <f>-IFERROR('4. NPV'!#REF!/'4. NPV'!RKL$8,0)</f>
        <v>0</v>
      </c>
      <c r="RKL54" s="5">
        <f>-IFERROR('4. NPV'!#REF!/'4. NPV'!RKM$8,0)</f>
        <v>0</v>
      </c>
      <c r="RKM54" s="5">
        <f>-IFERROR('4. NPV'!#REF!/'4. NPV'!RKN$8,0)</f>
        <v>0</v>
      </c>
      <c r="RKN54" s="5">
        <f>-IFERROR('4. NPV'!#REF!/'4. NPV'!RKO$8,0)</f>
        <v>0</v>
      </c>
      <c r="RKO54" s="5">
        <f>-IFERROR('4. NPV'!#REF!/'4. NPV'!RKP$8,0)</f>
        <v>0</v>
      </c>
      <c r="RKP54" s="5">
        <f>-IFERROR('4. NPV'!#REF!/'4. NPV'!RKQ$8,0)</f>
        <v>0</v>
      </c>
      <c r="RKQ54" s="5">
        <f>-IFERROR('4. NPV'!#REF!/'4. NPV'!RKR$8,0)</f>
        <v>0</v>
      </c>
      <c r="RKR54" s="5">
        <f>-IFERROR('4. NPV'!#REF!/'4. NPV'!RKS$8,0)</f>
        <v>0</v>
      </c>
      <c r="RKS54" s="5">
        <f>-IFERROR('4. NPV'!#REF!/'4. NPV'!RKT$8,0)</f>
        <v>0</v>
      </c>
      <c r="RKT54" s="5">
        <f>-IFERROR('4. NPV'!#REF!/'4. NPV'!RKU$8,0)</f>
        <v>0</v>
      </c>
      <c r="RKU54" s="5">
        <f>-IFERROR('4. NPV'!#REF!/'4. NPV'!RKV$8,0)</f>
        <v>0</v>
      </c>
      <c r="RKV54" s="5">
        <f>-IFERROR('4. NPV'!#REF!/'4. NPV'!RKW$8,0)</f>
        <v>0</v>
      </c>
      <c r="RKW54" s="5">
        <f>-IFERROR('4. NPV'!#REF!/'4. NPV'!RKX$8,0)</f>
        <v>0</v>
      </c>
      <c r="RKX54" s="5">
        <f>-IFERROR('4. NPV'!#REF!/'4. NPV'!RKY$8,0)</f>
        <v>0</v>
      </c>
      <c r="RKY54" s="5">
        <f>-IFERROR('4. NPV'!#REF!/'4. NPV'!RKZ$8,0)</f>
        <v>0</v>
      </c>
      <c r="RKZ54" s="5">
        <f>-IFERROR('4. NPV'!#REF!/'4. NPV'!RLA$8,0)</f>
        <v>0</v>
      </c>
      <c r="RLA54" s="5">
        <f>-IFERROR('4. NPV'!#REF!/'4. NPV'!RLB$8,0)</f>
        <v>0</v>
      </c>
      <c r="RLB54" s="5">
        <f>-IFERROR('4. NPV'!#REF!/'4. NPV'!RLC$8,0)</f>
        <v>0</v>
      </c>
      <c r="RLC54" s="5">
        <f>-IFERROR('4. NPV'!#REF!/'4. NPV'!RLD$8,0)</f>
        <v>0</v>
      </c>
      <c r="RLD54" s="5">
        <f>-IFERROR('4. NPV'!#REF!/'4. NPV'!RLE$8,0)</f>
        <v>0</v>
      </c>
      <c r="RLE54" s="5">
        <f>-IFERROR('4. NPV'!#REF!/'4. NPV'!RLF$8,0)</f>
        <v>0</v>
      </c>
      <c r="RLF54" s="5">
        <f>-IFERROR('4. NPV'!#REF!/'4. NPV'!RLG$8,0)</f>
        <v>0</v>
      </c>
      <c r="RLG54" s="5">
        <f>-IFERROR('4. NPV'!#REF!/'4. NPV'!RLH$8,0)</f>
        <v>0</v>
      </c>
      <c r="RLH54" s="5">
        <f>-IFERROR('4. NPV'!#REF!/'4. NPV'!RLI$8,0)</f>
        <v>0</v>
      </c>
      <c r="RLI54" s="5">
        <f>-IFERROR('4. NPV'!#REF!/'4. NPV'!RLJ$8,0)</f>
        <v>0</v>
      </c>
      <c r="RLJ54" s="5">
        <f>-IFERROR('4. NPV'!#REF!/'4. NPV'!RLK$8,0)</f>
        <v>0</v>
      </c>
      <c r="RLK54" s="5">
        <f>-IFERROR('4. NPV'!#REF!/'4. NPV'!RLL$8,0)</f>
        <v>0</v>
      </c>
      <c r="RLL54" s="5">
        <f>-IFERROR('4. NPV'!#REF!/'4. NPV'!RLM$8,0)</f>
        <v>0</v>
      </c>
      <c r="RLM54" s="5">
        <f>-IFERROR('4. NPV'!#REF!/'4. NPV'!RLN$8,0)</f>
        <v>0</v>
      </c>
      <c r="RLN54" s="5">
        <f>-IFERROR('4. NPV'!#REF!/'4. NPV'!RLO$8,0)</f>
        <v>0</v>
      </c>
      <c r="RLO54" s="5">
        <f>-IFERROR('4. NPV'!#REF!/'4. NPV'!RLP$8,0)</f>
        <v>0</v>
      </c>
      <c r="RLP54" s="5">
        <f>-IFERROR('4. NPV'!#REF!/'4. NPV'!RLQ$8,0)</f>
        <v>0</v>
      </c>
      <c r="RLQ54" s="5">
        <f>-IFERROR('4. NPV'!#REF!/'4. NPV'!RLR$8,0)</f>
        <v>0</v>
      </c>
      <c r="RLR54" s="5">
        <f>-IFERROR('4. NPV'!#REF!/'4. NPV'!RLS$8,0)</f>
        <v>0</v>
      </c>
      <c r="RLS54" s="5">
        <f>-IFERROR('4. NPV'!#REF!/'4. NPV'!RLT$8,0)</f>
        <v>0</v>
      </c>
      <c r="RLT54" s="5">
        <f>-IFERROR('4. NPV'!#REF!/'4. NPV'!RLU$8,0)</f>
        <v>0</v>
      </c>
      <c r="RLU54" s="5">
        <f>-IFERROR('4. NPV'!#REF!/'4. NPV'!RLV$8,0)</f>
        <v>0</v>
      </c>
      <c r="RLV54" s="5">
        <f>-IFERROR('4. NPV'!#REF!/'4. NPV'!RLW$8,0)</f>
        <v>0</v>
      </c>
      <c r="RLW54" s="5">
        <f>-IFERROR('4. NPV'!#REF!/'4. NPV'!RLX$8,0)</f>
        <v>0</v>
      </c>
      <c r="RLX54" s="5">
        <f>-IFERROR('4. NPV'!#REF!/'4. NPV'!RLY$8,0)</f>
        <v>0</v>
      </c>
      <c r="RLY54" s="5">
        <f>-IFERROR('4. NPV'!#REF!/'4. NPV'!RLZ$8,0)</f>
        <v>0</v>
      </c>
      <c r="RLZ54" s="5">
        <f>-IFERROR('4. NPV'!#REF!/'4. NPV'!RMA$8,0)</f>
        <v>0</v>
      </c>
      <c r="RMA54" s="5">
        <f>-IFERROR('4. NPV'!#REF!/'4. NPV'!RMB$8,0)</f>
        <v>0</v>
      </c>
      <c r="RMB54" s="5">
        <f>-IFERROR('4. NPV'!#REF!/'4. NPV'!RMC$8,0)</f>
        <v>0</v>
      </c>
      <c r="RMC54" s="5">
        <f>-IFERROR('4. NPV'!#REF!/'4. NPV'!RMD$8,0)</f>
        <v>0</v>
      </c>
      <c r="RMD54" s="5">
        <f>-IFERROR('4. NPV'!#REF!/'4. NPV'!RME$8,0)</f>
        <v>0</v>
      </c>
      <c r="RME54" s="5">
        <f>-IFERROR('4. NPV'!#REF!/'4. NPV'!RMF$8,0)</f>
        <v>0</v>
      </c>
      <c r="RMF54" s="5">
        <f>-IFERROR('4. NPV'!#REF!/'4. NPV'!RMG$8,0)</f>
        <v>0</v>
      </c>
      <c r="RMG54" s="5">
        <f>-IFERROR('4. NPV'!#REF!/'4. NPV'!RMH$8,0)</f>
        <v>0</v>
      </c>
      <c r="RMH54" s="5">
        <f>-IFERROR('4. NPV'!#REF!/'4. NPV'!RMI$8,0)</f>
        <v>0</v>
      </c>
      <c r="RMI54" s="5">
        <f>-IFERROR('4. NPV'!#REF!/'4. NPV'!RMJ$8,0)</f>
        <v>0</v>
      </c>
      <c r="RMJ54" s="5">
        <f>-IFERROR('4. NPV'!#REF!/'4. NPV'!RMK$8,0)</f>
        <v>0</v>
      </c>
      <c r="RMK54" s="5">
        <f>-IFERROR('4. NPV'!#REF!/'4. NPV'!RML$8,0)</f>
        <v>0</v>
      </c>
      <c r="RML54" s="5">
        <f>-IFERROR('4. NPV'!#REF!/'4. NPV'!RMM$8,0)</f>
        <v>0</v>
      </c>
      <c r="RMM54" s="5">
        <f>-IFERROR('4. NPV'!#REF!/'4. NPV'!RMN$8,0)</f>
        <v>0</v>
      </c>
      <c r="RMN54" s="5">
        <f>-IFERROR('4. NPV'!#REF!/'4. NPV'!RMO$8,0)</f>
        <v>0</v>
      </c>
      <c r="RMO54" s="5">
        <f>-IFERROR('4. NPV'!#REF!/'4. NPV'!RMP$8,0)</f>
        <v>0</v>
      </c>
      <c r="RMP54" s="5">
        <f>-IFERROR('4. NPV'!#REF!/'4. NPV'!RMQ$8,0)</f>
        <v>0</v>
      </c>
      <c r="RMQ54" s="5">
        <f>-IFERROR('4. NPV'!#REF!/'4. NPV'!RMR$8,0)</f>
        <v>0</v>
      </c>
      <c r="RMR54" s="5">
        <f>-IFERROR('4. NPV'!#REF!/'4. NPV'!RMS$8,0)</f>
        <v>0</v>
      </c>
      <c r="RMS54" s="5">
        <f>-IFERROR('4. NPV'!#REF!/'4. NPV'!RMT$8,0)</f>
        <v>0</v>
      </c>
      <c r="RMT54" s="5">
        <f>-IFERROR('4. NPV'!#REF!/'4. NPV'!RMU$8,0)</f>
        <v>0</v>
      </c>
      <c r="RMU54" s="5">
        <f>-IFERROR('4. NPV'!#REF!/'4. NPV'!RMV$8,0)</f>
        <v>0</v>
      </c>
      <c r="RMV54" s="5">
        <f>-IFERROR('4. NPV'!#REF!/'4. NPV'!RMW$8,0)</f>
        <v>0</v>
      </c>
      <c r="RMW54" s="5">
        <f>-IFERROR('4. NPV'!#REF!/'4. NPV'!RMX$8,0)</f>
        <v>0</v>
      </c>
      <c r="RMX54" s="5">
        <f>-IFERROR('4. NPV'!#REF!/'4. NPV'!RMY$8,0)</f>
        <v>0</v>
      </c>
      <c r="RMY54" s="5">
        <f>-IFERROR('4. NPV'!#REF!/'4. NPV'!RMZ$8,0)</f>
        <v>0</v>
      </c>
      <c r="RMZ54" s="5">
        <f>-IFERROR('4. NPV'!#REF!/'4. NPV'!RNA$8,0)</f>
        <v>0</v>
      </c>
      <c r="RNA54" s="5">
        <f>-IFERROR('4. NPV'!#REF!/'4. NPV'!RNB$8,0)</f>
        <v>0</v>
      </c>
      <c r="RNB54" s="5">
        <f>-IFERROR('4. NPV'!#REF!/'4. NPV'!RNC$8,0)</f>
        <v>0</v>
      </c>
      <c r="RNC54" s="5">
        <f>-IFERROR('4. NPV'!#REF!/'4. NPV'!RND$8,0)</f>
        <v>0</v>
      </c>
      <c r="RND54" s="5">
        <f>-IFERROR('4. NPV'!#REF!/'4. NPV'!RNE$8,0)</f>
        <v>0</v>
      </c>
      <c r="RNE54" s="5">
        <f>-IFERROR('4. NPV'!#REF!/'4. NPV'!RNF$8,0)</f>
        <v>0</v>
      </c>
      <c r="RNF54" s="5">
        <f>-IFERROR('4. NPV'!#REF!/'4. NPV'!RNG$8,0)</f>
        <v>0</v>
      </c>
      <c r="RNG54" s="5">
        <f>-IFERROR('4. NPV'!#REF!/'4. NPV'!RNH$8,0)</f>
        <v>0</v>
      </c>
      <c r="RNH54" s="5">
        <f>-IFERROR('4. NPV'!#REF!/'4. NPV'!RNI$8,0)</f>
        <v>0</v>
      </c>
      <c r="RNI54" s="5">
        <f>-IFERROR('4. NPV'!#REF!/'4. NPV'!RNJ$8,0)</f>
        <v>0</v>
      </c>
      <c r="RNJ54" s="5">
        <f>-IFERROR('4. NPV'!#REF!/'4. NPV'!RNK$8,0)</f>
        <v>0</v>
      </c>
      <c r="RNK54" s="5">
        <f>-IFERROR('4. NPV'!#REF!/'4. NPV'!RNL$8,0)</f>
        <v>0</v>
      </c>
      <c r="RNL54" s="5">
        <f>-IFERROR('4. NPV'!#REF!/'4. NPV'!RNM$8,0)</f>
        <v>0</v>
      </c>
      <c r="RNM54" s="5">
        <f>-IFERROR('4. NPV'!#REF!/'4. NPV'!RNN$8,0)</f>
        <v>0</v>
      </c>
      <c r="RNN54" s="5">
        <f>-IFERROR('4. NPV'!#REF!/'4. NPV'!RNO$8,0)</f>
        <v>0</v>
      </c>
      <c r="RNO54" s="5">
        <f>-IFERROR('4. NPV'!#REF!/'4. NPV'!RNP$8,0)</f>
        <v>0</v>
      </c>
      <c r="RNP54" s="5">
        <f>-IFERROR('4. NPV'!#REF!/'4. NPV'!RNQ$8,0)</f>
        <v>0</v>
      </c>
      <c r="RNQ54" s="5">
        <f>-IFERROR('4. NPV'!#REF!/'4. NPV'!RNR$8,0)</f>
        <v>0</v>
      </c>
      <c r="RNR54" s="5">
        <f>-IFERROR('4. NPV'!#REF!/'4. NPV'!RNS$8,0)</f>
        <v>0</v>
      </c>
      <c r="RNS54" s="5">
        <f>-IFERROR('4. NPV'!#REF!/'4. NPV'!RNT$8,0)</f>
        <v>0</v>
      </c>
      <c r="RNT54" s="5">
        <f>-IFERROR('4. NPV'!#REF!/'4. NPV'!RNU$8,0)</f>
        <v>0</v>
      </c>
      <c r="RNU54" s="5">
        <f>-IFERROR('4. NPV'!#REF!/'4. NPV'!RNV$8,0)</f>
        <v>0</v>
      </c>
      <c r="RNV54" s="5">
        <f>-IFERROR('4. NPV'!#REF!/'4. NPV'!RNW$8,0)</f>
        <v>0</v>
      </c>
      <c r="RNW54" s="5">
        <f>-IFERROR('4. NPV'!#REF!/'4. NPV'!RNX$8,0)</f>
        <v>0</v>
      </c>
      <c r="RNX54" s="5">
        <f>-IFERROR('4. NPV'!#REF!/'4. NPV'!RNY$8,0)</f>
        <v>0</v>
      </c>
      <c r="RNY54" s="5">
        <f>-IFERROR('4. NPV'!#REF!/'4. NPV'!RNZ$8,0)</f>
        <v>0</v>
      </c>
      <c r="RNZ54" s="5">
        <f>-IFERROR('4. NPV'!#REF!/'4. NPV'!ROA$8,0)</f>
        <v>0</v>
      </c>
      <c r="ROA54" s="5">
        <f>-IFERROR('4. NPV'!#REF!/'4. NPV'!ROB$8,0)</f>
        <v>0</v>
      </c>
      <c r="ROB54" s="5">
        <f>-IFERROR('4. NPV'!#REF!/'4. NPV'!ROC$8,0)</f>
        <v>0</v>
      </c>
      <c r="ROC54" s="5">
        <f>-IFERROR('4. NPV'!#REF!/'4. NPV'!ROD$8,0)</f>
        <v>0</v>
      </c>
      <c r="ROD54" s="5">
        <f>-IFERROR('4. NPV'!#REF!/'4. NPV'!ROE$8,0)</f>
        <v>0</v>
      </c>
      <c r="ROE54" s="5">
        <f>-IFERROR('4. NPV'!#REF!/'4. NPV'!ROF$8,0)</f>
        <v>0</v>
      </c>
      <c r="ROF54" s="5">
        <f>-IFERROR('4. NPV'!#REF!/'4. NPV'!ROG$8,0)</f>
        <v>0</v>
      </c>
      <c r="ROG54" s="5">
        <f>-IFERROR('4. NPV'!#REF!/'4. NPV'!ROH$8,0)</f>
        <v>0</v>
      </c>
      <c r="ROH54" s="5">
        <f>-IFERROR('4. NPV'!#REF!/'4. NPV'!ROI$8,0)</f>
        <v>0</v>
      </c>
      <c r="ROI54" s="5">
        <f>-IFERROR('4. NPV'!#REF!/'4. NPV'!ROJ$8,0)</f>
        <v>0</v>
      </c>
      <c r="ROJ54" s="5">
        <f>-IFERROR('4. NPV'!#REF!/'4. NPV'!ROK$8,0)</f>
        <v>0</v>
      </c>
      <c r="ROK54" s="5">
        <f>-IFERROR('4. NPV'!#REF!/'4. NPV'!ROL$8,0)</f>
        <v>0</v>
      </c>
      <c r="ROL54" s="5">
        <f>-IFERROR('4. NPV'!#REF!/'4. NPV'!ROM$8,0)</f>
        <v>0</v>
      </c>
      <c r="ROM54" s="5">
        <f>-IFERROR('4. NPV'!#REF!/'4. NPV'!RON$8,0)</f>
        <v>0</v>
      </c>
      <c r="RON54" s="5">
        <f>-IFERROR('4. NPV'!#REF!/'4. NPV'!ROO$8,0)</f>
        <v>0</v>
      </c>
      <c r="ROO54" s="5">
        <f>-IFERROR('4. NPV'!#REF!/'4. NPV'!ROP$8,0)</f>
        <v>0</v>
      </c>
      <c r="ROP54" s="5">
        <f>-IFERROR('4. NPV'!#REF!/'4. NPV'!ROQ$8,0)</f>
        <v>0</v>
      </c>
      <c r="ROQ54" s="5">
        <f>-IFERROR('4. NPV'!#REF!/'4. NPV'!ROR$8,0)</f>
        <v>0</v>
      </c>
      <c r="ROR54" s="5">
        <f>-IFERROR('4. NPV'!#REF!/'4. NPV'!ROS$8,0)</f>
        <v>0</v>
      </c>
      <c r="ROS54" s="5">
        <f>-IFERROR('4. NPV'!#REF!/'4. NPV'!ROT$8,0)</f>
        <v>0</v>
      </c>
      <c r="ROT54" s="5">
        <f>-IFERROR('4. NPV'!#REF!/'4. NPV'!ROU$8,0)</f>
        <v>0</v>
      </c>
      <c r="ROU54" s="5">
        <f>-IFERROR('4. NPV'!#REF!/'4. NPV'!ROV$8,0)</f>
        <v>0</v>
      </c>
      <c r="ROV54" s="5">
        <f>-IFERROR('4. NPV'!#REF!/'4. NPV'!ROW$8,0)</f>
        <v>0</v>
      </c>
      <c r="ROW54" s="5">
        <f>-IFERROR('4. NPV'!#REF!/'4. NPV'!ROX$8,0)</f>
        <v>0</v>
      </c>
      <c r="ROX54" s="5">
        <f>-IFERROR('4. NPV'!#REF!/'4. NPV'!ROY$8,0)</f>
        <v>0</v>
      </c>
      <c r="ROY54" s="5">
        <f>-IFERROR('4. NPV'!#REF!/'4. NPV'!ROZ$8,0)</f>
        <v>0</v>
      </c>
      <c r="ROZ54" s="5">
        <f>-IFERROR('4. NPV'!#REF!/'4. NPV'!RPA$8,0)</f>
        <v>0</v>
      </c>
      <c r="RPA54" s="5">
        <f>-IFERROR('4. NPV'!#REF!/'4. NPV'!RPB$8,0)</f>
        <v>0</v>
      </c>
      <c r="RPB54" s="5">
        <f>-IFERROR('4. NPV'!#REF!/'4. NPV'!RPC$8,0)</f>
        <v>0</v>
      </c>
      <c r="RPC54" s="5">
        <f>-IFERROR('4. NPV'!#REF!/'4. NPV'!RPD$8,0)</f>
        <v>0</v>
      </c>
      <c r="RPD54" s="5">
        <f>-IFERROR('4. NPV'!#REF!/'4. NPV'!RPE$8,0)</f>
        <v>0</v>
      </c>
      <c r="RPE54" s="5">
        <f>-IFERROR('4. NPV'!#REF!/'4. NPV'!RPF$8,0)</f>
        <v>0</v>
      </c>
      <c r="RPF54" s="5">
        <f>-IFERROR('4. NPV'!#REF!/'4. NPV'!RPG$8,0)</f>
        <v>0</v>
      </c>
      <c r="RPG54" s="5">
        <f>-IFERROR('4. NPV'!#REF!/'4. NPV'!RPH$8,0)</f>
        <v>0</v>
      </c>
      <c r="RPH54" s="5">
        <f>-IFERROR('4. NPV'!#REF!/'4. NPV'!RPI$8,0)</f>
        <v>0</v>
      </c>
      <c r="RPI54" s="5">
        <f>-IFERROR('4. NPV'!#REF!/'4. NPV'!RPJ$8,0)</f>
        <v>0</v>
      </c>
      <c r="RPJ54" s="5">
        <f>-IFERROR('4. NPV'!#REF!/'4. NPV'!RPK$8,0)</f>
        <v>0</v>
      </c>
      <c r="RPK54" s="5">
        <f>-IFERROR('4. NPV'!#REF!/'4. NPV'!RPL$8,0)</f>
        <v>0</v>
      </c>
      <c r="RPL54" s="5">
        <f>-IFERROR('4. NPV'!#REF!/'4. NPV'!RPM$8,0)</f>
        <v>0</v>
      </c>
      <c r="RPM54" s="5">
        <f>-IFERROR('4. NPV'!#REF!/'4. NPV'!RPN$8,0)</f>
        <v>0</v>
      </c>
      <c r="RPN54" s="5">
        <f>-IFERROR('4. NPV'!#REF!/'4. NPV'!RPO$8,0)</f>
        <v>0</v>
      </c>
      <c r="RPO54" s="5">
        <f>-IFERROR('4. NPV'!#REF!/'4. NPV'!RPP$8,0)</f>
        <v>0</v>
      </c>
      <c r="RPP54" s="5">
        <f>-IFERROR('4. NPV'!#REF!/'4. NPV'!RPQ$8,0)</f>
        <v>0</v>
      </c>
      <c r="RPQ54" s="5">
        <f>-IFERROR('4. NPV'!#REF!/'4. NPV'!RPR$8,0)</f>
        <v>0</v>
      </c>
      <c r="RPR54" s="5">
        <f>-IFERROR('4. NPV'!#REF!/'4. NPV'!RPS$8,0)</f>
        <v>0</v>
      </c>
      <c r="RPS54" s="5">
        <f>-IFERROR('4. NPV'!#REF!/'4. NPV'!RPT$8,0)</f>
        <v>0</v>
      </c>
      <c r="RPT54" s="5">
        <f>-IFERROR('4. NPV'!#REF!/'4. NPV'!RPU$8,0)</f>
        <v>0</v>
      </c>
      <c r="RPU54" s="5">
        <f>-IFERROR('4. NPV'!#REF!/'4. NPV'!RPV$8,0)</f>
        <v>0</v>
      </c>
      <c r="RPV54" s="5">
        <f>-IFERROR('4. NPV'!#REF!/'4. NPV'!RPW$8,0)</f>
        <v>0</v>
      </c>
      <c r="RPW54" s="5">
        <f>-IFERROR('4. NPV'!#REF!/'4. NPV'!RPX$8,0)</f>
        <v>0</v>
      </c>
      <c r="RPX54" s="5">
        <f>-IFERROR('4. NPV'!#REF!/'4. NPV'!RPY$8,0)</f>
        <v>0</v>
      </c>
      <c r="RPY54" s="5">
        <f>-IFERROR('4. NPV'!#REF!/'4. NPV'!RPZ$8,0)</f>
        <v>0</v>
      </c>
      <c r="RPZ54" s="5">
        <f>-IFERROR('4. NPV'!#REF!/'4. NPV'!RQA$8,0)</f>
        <v>0</v>
      </c>
      <c r="RQA54" s="5">
        <f>-IFERROR('4. NPV'!#REF!/'4. NPV'!RQB$8,0)</f>
        <v>0</v>
      </c>
      <c r="RQB54" s="5">
        <f>-IFERROR('4. NPV'!#REF!/'4. NPV'!RQC$8,0)</f>
        <v>0</v>
      </c>
      <c r="RQC54" s="5">
        <f>-IFERROR('4. NPV'!#REF!/'4. NPV'!RQD$8,0)</f>
        <v>0</v>
      </c>
      <c r="RQD54" s="5">
        <f>-IFERROR('4. NPV'!#REF!/'4. NPV'!RQE$8,0)</f>
        <v>0</v>
      </c>
      <c r="RQE54" s="5">
        <f>-IFERROR('4. NPV'!#REF!/'4. NPV'!RQF$8,0)</f>
        <v>0</v>
      </c>
      <c r="RQF54" s="5">
        <f>-IFERROR('4. NPV'!#REF!/'4. NPV'!RQG$8,0)</f>
        <v>0</v>
      </c>
      <c r="RQG54" s="5">
        <f>-IFERROR('4. NPV'!#REF!/'4. NPV'!RQH$8,0)</f>
        <v>0</v>
      </c>
      <c r="RQH54" s="5">
        <f>-IFERROR('4. NPV'!#REF!/'4. NPV'!RQI$8,0)</f>
        <v>0</v>
      </c>
      <c r="RQI54" s="5">
        <f>-IFERROR('4. NPV'!#REF!/'4. NPV'!RQJ$8,0)</f>
        <v>0</v>
      </c>
      <c r="RQJ54" s="5">
        <f>-IFERROR('4. NPV'!#REF!/'4. NPV'!RQK$8,0)</f>
        <v>0</v>
      </c>
      <c r="RQK54" s="5">
        <f>-IFERROR('4. NPV'!#REF!/'4. NPV'!RQL$8,0)</f>
        <v>0</v>
      </c>
      <c r="RQL54" s="5">
        <f>-IFERROR('4. NPV'!#REF!/'4. NPV'!RQM$8,0)</f>
        <v>0</v>
      </c>
      <c r="RQM54" s="5">
        <f>-IFERROR('4. NPV'!#REF!/'4. NPV'!RQN$8,0)</f>
        <v>0</v>
      </c>
      <c r="RQN54" s="5">
        <f>-IFERROR('4. NPV'!#REF!/'4. NPV'!RQO$8,0)</f>
        <v>0</v>
      </c>
      <c r="RQO54" s="5">
        <f>-IFERROR('4. NPV'!#REF!/'4. NPV'!RQP$8,0)</f>
        <v>0</v>
      </c>
      <c r="RQP54" s="5">
        <f>-IFERROR('4. NPV'!#REF!/'4. NPV'!RQQ$8,0)</f>
        <v>0</v>
      </c>
      <c r="RQQ54" s="5">
        <f>-IFERROR('4. NPV'!#REF!/'4. NPV'!RQR$8,0)</f>
        <v>0</v>
      </c>
      <c r="RQR54" s="5">
        <f>-IFERROR('4. NPV'!#REF!/'4. NPV'!RQS$8,0)</f>
        <v>0</v>
      </c>
      <c r="RQS54" s="5">
        <f>-IFERROR('4. NPV'!#REF!/'4. NPV'!RQT$8,0)</f>
        <v>0</v>
      </c>
      <c r="RQT54" s="5">
        <f>-IFERROR('4. NPV'!#REF!/'4. NPV'!RQU$8,0)</f>
        <v>0</v>
      </c>
      <c r="RQU54" s="5">
        <f>-IFERROR('4. NPV'!#REF!/'4. NPV'!RQV$8,0)</f>
        <v>0</v>
      </c>
      <c r="RQV54" s="5">
        <f>-IFERROR('4. NPV'!#REF!/'4. NPV'!RQW$8,0)</f>
        <v>0</v>
      </c>
      <c r="RQW54" s="5">
        <f>-IFERROR('4. NPV'!#REF!/'4. NPV'!RQX$8,0)</f>
        <v>0</v>
      </c>
      <c r="RQX54" s="5">
        <f>-IFERROR('4. NPV'!#REF!/'4. NPV'!RQY$8,0)</f>
        <v>0</v>
      </c>
      <c r="RQY54" s="5">
        <f>-IFERROR('4. NPV'!#REF!/'4. NPV'!RQZ$8,0)</f>
        <v>0</v>
      </c>
      <c r="RQZ54" s="5">
        <f>-IFERROR('4. NPV'!#REF!/'4. NPV'!RRA$8,0)</f>
        <v>0</v>
      </c>
      <c r="RRA54" s="5">
        <f>-IFERROR('4. NPV'!#REF!/'4. NPV'!RRB$8,0)</f>
        <v>0</v>
      </c>
      <c r="RRB54" s="5">
        <f>-IFERROR('4. NPV'!#REF!/'4. NPV'!RRC$8,0)</f>
        <v>0</v>
      </c>
      <c r="RRC54" s="5">
        <f>-IFERROR('4. NPV'!#REF!/'4. NPV'!RRD$8,0)</f>
        <v>0</v>
      </c>
      <c r="RRD54" s="5">
        <f>-IFERROR('4. NPV'!#REF!/'4. NPV'!RRE$8,0)</f>
        <v>0</v>
      </c>
      <c r="RRE54" s="5">
        <f>-IFERROR('4. NPV'!#REF!/'4. NPV'!RRF$8,0)</f>
        <v>0</v>
      </c>
      <c r="RRF54" s="5">
        <f>-IFERROR('4. NPV'!#REF!/'4. NPV'!RRG$8,0)</f>
        <v>0</v>
      </c>
      <c r="RRG54" s="5">
        <f>-IFERROR('4. NPV'!#REF!/'4. NPV'!RRH$8,0)</f>
        <v>0</v>
      </c>
      <c r="RRH54" s="5">
        <f>-IFERROR('4. NPV'!#REF!/'4. NPV'!RRI$8,0)</f>
        <v>0</v>
      </c>
      <c r="RRI54" s="5">
        <f>-IFERROR('4. NPV'!#REF!/'4. NPV'!RRJ$8,0)</f>
        <v>0</v>
      </c>
      <c r="RRJ54" s="5">
        <f>-IFERROR('4. NPV'!#REF!/'4. NPV'!RRK$8,0)</f>
        <v>0</v>
      </c>
      <c r="RRK54" s="5">
        <f>-IFERROR('4. NPV'!#REF!/'4. NPV'!RRL$8,0)</f>
        <v>0</v>
      </c>
      <c r="RRL54" s="5">
        <f>-IFERROR('4. NPV'!#REF!/'4. NPV'!RRM$8,0)</f>
        <v>0</v>
      </c>
      <c r="RRM54" s="5">
        <f>-IFERROR('4. NPV'!#REF!/'4. NPV'!RRN$8,0)</f>
        <v>0</v>
      </c>
      <c r="RRN54" s="5">
        <f>-IFERROR('4. NPV'!#REF!/'4. NPV'!RRO$8,0)</f>
        <v>0</v>
      </c>
      <c r="RRO54" s="5">
        <f>-IFERROR('4. NPV'!#REF!/'4. NPV'!RRP$8,0)</f>
        <v>0</v>
      </c>
      <c r="RRP54" s="5">
        <f>-IFERROR('4. NPV'!#REF!/'4. NPV'!RRQ$8,0)</f>
        <v>0</v>
      </c>
      <c r="RRQ54" s="5">
        <f>-IFERROR('4. NPV'!#REF!/'4. NPV'!RRR$8,0)</f>
        <v>0</v>
      </c>
      <c r="RRR54" s="5">
        <f>-IFERROR('4. NPV'!#REF!/'4. NPV'!RRS$8,0)</f>
        <v>0</v>
      </c>
      <c r="RRS54" s="5">
        <f>-IFERROR('4. NPV'!#REF!/'4. NPV'!RRT$8,0)</f>
        <v>0</v>
      </c>
      <c r="RRT54" s="5">
        <f>-IFERROR('4. NPV'!#REF!/'4. NPV'!RRU$8,0)</f>
        <v>0</v>
      </c>
      <c r="RRU54" s="5">
        <f>-IFERROR('4. NPV'!#REF!/'4. NPV'!RRV$8,0)</f>
        <v>0</v>
      </c>
      <c r="RRV54" s="5">
        <f>-IFERROR('4. NPV'!#REF!/'4. NPV'!RRW$8,0)</f>
        <v>0</v>
      </c>
      <c r="RRW54" s="5">
        <f>-IFERROR('4. NPV'!#REF!/'4. NPV'!RRX$8,0)</f>
        <v>0</v>
      </c>
      <c r="RRX54" s="5">
        <f>-IFERROR('4. NPV'!#REF!/'4. NPV'!RRY$8,0)</f>
        <v>0</v>
      </c>
      <c r="RRY54" s="5">
        <f>-IFERROR('4. NPV'!#REF!/'4. NPV'!RRZ$8,0)</f>
        <v>0</v>
      </c>
      <c r="RRZ54" s="5">
        <f>-IFERROR('4. NPV'!#REF!/'4. NPV'!RSA$8,0)</f>
        <v>0</v>
      </c>
      <c r="RSA54" s="5">
        <f>-IFERROR('4. NPV'!#REF!/'4. NPV'!RSB$8,0)</f>
        <v>0</v>
      </c>
      <c r="RSB54" s="5">
        <f>-IFERROR('4. NPV'!#REF!/'4. NPV'!RSC$8,0)</f>
        <v>0</v>
      </c>
      <c r="RSC54" s="5">
        <f>-IFERROR('4. NPV'!#REF!/'4. NPV'!RSD$8,0)</f>
        <v>0</v>
      </c>
      <c r="RSD54" s="5">
        <f>-IFERROR('4. NPV'!#REF!/'4. NPV'!RSE$8,0)</f>
        <v>0</v>
      </c>
      <c r="RSE54" s="5">
        <f>-IFERROR('4. NPV'!#REF!/'4. NPV'!RSF$8,0)</f>
        <v>0</v>
      </c>
      <c r="RSF54" s="5">
        <f>-IFERROR('4. NPV'!#REF!/'4. NPV'!RSG$8,0)</f>
        <v>0</v>
      </c>
      <c r="RSG54" s="5">
        <f>-IFERROR('4. NPV'!#REF!/'4. NPV'!RSH$8,0)</f>
        <v>0</v>
      </c>
      <c r="RSH54" s="5">
        <f>-IFERROR('4. NPV'!#REF!/'4. NPV'!RSI$8,0)</f>
        <v>0</v>
      </c>
      <c r="RSI54" s="5">
        <f>-IFERROR('4. NPV'!#REF!/'4. NPV'!RSJ$8,0)</f>
        <v>0</v>
      </c>
      <c r="RSJ54" s="5">
        <f>-IFERROR('4. NPV'!#REF!/'4. NPV'!RSK$8,0)</f>
        <v>0</v>
      </c>
      <c r="RSK54" s="5">
        <f>-IFERROR('4. NPV'!#REF!/'4. NPV'!RSL$8,0)</f>
        <v>0</v>
      </c>
      <c r="RSL54" s="5">
        <f>-IFERROR('4. NPV'!#REF!/'4. NPV'!RSM$8,0)</f>
        <v>0</v>
      </c>
      <c r="RSM54" s="5">
        <f>-IFERROR('4. NPV'!#REF!/'4. NPV'!RSN$8,0)</f>
        <v>0</v>
      </c>
      <c r="RSN54" s="5">
        <f>-IFERROR('4. NPV'!#REF!/'4. NPV'!RSO$8,0)</f>
        <v>0</v>
      </c>
      <c r="RSO54" s="5">
        <f>-IFERROR('4. NPV'!#REF!/'4. NPV'!RSP$8,0)</f>
        <v>0</v>
      </c>
      <c r="RSP54" s="5">
        <f>-IFERROR('4. NPV'!#REF!/'4. NPV'!RSQ$8,0)</f>
        <v>0</v>
      </c>
      <c r="RSQ54" s="5">
        <f>-IFERROR('4. NPV'!#REF!/'4. NPV'!RSR$8,0)</f>
        <v>0</v>
      </c>
      <c r="RSR54" s="5">
        <f>-IFERROR('4. NPV'!#REF!/'4. NPV'!RSS$8,0)</f>
        <v>0</v>
      </c>
      <c r="RSS54" s="5">
        <f>-IFERROR('4. NPV'!#REF!/'4. NPV'!RST$8,0)</f>
        <v>0</v>
      </c>
      <c r="RST54" s="5">
        <f>-IFERROR('4. NPV'!#REF!/'4. NPV'!RSU$8,0)</f>
        <v>0</v>
      </c>
      <c r="RSU54" s="5">
        <f>-IFERROR('4. NPV'!#REF!/'4. NPV'!RSV$8,0)</f>
        <v>0</v>
      </c>
      <c r="RSV54" s="5">
        <f>-IFERROR('4. NPV'!#REF!/'4. NPV'!RSW$8,0)</f>
        <v>0</v>
      </c>
      <c r="RSW54" s="5">
        <f>-IFERROR('4. NPV'!#REF!/'4. NPV'!RSX$8,0)</f>
        <v>0</v>
      </c>
      <c r="RSX54" s="5">
        <f>-IFERROR('4. NPV'!#REF!/'4. NPV'!RSY$8,0)</f>
        <v>0</v>
      </c>
      <c r="RSY54" s="5">
        <f>-IFERROR('4. NPV'!#REF!/'4. NPV'!RSZ$8,0)</f>
        <v>0</v>
      </c>
      <c r="RSZ54" s="5">
        <f>-IFERROR('4. NPV'!#REF!/'4. NPV'!RTA$8,0)</f>
        <v>0</v>
      </c>
      <c r="RTA54" s="5">
        <f>-IFERROR('4. NPV'!#REF!/'4. NPV'!RTB$8,0)</f>
        <v>0</v>
      </c>
      <c r="RTB54" s="5">
        <f>-IFERROR('4. NPV'!#REF!/'4. NPV'!RTC$8,0)</f>
        <v>0</v>
      </c>
      <c r="RTC54" s="5">
        <f>-IFERROR('4. NPV'!#REF!/'4. NPV'!RTD$8,0)</f>
        <v>0</v>
      </c>
      <c r="RTD54" s="5">
        <f>-IFERROR('4. NPV'!#REF!/'4. NPV'!RTE$8,0)</f>
        <v>0</v>
      </c>
      <c r="RTE54" s="5">
        <f>-IFERROR('4. NPV'!#REF!/'4. NPV'!RTF$8,0)</f>
        <v>0</v>
      </c>
      <c r="RTF54" s="5">
        <f>-IFERROR('4. NPV'!#REF!/'4. NPV'!RTG$8,0)</f>
        <v>0</v>
      </c>
      <c r="RTG54" s="5">
        <f>-IFERROR('4. NPV'!#REF!/'4. NPV'!RTH$8,0)</f>
        <v>0</v>
      </c>
      <c r="RTH54" s="5">
        <f>-IFERROR('4. NPV'!#REF!/'4. NPV'!RTI$8,0)</f>
        <v>0</v>
      </c>
      <c r="RTI54" s="5">
        <f>-IFERROR('4. NPV'!#REF!/'4. NPV'!RTJ$8,0)</f>
        <v>0</v>
      </c>
      <c r="RTJ54" s="5">
        <f>-IFERROR('4. NPV'!#REF!/'4. NPV'!RTK$8,0)</f>
        <v>0</v>
      </c>
      <c r="RTK54" s="5">
        <f>-IFERROR('4. NPV'!#REF!/'4. NPV'!RTL$8,0)</f>
        <v>0</v>
      </c>
      <c r="RTL54" s="5">
        <f>-IFERROR('4. NPV'!#REF!/'4. NPV'!RTM$8,0)</f>
        <v>0</v>
      </c>
      <c r="RTM54" s="5">
        <f>-IFERROR('4. NPV'!#REF!/'4. NPV'!RTN$8,0)</f>
        <v>0</v>
      </c>
      <c r="RTN54" s="5">
        <f>-IFERROR('4. NPV'!#REF!/'4. NPV'!RTO$8,0)</f>
        <v>0</v>
      </c>
      <c r="RTO54" s="5">
        <f>-IFERROR('4. NPV'!#REF!/'4. NPV'!RTP$8,0)</f>
        <v>0</v>
      </c>
      <c r="RTP54" s="5">
        <f>-IFERROR('4. NPV'!#REF!/'4. NPV'!RTQ$8,0)</f>
        <v>0</v>
      </c>
      <c r="RTQ54" s="5">
        <f>-IFERROR('4. NPV'!#REF!/'4. NPV'!RTR$8,0)</f>
        <v>0</v>
      </c>
      <c r="RTR54" s="5">
        <f>-IFERROR('4. NPV'!#REF!/'4. NPV'!RTS$8,0)</f>
        <v>0</v>
      </c>
      <c r="RTS54" s="5">
        <f>-IFERROR('4. NPV'!#REF!/'4. NPV'!RTT$8,0)</f>
        <v>0</v>
      </c>
      <c r="RTT54" s="5">
        <f>-IFERROR('4. NPV'!#REF!/'4. NPV'!RTU$8,0)</f>
        <v>0</v>
      </c>
      <c r="RTU54" s="5">
        <f>-IFERROR('4. NPV'!#REF!/'4. NPV'!RTV$8,0)</f>
        <v>0</v>
      </c>
      <c r="RTV54" s="5">
        <f>-IFERROR('4. NPV'!#REF!/'4. NPV'!RTW$8,0)</f>
        <v>0</v>
      </c>
      <c r="RTW54" s="5">
        <f>-IFERROR('4. NPV'!#REF!/'4. NPV'!RTX$8,0)</f>
        <v>0</v>
      </c>
      <c r="RTX54" s="5">
        <f>-IFERROR('4. NPV'!#REF!/'4. NPV'!RTY$8,0)</f>
        <v>0</v>
      </c>
      <c r="RTY54" s="5">
        <f>-IFERROR('4. NPV'!#REF!/'4. NPV'!RTZ$8,0)</f>
        <v>0</v>
      </c>
      <c r="RTZ54" s="5">
        <f>-IFERROR('4. NPV'!#REF!/'4. NPV'!RUA$8,0)</f>
        <v>0</v>
      </c>
      <c r="RUA54" s="5">
        <f>-IFERROR('4. NPV'!#REF!/'4. NPV'!RUB$8,0)</f>
        <v>0</v>
      </c>
      <c r="RUB54" s="5">
        <f>-IFERROR('4. NPV'!#REF!/'4. NPV'!RUC$8,0)</f>
        <v>0</v>
      </c>
      <c r="RUC54" s="5">
        <f>-IFERROR('4. NPV'!#REF!/'4. NPV'!RUD$8,0)</f>
        <v>0</v>
      </c>
      <c r="RUD54" s="5">
        <f>-IFERROR('4. NPV'!#REF!/'4. NPV'!RUE$8,0)</f>
        <v>0</v>
      </c>
      <c r="RUE54" s="5">
        <f>-IFERROR('4. NPV'!#REF!/'4. NPV'!RUF$8,0)</f>
        <v>0</v>
      </c>
      <c r="RUF54" s="5">
        <f>-IFERROR('4. NPV'!#REF!/'4. NPV'!RUG$8,0)</f>
        <v>0</v>
      </c>
      <c r="RUG54" s="5">
        <f>-IFERROR('4. NPV'!#REF!/'4. NPV'!RUH$8,0)</f>
        <v>0</v>
      </c>
      <c r="RUH54" s="5">
        <f>-IFERROR('4. NPV'!#REF!/'4. NPV'!RUI$8,0)</f>
        <v>0</v>
      </c>
      <c r="RUI54" s="5">
        <f>-IFERROR('4. NPV'!#REF!/'4. NPV'!RUJ$8,0)</f>
        <v>0</v>
      </c>
      <c r="RUJ54" s="5">
        <f>-IFERROR('4. NPV'!#REF!/'4. NPV'!RUK$8,0)</f>
        <v>0</v>
      </c>
      <c r="RUK54" s="5">
        <f>-IFERROR('4. NPV'!#REF!/'4. NPV'!RUL$8,0)</f>
        <v>0</v>
      </c>
      <c r="RUL54" s="5">
        <f>-IFERROR('4. NPV'!#REF!/'4. NPV'!RUM$8,0)</f>
        <v>0</v>
      </c>
      <c r="RUM54" s="5">
        <f>-IFERROR('4. NPV'!#REF!/'4. NPV'!RUN$8,0)</f>
        <v>0</v>
      </c>
      <c r="RUN54" s="5">
        <f>-IFERROR('4. NPV'!#REF!/'4. NPV'!RUO$8,0)</f>
        <v>0</v>
      </c>
      <c r="RUO54" s="5">
        <f>-IFERROR('4. NPV'!#REF!/'4. NPV'!RUP$8,0)</f>
        <v>0</v>
      </c>
      <c r="RUP54" s="5">
        <f>-IFERROR('4. NPV'!#REF!/'4. NPV'!RUQ$8,0)</f>
        <v>0</v>
      </c>
      <c r="RUQ54" s="5">
        <f>-IFERROR('4. NPV'!#REF!/'4. NPV'!RUR$8,0)</f>
        <v>0</v>
      </c>
      <c r="RUR54" s="5">
        <f>-IFERROR('4. NPV'!#REF!/'4. NPV'!RUS$8,0)</f>
        <v>0</v>
      </c>
      <c r="RUS54" s="5">
        <f>-IFERROR('4. NPV'!#REF!/'4. NPV'!RUT$8,0)</f>
        <v>0</v>
      </c>
      <c r="RUT54" s="5">
        <f>-IFERROR('4. NPV'!#REF!/'4. NPV'!RUU$8,0)</f>
        <v>0</v>
      </c>
      <c r="RUU54" s="5">
        <f>-IFERROR('4. NPV'!#REF!/'4. NPV'!RUV$8,0)</f>
        <v>0</v>
      </c>
      <c r="RUV54" s="5">
        <f>-IFERROR('4. NPV'!#REF!/'4. NPV'!RUW$8,0)</f>
        <v>0</v>
      </c>
      <c r="RUW54" s="5">
        <f>-IFERROR('4. NPV'!#REF!/'4. NPV'!RUX$8,0)</f>
        <v>0</v>
      </c>
      <c r="RUX54" s="5">
        <f>-IFERROR('4. NPV'!#REF!/'4. NPV'!RUY$8,0)</f>
        <v>0</v>
      </c>
      <c r="RUY54" s="5">
        <f>-IFERROR('4. NPV'!#REF!/'4. NPV'!RUZ$8,0)</f>
        <v>0</v>
      </c>
      <c r="RUZ54" s="5">
        <f>-IFERROR('4. NPV'!#REF!/'4. NPV'!RVA$8,0)</f>
        <v>0</v>
      </c>
      <c r="RVA54" s="5">
        <f>-IFERROR('4. NPV'!#REF!/'4. NPV'!RVB$8,0)</f>
        <v>0</v>
      </c>
      <c r="RVB54" s="5">
        <f>-IFERROR('4. NPV'!#REF!/'4. NPV'!RVC$8,0)</f>
        <v>0</v>
      </c>
      <c r="RVC54" s="5">
        <f>-IFERROR('4. NPV'!#REF!/'4. NPV'!RVD$8,0)</f>
        <v>0</v>
      </c>
      <c r="RVD54" s="5">
        <f>-IFERROR('4. NPV'!#REF!/'4. NPV'!RVE$8,0)</f>
        <v>0</v>
      </c>
      <c r="RVE54" s="5">
        <f>-IFERROR('4. NPV'!#REF!/'4. NPV'!RVF$8,0)</f>
        <v>0</v>
      </c>
      <c r="RVF54" s="5">
        <f>-IFERROR('4. NPV'!#REF!/'4. NPV'!RVG$8,0)</f>
        <v>0</v>
      </c>
      <c r="RVG54" s="5">
        <f>-IFERROR('4. NPV'!#REF!/'4. NPV'!RVH$8,0)</f>
        <v>0</v>
      </c>
      <c r="RVH54" s="5">
        <f>-IFERROR('4. NPV'!#REF!/'4. NPV'!RVI$8,0)</f>
        <v>0</v>
      </c>
      <c r="RVI54" s="5">
        <f>-IFERROR('4. NPV'!#REF!/'4. NPV'!RVJ$8,0)</f>
        <v>0</v>
      </c>
      <c r="RVJ54" s="5">
        <f>-IFERROR('4. NPV'!#REF!/'4. NPV'!RVK$8,0)</f>
        <v>0</v>
      </c>
      <c r="RVK54" s="5">
        <f>-IFERROR('4. NPV'!#REF!/'4. NPV'!RVL$8,0)</f>
        <v>0</v>
      </c>
      <c r="RVL54" s="5">
        <f>-IFERROR('4. NPV'!#REF!/'4. NPV'!RVM$8,0)</f>
        <v>0</v>
      </c>
      <c r="RVM54" s="5">
        <f>-IFERROR('4. NPV'!#REF!/'4. NPV'!RVN$8,0)</f>
        <v>0</v>
      </c>
      <c r="RVN54" s="5">
        <f>-IFERROR('4. NPV'!#REF!/'4. NPV'!RVO$8,0)</f>
        <v>0</v>
      </c>
      <c r="RVO54" s="5">
        <f>-IFERROR('4. NPV'!#REF!/'4. NPV'!RVP$8,0)</f>
        <v>0</v>
      </c>
      <c r="RVP54" s="5">
        <f>-IFERROR('4. NPV'!#REF!/'4. NPV'!RVQ$8,0)</f>
        <v>0</v>
      </c>
      <c r="RVQ54" s="5">
        <f>-IFERROR('4. NPV'!#REF!/'4. NPV'!RVR$8,0)</f>
        <v>0</v>
      </c>
      <c r="RVR54" s="5">
        <f>-IFERROR('4. NPV'!#REF!/'4. NPV'!RVS$8,0)</f>
        <v>0</v>
      </c>
      <c r="RVS54" s="5">
        <f>-IFERROR('4. NPV'!#REF!/'4. NPV'!RVT$8,0)</f>
        <v>0</v>
      </c>
      <c r="RVT54" s="5">
        <f>-IFERROR('4. NPV'!#REF!/'4. NPV'!RVU$8,0)</f>
        <v>0</v>
      </c>
      <c r="RVU54" s="5">
        <f>-IFERROR('4. NPV'!#REF!/'4. NPV'!RVV$8,0)</f>
        <v>0</v>
      </c>
      <c r="RVV54" s="5">
        <f>-IFERROR('4. NPV'!#REF!/'4. NPV'!RVW$8,0)</f>
        <v>0</v>
      </c>
      <c r="RVW54" s="5">
        <f>-IFERROR('4. NPV'!#REF!/'4. NPV'!RVX$8,0)</f>
        <v>0</v>
      </c>
      <c r="RVX54" s="5">
        <f>-IFERROR('4. NPV'!#REF!/'4. NPV'!RVY$8,0)</f>
        <v>0</v>
      </c>
      <c r="RVY54" s="5">
        <f>-IFERROR('4. NPV'!#REF!/'4. NPV'!RVZ$8,0)</f>
        <v>0</v>
      </c>
      <c r="RVZ54" s="5">
        <f>-IFERROR('4. NPV'!#REF!/'4. NPV'!RWA$8,0)</f>
        <v>0</v>
      </c>
      <c r="RWA54" s="5">
        <f>-IFERROR('4. NPV'!#REF!/'4. NPV'!RWB$8,0)</f>
        <v>0</v>
      </c>
      <c r="RWB54" s="5">
        <f>-IFERROR('4. NPV'!#REF!/'4. NPV'!RWC$8,0)</f>
        <v>0</v>
      </c>
      <c r="RWC54" s="5">
        <f>-IFERROR('4. NPV'!#REF!/'4. NPV'!RWD$8,0)</f>
        <v>0</v>
      </c>
      <c r="RWD54" s="5">
        <f>-IFERROR('4. NPV'!#REF!/'4. NPV'!RWE$8,0)</f>
        <v>0</v>
      </c>
      <c r="RWE54" s="5">
        <f>-IFERROR('4. NPV'!#REF!/'4. NPV'!RWF$8,0)</f>
        <v>0</v>
      </c>
      <c r="RWF54" s="5">
        <f>-IFERROR('4. NPV'!#REF!/'4. NPV'!RWG$8,0)</f>
        <v>0</v>
      </c>
      <c r="RWG54" s="5">
        <f>-IFERROR('4. NPV'!#REF!/'4. NPV'!RWH$8,0)</f>
        <v>0</v>
      </c>
      <c r="RWH54" s="5">
        <f>-IFERROR('4. NPV'!#REF!/'4. NPV'!RWI$8,0)</f>
        <v>0</v>
      </c>
      <c r="RWI54" s="5">
        <f>-IFERROR('4. NPV'!#REF!/'4. NPV'!RWJ$8,0)</f>
        <v>0</v>
      </c>
      <c r="RWJ54" s="5">
        <f>-IFERROR('4. NPV'!#REF!/'4. NPV'!RWK$8,0)</f>
        <v>0</v>
      </c>
      <c r="RWK54" s="5">
        <f>-IFERROR('4. NPV'!#REF!/'4. NPV'!RWL$8,0)</f>
        <v>0</v>
      </c>
      <c r="RWL54" s="5">
        <f>-IFERROR('4. NPV'!#REF!/'4. NPV'!RWM$8,0)</f>
        <v>0</v>
      </c>
      <c r="RWM54" s="5">
        <f>-IFERROR('4. NPV'!#REF!/'4. NPV'!RWN$8,0)</f>
        <v>0</v>
      </c>
      <c r="RWN54" s="5">
        <f>-IFERROR('4. NPV'!#REF!/'4. NPV'!RWO$8,0)</f>
        <v>0</v>
      </c>
      <c r="RWO54" s="5">
        <f>-IFERROR('4. NPV'!#REF!/'4. NPV'!RWP$8,0)</f>
        <v>0</v>
      </c>
      <c r="RWP54" s="5">
        <f>-IFERROR('4. NPV'!#REF!/'4. NPV'!RWQ$8,0)</f>
        <v>0</v>
      </c>
      <c r="RWQ54" s="5">
        <f>-IFERROR('4. NPV'!#REF!/'4. NPV'!RWR$8,0)</f>
        <v>0</v>
      </c>
      <c r="RWR54" s="5">
        <f>-IFERROR('4. NPV'!#REF!/'4. NPV'!RWS$8,0)</f>
        <v>0</v>
      </c>
      <c r="RWS54" s="5">
        <f>-IFERROR('4. NPV'!#REF!/'4. NPV'!RWT$8,0)</f>
        <v>0</v>
      </c>
      <c r="RWT54" s="5">
        <f>-IFERROR('4. NPV'!#REF!/'4. NPV'!RWU$8,0)</f>
        <v>0</v>
      </c>
      <c r="RWU54" s="5">
        <f>-IFERROR('4. NPV'!#REF!/'4. NPV'!RWV$8,0)</f>
        <v>0</v>
      </c>
      <c r="RWV54" s="5">
        <f>-IFERROR('4. NPV'!#REF!/'4. NPV'!RWW$8,0)</f>
        <v>0</v>
      </c>
      <c r="RWW54" s="5">
        <f>-IFERROR('4. NPV'!#REF!/'4. NPV'!RWX$8,0)</f>
        <v>0</v>
      </c>
      <c r="RWX54" s="5">
        <f>-IFERROR('4. NPV'!#REF!/'4. NPV'!RWY$8,0)</f>
        <v>0</v>
      </c>
      <c r="RWY54" s="5">
        <f>-IFERROR('4. NPV'!#REF!/'4. NPV'!RWZ$8,0)</f>
        <v>0</v>
      </c>
      <c r="RWZ54" s="5">
        <f>-IFERROR('4. NPV'!#REF!/'4. NPV'!RXA$8,0)</f>
        <v>0</v>
      </c>
      <c r="RXA54" s="5">
        <f>-IFERROR('4. NPV'!#REF!/'4. NPV'!RXB$8,0)</f>
        <v>0</v>
      </c>
      <c r="RXB54" s="5">
        <f>-IFERROR('4. NPV'!#REF!/'4. NPV'!RXC$8,0)</f>
        <v>0</v>
      </c>
      <c r="RXC54" s="5">
        <f>-IFERROR('4. NPV'!#REF!/'4. NPV'!RXD$8,0)</f>
        <v>0</v>
      </c>
      <c r="RXD54" s="5">
        <f>-IFERROR('4. NPV'!#REF!/'4. NPV'!RXE$8,0)</f>
        <v>0</v>
      </c>
      <c r="RXE54" s="5">
        <f>-IFERROR('4. NPV'!#REF!/'4. NPV'!RXF$8,0)</f>
        <v>0</v>
      </c>
      <c r="RXF54" s="5">
        <f>-IFERROR('4. NPV'!#REF!/'4. NPV'!RXG$8,0)</f>
        <v>0</v>
      </c>
      <c r="RXG54" s="5">
        <f>-IFERROR('4. NPV'!#REF!/'4. NPV'!RXH$8,0)</f>
        <v>0</v>
      </c>
      <c r="RXH54" s="5">
        <f>-IFERROR('4. NPV'!#REF!/'4. NPV'!RXI$8,0)</f>
        <v>0</v>
      </c>
      <c r="RXI54" s="5">
        <f>-IFERROR('4. NPV'!#REF!/'4. NPV'!RXJ$8,0)</f>
        <v>0</v>
      </c>
      <c r="RXJ54" s="5">
        <f>-IFERROR('4. NPV'!#REF!/'4. NPV'!RXK$8,0)</f>
        <v>0</v>
      </c>
      <c r="RXK54" s="5">
        <f>-IFERROR('4. NPV'!#REF!/'4. NPV'!RXL$8,0)</f>
        <v>0</v>
      </c>
      <c r="RXL54" s="5">
        <f>-IFERROR('4. NPV'!#REF!/'4. NPV'!RXM$8,0)</f>
        <v>0</v>
      </c>
      <c r="RXM54" s="5">
        <f>-IFERROR('4. NPV'!#REF!/'4. NPV'!RXN$8,0)</f>
        <v>0</v>
      </c>
      <c r="RXN54" s="5">
        <f>-IFERROR('4. NPV'!#REF!/'4. NPV'!RXO$8,0)</f>
        <v>0</v>
      </c>
      <c r="RXO54" s="5">
        <f>-IFERROR('4. NPV'!#REF!/'4. NPV'!RXP$8,0)</f>
        <v>0</v>
      </c>
      <c r="RXP54" s="5">
        <f>-IFERROR('4. NPV'!#REF!/'4. NPV'!RXQ$8,0)</f>
        <v>0</v>
      </c>
      <c r="RXQ54" s="5">
        <f>-IFERROR('4. NPV'!#REF!/'4. NPV'!RXR$8,0)</f>
        <v>0</v>
      </c>
      <c r="RXR54" s="5">
        <f>-IFERROR('4. NPV'!#REF!/'4. NPV'!RXS$8,0)</f>
        <v>0</v>
      </c>
      <c r="RXS54" s="5">
        <f>-IFERROR('4. NPV'!#REF!/'4. NPV'!RXT$8,0)</f>
        <v>0</v>
      </c>
      <c r="RXT54" s="5">
        <f>-IFERROR('4. NPV'!#REF!/'4. NPV'!RXU$8,0)</f>
        <v>0</v>
      </c>
      <c r="RXU54" s="5">
        <f>-IFERROR('4. NPV'!#REF!/'4. NPV'!RXV$8,0)</f>
        <v>0</v>
      </c>
      <c r="RXV54" s="5">
        <f>-IFERROR('4. NPV'!#REF!/'4. NPV'!RXW$8,0)</f>
        <v>0</v>
      </c>
      <c r="RXW54" s="5">
        <f>-IFERROR('4. NPV'!#REF!/'4. NPV'!RXX$8,0)</f>
        <v>0</v>
      </c>
      <c r="RXX54" s="5">
        <f>-IFERROR('4. NPV'!#REF!/'4. NPV'!RXY$8,0)</f>
        <v>0</v>
      </c>
      <c r="RXY54" s="5">
        <f>-IFERROR('4. NPV'!#REF!/'4. NPV'!RXZ$8,0)</f>
        <v>0</v>
      </c>
      <c r="RXZ54" s="5">
        <f>-IFERROR('4. NPV'!#REF!/'4. NPV'!RYA$8,0)</f>
        <v>0</v>
      </c>
      <c r="RYA54" s="5">
        <f>-IFERROR('4. NPV'!#REF!/'4. NPV'!RYB$8,0)</f>
        <v>0</v>
      </c>
      <c r="RYB54" s="5">
        <f>-IFERROR('4. NPV'!#REF!/'4. NPV'!RYC$8,0)</f>
        <v>0</v>
      </c>
      <c r="RYC54" s="5">
        <f>-IFERROR('4. NPV'!#REF!/'4. NPV'!RYD$8,0)</f>
        <v>0</v>
      </c>
      <c r="RYD54" s="5">
        <f>-IFERROR('4. NPV'!#REF!/'4. NPV'!RYE$8,0)</f>
        <v>0</v>
      </c>
      <c r="RYE54" s="5">
        <f>-IFERROR('4. NPV'!#REF!/'4. NPV'!RYF$8,0)</f>
        <v>0</v>
      </c>
      <c r="RYF54" s="5">
        <f>-IFERROR('4. NPV'!#REF!/'4. NPV'!RYG$8,0)</f>
        <v>0</v>
      </c>
      <c r="RYG54" s="5">
        <f>-IFERROR('4. NPV'!#REF!/'4. NPV'!RYH$8,0)</f>
        <v>0</v>
      </c>
      <c r="RYH54" s="5">
        <f>-IFERROR('4. NPV'!#REF!/'4. NPV'!RYI$8,0)</f>
        <v>0</v>
      </c>
      <c r="RYI54" s="5">
        <f>-IFERROR('4. NPV'!#REF!/'4. NPV'!RYJ$8,0)</f>
        <v>0</v>
      </c>
      <c r="RYJ54" s="5">
        <f>-IFERROR('4. NPV'!#REF!/'4. NPV'!RYK$8,0)</f>
        <v>0</v>
      </c>
      <c r="RYK54" s="5">
        <f>-IFERROR('4. NPV'!#REF!/'4. NPV'!RYL$8,0)</f>
        <v>0</v>
      </c>
      <c r="RYL54" s="5">
        <f>-IFERROR('4. NPV'!#REF!/'4. NPV'!RYM$8,0)</f>
        <v>0</v>
      </c>
      <c r="RYM54" s="5">
        <f>-IFERROR('4. NPV'!#REF!/'4. NPV'!RYN$8,0)</f>
        <v>0</v>
      </c>
      <c r="RYN54" s="5">
        <f>-IFERROR('4. NPV'!#REF!/'4. NPV'!RYO$8,0)</f>
        <v>0</v>
      </c>
      <c r="RYO54" s="5">
        <f>-IFERROR('4. NPV'!#REF!/'4. NPV'!RYP$8,0)</f>
        <v>0</v>
      </c>
      <c r="RYP54" s="5">
        <f>-IFERROR('4. NPV'!#REF!/'4. NPV'!RYQ$8,0)</f>
        <v>0</v>
      </c>
      <c r="RYQ54" s="5">
        <f>-IFERROR('4. NPV'!#REF!/'4. NPV'!RYR$8,0)</f>
        <v>0</v>
      </c>
      <c r="RYR54" s="5">
        <f>-IFERROR('4. NPV'!#REF!/'4. NPV'!RYS$8,0)</f>
        <v>0</v>
      </c>
      <c r="RYS54" s="5">
        <f>-IFERROR('4. NPV'!#REF!/'4. NPV'!RYT$8,0)</f>
        <v>0</v>
      </c>
      <c r="RYT54" s="5">
        <f>-IFERROR('4. NPV'!#REF!/'4. NPV'!RYU$8,0)</f>
        <v>0</v>
      </c>
      <c r="RYU54" s="5">
        <f>-IFERROR('4. NPV'!#REF!/'4. NPV'!RYV$8,0)</f>
        <v>0</v>
      </c>
      <c r="RYV54" s="5">
        <f>-IFERROR('4. NPV'!#REF!/'4. NPV'!RYW$8,0)</f>
        <v>0</v>
      </c>
      <c r="RYW54" s="5">
        <f>-IFERROR('4. NPV'!#REF!/'4. NPV'!RYX$8,0)</f>
        <v>0</v>
      </c>
      <c r="RYX54" s="5">
        <f>-IFERROR('4. NPV'!#REF!/'4. NPV'!RYY$8,0)</f>
        <v>0</v>
      </c>
      <c r="RYY54" s="5">
        <f>-IFERROR('4. NPV'!#REF!/'4. NPV'!RYZ$8,0)</f>
        <v>0</v>
      </c>
      <c r="RYZ54" s="5">
        <f>-IFERROR('4. NPV'!#REF!/'4. NPV'!RZA$8,0)</f>
        <v>0</v>
      </c>
      <c r="RZA54" s="5">
        <f>-IFERROR('4. NPV'!#REF!/'4. NPV'!RZB$8,0)</f>
        <v>0</v>
      </c>
      <c r="RZB54" s="5">
        <f>-IFERROR('4. NPV'!#REF!/'4. NPV'!RZC$8,0)</f>
        <v>0</v>
      </c>
      <c r="RZC54" s="5">
        <f>-IFERROR('4. NPV'!#REF!/'4. NPV'!RZD$8,0)</f>
        <v>0</v>
      </c>
      <c r="RZD54" s="5">
        <f>-IFERROR('4. NPV'!#REF!/'4. NPV'!RZE$8,0)</f>
        <v>0</v>
      </c>
      <c r="RZE54" s="5">
        <f>-IFERROR('4. NPV'!#REF!/'4. NPV'!RZF$8,0)</f>
        <v>0</v>
      </c>
      <c r="RZF54" s="5">
        <f>-IFERROR('4. NPV'!#REF!/'4. NPV'!RZG$8,0)</f>
        <v>0</v>
      </c>
      <c r="RZG54" s="5">
        <f>-IFERROR('4. NPV'!#REF!/'4. NPV'!RZH$8,0)</f>
        <v>0</v>
      </c>
      <c r="RZH54" s="5">
        <f>-IFERROR('4. NPV'!#REF!/'4. NPV'!RZI$8,0)</f>
        <v>0</v>
      </c>
      <c r="RZI54" s="5">
        <f>-IFERROR('4. NPV'!#REF!/'4. NPV'!RZJ$8,0)</f>
        <v>0</v>
      </c>
      <c r="RZJ54" s="5">
        <f>-IFERROR('4. NPV'!#REF!/'4. NPV'!RZK$8,0)</f>
        <v>0</v>
      </c>
      <c r="RZK54" s="5">
        <f>-IFERROR('4. NPV'!#REF!/'4. NPV'!RZL$8,0)</f>
        <v>0</v>
      </c>
      <c r="RZL54" s="5">
        <f>-IFERROR('4. NPV'!#REF!/'4. NPV'!RZM$8,0)</f>
        <v>0</v>
      </c>
      <c r="RZM54" s="5">
        <f>-IFERROR('4. NPV'!#REF!/'4. NPV'!RZN$8,0)</f>
        <v>0</v>
      </c>
      <c r="RZN54" s="5">
        <f>-IFERROR('4. NPV'!#REF!/'4. NPV'!RZO$8,0)</f>
        <v>0</v>
      </c>
      <c r="RZO54" s="5">
        <f>-IFERROR('4. NPV'!#REF!/'4. NPV'!RZP$8,0)</f>
        <v>0</v>
      </c>
      <c r="RZP54" s="5">
        <f>-IFERROR('4. NPV'!#REF!/'4. NPV'!RZQ$8,0)</f>
        <v>0</v>
      </c>
      <c r="RZQ54" s="5">
        <f>-IFERROR('4. NPV'!#REF!/'4. NPV'!RZR$8,0)</f>
        <v>0</v>
      </c>
      <c r="RZR54" s="5">
        <f>-IFERROR('4. NPV'!#REF!/'4. NPV'!RZS$8,0)</f>
        <v>0</v>
      </c>
      <c r="RZS54" s="5">
        <f>-IFERROR('4. NPV'!#REF!/'4. NPV'!RZT$8,0)</f>
        <v>0</v>
      </c>
      <c r="RZT54" s="5">
        <f>-IFERROR('4. NPV'!#REF!/'4. NPV'!RZU$8,0)</f>
        <v>0</v>
      </c>
      <c r="RZU54" s="5">
        <f>-IFERROR('4. NPV'!#REF!/'4. NPV'!RZV$8,0)</f>
        <v>0</v>
      </c>
      <c r="RZV54" s="5">
        <f>-IFERROR('4. NPV'!#REF!/'4. NPV'!RZW$8,0)</f>
        <v>0</v>
      </c>
      <c r="RZW54" s="5">
        <f>-IFERROR('4. NPV'!#REF!/'4. NPV'!RZX$8,0)</f>
        <v>0</v>
      </c>
      <c r="RZX54" s="5">
        <f>-IFERROR('4. NPV'!#REF!/'4. NPV'!RZY$8,0)</f>
        <v>0</v>
      </c>
      <c r="RZY54" s="5">
        <f>-IFERROR('4. NPV'!#REF!/'4. NPV'!RZZ$8,0)</f>
        <v>0</v>
      </c>
      <c r="RZZ54" s="5">
        <f>-IFERROR('4. NPV'!#REF!/'4. NPV'!SAA$8,0)</f>
        <v>0</v>
      </c>
      <c r="SAA54" s="5">
        <f>-IFERROR('4. NPV'!#REF!/'4. NPV'!SAB$8,0)</f>
        <v>0</v>
      </c>
      <c r="SAB54" s="5">
        <f>-IFERROR('4. NPV'!#REF!/'4. NPV'!SAC$8,0)</f>
        <v>0</v>
      </c>
      <c r="SAC54" s="5">
        <f>-IFERROR('4. NPV'!#REF!/'4. NPV'!SAD$8,0)</f>
        <v>0</v>
      </c>
      <c r="SAD54" s="5">
        <f>-IFERROR('4. NPV'!#REF!/'4. NPV'!SAE$8,0)</f>
        <v>0</v>
      </c>
      <c r="SAE54" s="5">
        <f>-IFERROR('4. NPV'!#REF!/'4. NPV'!SAF$8,0)</f>
        <v>0</v>
      </c>
      <c r="SAF54" s="5">
        <f>-IFERROR('4. NPV'!#REF!/'4. NPV'!SAG$8,0)</f>
        <v>0</v>
      </c>
      <c r="SAG54" s="5">
        <f>-IFERROR('4. NPV'!#REF!/'4. NPV'!SAH$8,0)</f>
        <v>0</v>
      </c>
      <c r="SAH54" s="5">
        <f>-IFERROR('4. NPV'!#REF!/'4. NPV'!SAI$8,0)</f>
        <v>0</v>
      </c>
      <c r="SAI54" s="5">
        <f>-IFERROR('4. NPV'!#REF!/'4. NPV'!SAJ$8,0)</f>
        <v>0</v>
      </c>
      <c r="SAJ54" s="5">
        <f>-IFERROR('4. NPV'!#REF!/'4. NPV'!SAK$8,0)</f>
        <v>0</v>
      </c>
      <c r="SAK54" s="5">
        <f>-IFERROR('4. NPV'!#REF!/'4. NPV'!SAL$8,0)</f>
        <v>0</v>
      </c>
      <c r="SAL54" s="5">
        <f>-IFERROR('4. NPV'!#REF!/'4. NPV'!SAM$8,0)</f>
        <v>0</v>
      </c>
      <c r="SAM54" s="5">
        <f>-IFERROR('4. NPV'!#REF!/'4. NPV'!SAN$8,0)</f>
        <v>0</v>
      </c>
      <c r="SAN54" s="5">
        <f>-IFERROR('4. NPV'!#REF!/'4. NPV'!SAO$8,0)</f>
        <v>0</v>
      </c>
      <c r="SAO54" s="5">
        <f>-IFERROR('4. NPV'!#REF!/'4. NPV'!SAP$8,0)</f>
        <v>0</v>
      </c>
      <c r="SAP54" s="5">
        <f>-IFERROR('4. NPV'!#REF!/'4. NPV'!SAQ$8,0)</f>
        <v>0</v>
      </c>
      <c r="SAQ54" s="5">
        <f>-IFERROR('4. NPV'!#REF!/'4. NPV'!SAR$8,0)</f>
        <v>0</v>
      </c>
      <c r="SAR54" s="5">
        <f>-IFERROR('4. NPV'!#REF!/'4. NPV'!SAS$8,0)</f>
        <v>0</v>
      </c>
      <c r="SAS54" s="5">
        <f>-IFERROR('4. NPV'!#REF!/'4. NPV'!SAT$8,0)</f>
        <v>0</v>
      </c>
      <c r="SAT54" s="5">
        <f>-IFERROR('4. NPV'!#REF!/'4. NPV'!SAU$8,0)</f>
        <v>0</v>
      </c>
      <c r="SAU54" s="5">
        <f>-IFERROR('4. NPV'!#REF!/'4. NPV'!SAV$8,0)</f>
        <v>0</v>
      </c>
      <c r="SAV54" s="5">
        <f>-IFERROR('4. NPV'!#REF!/'4. NPV'!SAW$8,0)</f>
        <v>0</v>
      </c>
      <c r="SAW54" s="5">
        <f>-IFERROR('4. NPV'!#REF!/'4. NPV'!SAX$8,0)</f>
        <v>0</v>
      </c>
      <c r="SAX54" s="5">
        <f>-IFERROR('4. NPV'!#REF!/'4. NPV'!SAY$8,0)</f>
        <v>0</v>
      </c>
      <c r="SAY54" s="5">
        <f>-IFERROR('4. NPV'!#REF!/'4. NPV'!SAZ$8,0)</f>
        <v>0</v>
      </c>
      <c r="SAZ54" s="5">
        <f>-IFERROR('4. NPV'!#REF!/'4. NPV'!SBA$8,0)</f>
        <v>0</v>
      </c>
      <c r="SBA54" s="5">
        <f>-IFERROR('4. NPV'!#REF!/'4. NPV'!SBB$8,0)</f>
        <v>0</v>
      </c>
      <c r="SBB54" s="5">
        <f>-IFERROR('4. NPV'!#REF!/'4. NPV'!SBC$8,0)</f>
        <v>0</v>
      </c>
      <c r="SBC54" s="5">
        <f>-IFERROR('4. NPV'!#REF!/'4. NPV'!SBD$8,0)</f>
        <v>0</v>
      </c>
      <c r="SBD54" s="5">
        <f>-IFERROR('4. NPV'!#REF!/'4. NPV'!SBE$8,0)</f>
        <v>0</v>
      </c>
      <c r="SBE54" s="5">
        <f>-IFERROR('4. NPV'!#REF!/'4. NPV'!SBF$8,0)</f>
        <v>0</v>
      </c>
      <c r="SBF54" s="5">
        <f>-IFERROR('4. NPV'!#REF!/'4. NPV'!SBG$8,0)</f>
        <v>0</v>
      </c>
      <c r="SBG54" s="5">
        <f>-IFERROR('4. NPV'!#REF!/'4. NPV'!SBH$8,0)</f>
        <v>0</v>
      </c>
      <c r="SBH54" s="5">
        <f>-IFERROR('4. NPV'!#REF!/'4. NPV'!SBI$8,0)</f>
        <v>0</v>
      </c>
      <c r="SBI54" s="5">
        <f>-IFERROR('4. NPV'!#REF!/'4. NPV'!SBJ$8,0)</f>
        <v>0</v>
      </c>
      <c r="SBJ54" s="5">
        <f>-IFERROR('4. NPV'!#REF!/'4. NPV'!SBK$8,0)</f>
        <v>0</v>
      </c>
      <c r="SBK54" s="5">
        <f>-IFERROR('4. NPV'!#REF!/'4. NPV'!SBL$8,0)</f>
        <v>0</v>
      </c>
      <c r="SBL54" s="5">
        <f>-IFERROR('4. NPV'!#REF!/'4. NPV'!SBM$8,0)</f>
        <v>0</v>
      </c>
      <c r="SBM54" s="5">
        <f>-IFERROR('4. NPV'!#REF!/'4. NPV'!SBN$8,0)</f>
        <v>0</v>
      </c>
      <c r="SBN54" s="5">
        <f>-IFERROR('4. NPV'!#REF!/'4. NPV'!SBO$8,0)</f>
        <v>0</v>
      </c>
      <c r="SBO54" s="5">
        <f>-IFERROR('4. NPV'!#REF!/'4. NPV'!SBP$8,0)</f>
        <v>0</v>
      </c>
      <c r="SBP54" s="5">
        <f>-IFERROR('4. NPV'!#REF!/'4. NPV'!SBQ$8,0)</f>
        <v>0</v>
      </c>
      <c r="SBQ54" s="5">
        <f>-IFERROR('4. NPV'!#REF!/'4. NPV'!SBR$8,0)</f>
        <v>0</v>
      </c>
      <c r="SBR54" s="5">
        <f>-IFERROR('4. NPV'!#REF!/'4. NPV'!SBS$8,0)</f>
        <v>0</v>
      </c>
      <c r="SBS54" s="5">
        <f>-IFERROR('4. NPV'!#REF!/'4. NPV'!SBT$8,0)</f>
        <v>0</v>
      </c>
      <c r="SBT54" s="5">
        <f>-IFERROR('4. NPV'!#REF!/'4. NPV'!SBU$8,0)</f>
        <v>0</v>
      </c>
      <c r="SBU54" s="5">
        <f>-IFERROR('4. NPV'!#REF!/'4. NPV'!SBV$8,0)</f>
        <v>0</v>
      </c>
      <c r="SBV54" s="5">
        <f>-IFERROR('4. NPV'!#REF!/'4. NPV'!SBW$8,0)</f>
        <v>0</v>
      </c>
      <c r="SBW54" s="5">
        <f>-IFERROR('4. NPV'!#REF!/'4. NPV'!SBX$8,0)</f>
        <v>0</v>
      </c>
      <c r="SBX54" s="5">
        <f>-IFERROR('4. NPV'!#REF!/'4. NPV'!SBY$8,0)</f>
        <v>0</v>
      </c>
      <c r="SBY54" s="5">
        <f>-IFERROR('4. NPV'!#REF!/'4. NPV'!SBZ$8,0)</f>
        <v>0</v>
      </c>
      <c r="SBZ54" s="5">
        <f>-IFERROR('4. NPV'!#REF!/'4. NPV'!SCA$8,0)</f>
        <v>0</v>
      </c>
      <c r="SCA54" s="5">
        <f>-IFERROR('4. NPV'!#REF!/'4. NPV'!SCB$8,0)</f>
        <v>0</v>
      </c>
      <c r="SCB54" s="5">
        <f>-IFERROR('4. NPV'!#REF!/'4. NPV'!SCC$8,0)</f>
        <v>0</v>
      </c>
      <c r="SCC54" s="5">
        <f>-IFERROR('4. NPV'!#REF!/'4. NPV'!SCD$8,0)</f>
        <v>0</v>
      </c>
      <c r="SCD54" s="5">
        <f>-IFERROR('4. NPV'!#REF!/'4. NPV'!SCE$8,0)</f>
        <v>0</v>
      </c>
      <c r="SCE54" s="5">
        <f>-IFERROR('4. NPV'!#REF!/'4. NPV'!SCF$8,0)</f>
        <v>0</v>
      </c>
      <c r="SCF54" s="5">
        <f>-IFERROR('4. NPV'!#REF!/'4. NPV'!SCG$8,0)</f>
        <v>0</v>
      </c>
      <c r="SCG54" s="5">
        <f>-IFERROR('4. NPV'!#REF!/'4. NPV'!SCH$8,0)</f>
        <v>0</v>
      </c>
      <c r="SCH54" s="5">
        <f>-IFERROR('4. NPV'!#REF!/'4. NPV'!SCI$8,0)</f>
        <v>0</v>
      </c>
      <c r="SCI54" s="5">
        <f>-IFERROR('4. NPV'!#REF!/'4. NPV'!SCJ$8,0)</f>
        <v>0</v>
      </c>
      <c r="SCJ54" s="5">
        <f>-IFERROR('4. NPV'!#REF!/'4. NPV'!SCK$8,0)</f>
        <v>0</v>
      </c>
      <c r="SCK54" s="5">
        <f>-IFERROR('4. NPV'!#REF!/'4. NPV'!SCL$8,0)</f>
        <v>0</v>
      </c>
      <c r="SCL54" s="5">
        <f>-IFERROR('4. NPV'!#REF!/'4. NPV'!SCM$8,0)</f>
        <v>0</v>
      </c>
      <c r="SCM54" s="5">
        <f>-IFERROR('4. NPV'!#REF!/'4. NPV'!SCN$8,0)</f>
        <v>0</v>
      </c>
      <c r="SCN54" s="5">
        <f>-IFERROR('4. NPV'!#REF!/'4. NPV'!SCO$8,0)</f>
        <v>0</v>
      </c>
      <c r="SCO54" s="5">
        <f>-IFERROR('4. NPV'!#REF!/'4. NPV'!SCP$8,0)</f>
        <v>0</v>
      </c>
      <c r="SCP54" s="5">
        <f>-IFERROR('4. NPV'!#REF!/'4. NPV'!SCQ$8,0)</f>
        <v>0</v>
      </c>
      <c r="SCQ54" s="5">
        <f>-IFERROR('4. NPV'!#REF!/'4. NPV'!SCR$8,0)</f>
        <v>0</v>
      </c>
      <c r="SCR54" s="5">
        <f>-IFERROR('4. NPV'!#REF!/'4. NPV'!SCS$8,0)</f>
        <v>0</v>
      </c>
      <c r="SCS54" s="5">
        <f>-IFERROR('4. NPV'!#REF!/'4. NPV'!SCT$8,0)</f>
        <v>0</v>
      </c>
      <c r="SCT54" s="5">
        <f>-IFERROR('4. NPV'!#REF!/'4. NPV'!SCU$8,0)</f>
        <v>0</v>
      </c>
      <c r="SCU54" s="5">
        <f>-IFERROR('4. NPV'!#REF!/'4. NPV'!SCV$8,0)</f>
        <v>0</v>
      </c>
      <c r="SCV54" s="5">
        <f>-IFERROR('4. NPV'!#REF!/'4. NPV'!SCW$8,0)</f>
        <v>0</v>
      </c>
      <c r="SCW54" s="5">
        <f>-IFERROR('4. NPV'!#REF!/'4. NPV'!SCX$8,0)</f>
        <v>0</v>
      </c>
      <c r="SCX54" s="5">
        <f>-IFERROR('4. NPV'!#REF!/'4. NPV'!SCY$8,0)</f>
        <v>0</v>
      </c>
      <c r="SCY54" s="5">
        <f>-IFERROR('4. NPV'!#REF!/'4. NPV'!SCZ$8,0)</f>
        <v>0</v>
      </c>
      <c r="SCZ54" s="5">
        <f>-IFERROR('4. NPV'!#REF!/'4. NPV'!SDA$8,0)</f>
        <v>0</v>
      </c>
      <c r="SDA54" s="5">
        <f>-IFERROR('4. NPV'!#REF!/'4. NPV'!SDB$8,0)</f>
        <v>0</v>
      </c>
      <c r="SDB54" s="5">
        <f>-IFERROR('4. NPV'!#REF!/'4. NPV'!SDC$8,0)</f>
        <v>0</v>
      </c>
      <c r="SDC54" s="5">
        <f>-IFERROR('4. NPV'!#REF!/'4. NPV'!SDD$8,0)</f>
        <v>0</v>
      </c>
      <c r="SDD54" s="5">
        <f>-IFERROR('4. NPV'!#REF!/'4. NPV'!SDE$8,0)</f>
        <v>0</v>
      </c>
      <c r="SDE54" s="5">
        <f>-IFERROR('4. NPV'!#REF!/'4. NPV'!SDF$8,0)</f>
        <v>0</v>
      </c>
      <c r="SDF54" s="5">
        <f>-IFERROR('4. NPV'!#REF!/'4. NPV'!SDG$8,0)</f>
        <v>0</v>
      </c>
      <c r="SDG54" s="5">
        <f>-IFERROR('4. NPV'!#REF!/'4. NPV'!SDH$8,0)</f>
        <v>0</v>
      </c>
      <c r="SDH54" s="5">
        <f>-IFERROR('4. NPV'!#REF!/'4. NPV'!SDI$8,0)</f>
        <v>0</v>
      </c>
      <c r="SDI54" s="5">
        <f>-IFERROR('4. NPV'!#REF!/'4. NPV'!SDJ$8,0)</f>
        <v>0</v>
      </c>
      <c r="SDJ54" s="5">
        <f>-IFERROR('4. NPV'!#REF!/'4. NPV'!SDK$8,0)</f>
        <v>0</v>
      </c>
      <c r="SDK54" s="5">
        <f>-IFERROR('4. NPV'!#REF!/'4. NPV'!SDL$8,0)</f>
        <v>0</v>
      </c>
      <c r="SDL54" s="5">
        <f>-IFERROR('4. NPV'!#REF!/'4. NPV'!SDM$8,0)</f>
        <v>0</v>
      </c>
      <c r="SDM54" s="5">
        <f>-IFERROR('4. NPV'!#REF!/'4. NPV'!SDN$8,0)</f>
        <v>0</v>
      </c>
      <c r="SDN54" s="5">
        <f>-IFERROR('4. NPV'!#REF!/'4. NPV'!SDO$8,0)</f>
        <v>0</v>
      </c>
      <c r="SDO54" s="5">
        <f>-IFERROR('4. NPV'!#REF!/'4. NPV'!SDP$8,0)</f>
        <v>0</v>
      </c>
      <c r="SDP54" s="5">
        <f>-IFERROR('4. NPV'!#REF!/'4. NPV'!SDQ$8,0)</f>
        <v>0</v>
      </c>
      <c r="SDQ54" s="5">
        <f>-IFERROR('4. NPV'!#REF!/'4. NPV'!SDR$8,0)</f>
        <v>0</v>
      </c>
      <c r="SDR54" s="5">
        <f>-IFERROR('4. NPV'!#REF!/'4. NPV'!SDS$8,0)</f>
        <v>0</v>
      </c>
      <c r="SDS54" s="5">
        <f>-IFERROR('4. NPV'!#REF!/'4. NPV'!SDT$8,0)</f>
        <v>0</v>
      </c>
      <c r="SDT54" s="5">
        <f>-IFERROR('4. NPV'!#REF!/'4. NPV'!SDU$8,0)</f>
        <v>0</v>
      </c>
      <c r="SDU54" s="5">
        <f>-IFERROR('4. NPV'!#REF!/'4. NPV'!SDV$8,0)</f>
        <v>0</v>
      </c>
      <c r="SDV54" s="5">
        <f>-IFERROR('4. NPV'!#REF!/'4. NPV'!SDW$8,0)</f>
        <v>0</v>
      </c>
      <c r="SDW54" s="5">
        <f>-IFERROR('4. NPV'!#REF!/'4. NPV'!SDX$8,0)</f>
        <v>0</v>
      </c>
      <c r="SDX54" s="5">
        <f>-IFERROR('4. NPV'!#REF!/'4. NPV'!SDY$8,0)</f>
        <v>0</v>
      </c>
      <c r="SDY54" s="5">
        <f>-IFERROR('4. NPV'!#REF!/'4. NPV'!SDZ$8,0)</f>
        <v>0</v>
      </c>
      <c r="SDZ54" s="5">
        <f>-IFERROR('4. NPV'!#REF!/'4. NPV'!SEA$8,0)</f>
        <v>0</v>
      </c>
      <c r="SEA54" s="5">
        <f>-IFERROR('4. NPV'!#REF!/'4. NPV'!SEB$8,0)</f>
        <v>0</v>
      </c>
      <c r="SEB54" s="5">
        <f>-IFERROR('4. NPV'!#REF!/'4. NPV'!SEC$8,0)</f>
        <v>0</v>
      </c>
      <c r="SEC54" s="5">
        <f>-IFERROR('4. NPV'!#REF!/'4. NPV'!SED$8,0)</f>
        <v>0</v>
      </c>
      <c r="SED54" s="5">
        <f>-IFERROR('4. NPV'!#REF!/'4. NPV'!SEE$8,0)</f>
        <v>0</v>
      </c>
      <c r="SEE54" s="5">
        <f>-IFERROR('4. NPV'!#REF!/'4. NPV'!SEF$8,0)</f>
        <v>0</v>
      </c>
      <c r="SEF54" s="5">
        <f>-IFERROR('4. NPV'!#REF!/'4. NPV'!SEG$8,0)</f>
        <v>0</v>
      </c>
      <c r="SEG54" s="5">
        <f>-IFERROR('4. NPV'!#REF!/'4. NPV'!SEH$8,0)</f>
        <v>0</v>
      </c>
      <c r="SEH54" s="5">
        <f>-IFERROR('4. NPV'!#REF!/'4. NPV'!SEI$8,0)</f>
        <v>0</v>
      </c>
      <c r="SEI54" s="5">
        <f>-IFERROR('4. NPV'!#REF!/'4. NPV'!SEJ$8,0)</f>
        <v>0</v>
      </c>
      <c r="SEJ54" s="5">
        <f>-IFERROR('4. NPV'!#REF!/'4. NPV'!SEK$8,0)</f>
        <v>0</v>
      </c>
      <c r="SEK54" s="5">
        <f>-IFERROR('4. NPV'!#REF!/'4. NPV'!SEL$8,0)</f>
        <v>0</v>
      </c>
      <c r="SEL54" s="5">
        <f>-IFERROR('4. NPV'!#REF!/'4. NPV'!SEM$8,0)</f>
        <v>0</v>
      </c>
      <c r="SEM54" s="5">
        <f>-IFERROR('4. NPV'!#REF!/'4. NPV'!SEN$8,0)</f>
        <v>0</v>
      </c>
      <c r="SEN54" s="5">
        <f>-IFERROR('4. NPV'!#REF!/'4. NPV'!SEO$8,0)</f>
        <v>0</v>
      </c>
      <c r="SEO54" s="5">
        <f>-IFERROR('4. NPV'!#REF!/'4. NPV'!SEP$8,0)</f>
        <v>0</v>
      </c>
      <c r="SEP54" s="5">
        <f>-IFERROR('4. NPV'!#REF!/'4. NPV'!SEQ$8,0)</f>
        <v>0</v>
      </c>
      <c r="SEQ54" s="5">
        <f>-IFERROR('4. NPV'!#REF!/'4. NPV'!SER$8,0)</f>
        <v>0</v>
      </c>
      <c r="SER54" s="5">
        <f>-IFERROR('4. NPV'!#REF!/'4. NPV'!SES$8,0)</f>
        <v>0</v>
      </c>
      <c r="SES54" s="5">
        <f>-IFERROR('4. NPV'!#REF!/'4. NPV'!SET$8,0)</f>
        <v>0</v>
      </c>
      <c r="SET54" s="5">
        <f>-IFERROR('4. NPV'!#REF!/'4. NPV'!SEU$8,0)</f>
        <v>0</v>
      </c>
      <c r="SEU54" s="5">
        <f>-IFERROR('4. NPV'!#REF!/'4. NPV'!SEV$8,0)</f>
        <v>0</v>
      </c>
      <c r="SEV54" s="5">
        <f>-IFERROR('4. NPV'!#REF!/'4. NPV'!SEW$8,0)</f>
        <v>0</v>
      </c>
      <c r="SEW54" s="5">
        <f>-IFERROR('4. NPV'!#REF!/'4. NPV'!SEX$8,0)</f>
        <v>0</v>
      </c>
      <c r="SEX54" s="5">
        <f>-IFERROR('4. NPV'!#REF!/'4. NPV'!SEY$8,0)</f>
        <v>0</v>
      </c>
      <c r="SEY54" s="5">
        <f>-IFERROR('4. NPV'!#REF!/'4. NPV'!SEZ$8,0)</f>
        <v>0</v>
      </c>
      <c r="SEZ54" s="5">
        <f>-IFERROR('4. NPV'!#REF!/'4. NPV'!SFA$8,0)</f>
        <v>0</v>
      </c>
      <c r="SFA54" s="5">
        <f>-IFERROR('4. NPV'!#REF!/'4. NPV'!SFB$8,0)</f>
        <v>0</v>
      </c>
      <c r="SFB54" s="5">
        <f>-IFERROR('4. NPV'!#REF!/'4. NPV'!SFC$8,0)</f>
        <v>0</v>
      </c>
      <c r="SFC54" s="5">
        <f>-IFERROR('4. NPV'!#REF!/'4. NPV'!SFD$8,0)</f>
        <v>0</v>
      </c>
      <c r="SFD54" s="5">
        <f>-IFERROR('4. NPV'!#REF!/'4. NPV'!SFE$8,0)</f>
        <v>0</v>
      </c>
      <c r="SFE54" s="5">
        <f>-IFERROR('4. NPV'!#REF!/'4. NPV'!SFF$8,0)</f>
        <v>0</v>
      </c>
      <c r="SFF54" s="5">
        <f>-IFERROR('4. NPV'!#REF!/'4. NPV'!SFG$8,0)</f>
        <v>0</v>
      </c>
      <c r="SFG54" s="5">
        <f>-IFERROR('4. NPV'!#REF!/'4. NPV'!SFH$8,0)</f>
        <v>0</v>
      </c>
      <c r="SFH54" s="5">
        <f>-IFERROR('4. NPV'!#REF!/'4. NPV'!SFI$8,0)</f>
        <v>0</v>
      </c>
      <c r="SFI54" s="5">
        <f>-IFERROR('4. NPV'!#REF!/'4. NPV'!SFJ$8,0)</f>
        <v>0</v>
      </c>
      <c r="SFJ54" s="5">
        <f>-IFERROR('4. NPV'!#REF!/'4. NPV'!SFK$8,0)</f>
        <v>0</v>
      </c>
      <c r="SFK54" s="5">
        <f>-IFERROR('4. NPV'!#REF!/'4. NPV'!SFL$8,0)</f>
        <v>0</v>
      </c>
      <c r="SFL54" s="5">
        <f>-IFERROR('4. NPV'!#REF!/'4. NPV'!SFM$8,0)</f>
        <v>0</v>
      </c>
      <c r="SFM54" s="5">
        <f>-IFERROR('4. NPV'!#REF!/'4. NPV'!SFN$8,0)</f>
        <v>0</v>
      </c>
      <c r="SFN54" s="5">
        <f>-IFERROR('4. NPV'!#REF!/'4. NPV'!SFO$8,0)</f>
        <v>0</v>
      </c>
      <c r="SFO54" s="5">
        <f>-IFERROR('4. NPV'!#REF!/'4. NPV'!SFP$8,0)</f>
        <v>0</v>
      </c>
      <c r="SFP54" s="5">
        <f>-IFERROR('4. NPV'!#REF!/'4. NPV'!SFQ$8,0)</f>
        <v>0</v>
      </c>
      <c r="SFQ54" s="5">
        <f>-IFERROR('4. NPV'!#REF!/'4. NPV'!SFR$8,0)</f>
        <v>0</v>
      </c>
      <c r="SFR54" s="5">
        <f>-IFERROR('4. NPV'!#REF!/'4. NPV'!SFS$8,0)</f>
        <v>0</v>
      </c>
      <c r="SFS54" s="5">
        <f>-IFERROR('4. NPV'!#REF!/'4. NPV'!SFT$8,0)</f>
        <v>0</v>
      </c>
      <c r="SFT54" s="5">
        <f>-IFERROR('4. NPV'!#REF!/'4. NPV'!SFU$8,0)</f>
        <v>0</v>
      </c>
      <c r="SFU54" s="5">
        <f>-IFERROR('4. NPV'!#REF!/'4. NPV'!SFV$8,0)</f>
        <v>0</v>
      </c>
      <c r="SFV54" s="5">
        <f>-IFERROR('4. NPV'!#REF!/'4. NPV'!SFW$8,0)</f>
        <v>0</v>
      </c>
      <c r="SFW54" s="5">
        <f>-IFERROR('4. NPV'!#REF!/'4. NPV'!SFX$8,0)</f>
        <v>0</v>
      </c>
      <c r="SFX54" s="5">
        <f>-IFERROR('4. NPV'!#REF!/'4. NPV'!SFY$8,0)</f>
        <v>0</v>
      </c>
      <c r="SFY54" s="5">
        <f>-IFERROR('4. NPV'!#REF!/'4. NPV'!SFZ$8,0)</f>
        <v>0</v>
      </c>
      <c r="SFZ54" s="5">
        <f>-IFERROR('4. NPV'!#REF!/'4. NPV'!SGA$8,0)</f>
        <v>0</v>
      </c>
      <c r="SGA54" s="5">
        <f>-IFERROR('4. NPV'!#REF!/'4. NPV'!SGB$8,0)</f>
        <v>0</v>
      </c>
      <c r="SGB54" s="5">
        <f>-IFERROR('4. NPV'!#REF!/'4. NPV'!SGC$8,0)</f>
        <v>0</v>
      </c>
      <c r="SGC54" s="5">
        <f>-IFERROR('4. NPV'!#REF!/'4. NPV'!SGD$8,0)</f>
        <v>0</v>
      </c>
      <c r="SGD54" s="5">
        <f>-IFERROR('4. NPV'!#REF!/'4. NPV'!SGE$8,0)</f>
        <v>0</v>
      </c>
      <c r="SGE54" s="5">
        <f>-IFERROR('4. NPV'!#REF!/'4. NPV'!SGF$8,0)</f>
        <v>0</v>
      </c>
      <c r="SGF54" s="5">
        <f>-IFERROR('4. NPV'!#REF!/'4. NPV'!SGG$8,0)</f>
        <v>0</v>
      </c>
      <c r="SGG54" s="5">
        <f>-IFERROR('4. NPV'!#REF!/'4. NPV'!SGH$8,0)</f>
        <v>0</v>
      </c>
      <c r="SGH54" s="5">
        <f>-IFERROR('4. NPV'!#REF!/'4. NPV'!SGI$8,0)</f>
        <v>0</v>
      </c>
      <c r="SGI54" s="5">
        <f>-IFERROR('4. NPV'!#REF!/'4. NPV'!SGJ$8,0)</f>
        <v>0</v>
      </c>
      <c r="SGJ54" s="5">
        <f>-IFERROR('4. NPV'!#REF!/'4. NPV'!SGK$8,0)</f>
        <v>0</v>
      </c>
      <c r="SGK54" s="5">
        <f>-IFERROR('4. NPV'!#REF!/'4. NPV'!SGL$8,0)</f>
        <v>0</v>
      </c>
      <c r="SGL54" s="5">
        <f>-IFERROR('4. NPV'!#REF!/'4. NPV'!SGM$8,0)</f>
        <v>0</v>
      </c>
      <c r="SGM54" s="5">
        <f>-IFERROR('4. NPV'!#REF!/'4. NPV'!SGN$8,0)</f>
        <v>0</v>
      </c>
      <c r="SGN54" s="5">
        <f>-IFERROR('4. NPV'!#REF!/'4. NPV'!SGO$8,0)</f>
        <v>0</v>
      </c>
      <c r="SGO54" s="5">
        <f>-IFERROR('4. NPV'!#REF!/'4. NPV'!SGP$8,0)</f>
        <v>0</v>
      </c>
      <c r="SGP54" s="5">
        <f>-IFERROR('4. NPV'!#REF!/'4. NPV'!SGQ$8,0)</f>
        <v>0</v>
      </c>
      <c r="SGQ54" s="5">
        <f>-IFERROR('4. NPV'!#REF!/'4. NPV'!SGR$8,0)</f>
        <v>0</v>
      </c>
      <c r="SGR54" s="5">
        <f>-IFERROR('4. NPV'!#REF!/'4. NPV'!SGS$8,0)</f>
        <v>0</v>
      </c>
      <c r="SGS54" s="5">
        <f>-IFERROR('4. NPV'!#REF!/'4. NPV'!SGT$8,0)</f>
        <v>0</v>
      </c>
      <c r="SGT54" s="5">
        <f>-IFERROR('4. NPV'!#REF!/'4. NPV'!SGU$8,0)</f>
        <v>0</v>
      </c>
      <c r="SGU54" s="5">
        <f>-IFERROR('4. NPV'!#REF!/'4. NPV'!SGV$8,0)</f>
        <v>0</v>
      </c>
      <c r="SGV54" s="5">
        <f>-IFERROR('4. NPV'!#REF!/'4. NPV'!SGW$8,0)</f>
        <v>0</v>
      </c>
      <c r="SGW54" s="5">
        <f>-IFERROR('4. NPV'!#REF!/'4. NPV'!SGX$8,0)</f>
        <v>0</v>
      </c>
      <c r="SGX54" s="5">
        <f>-IFERROR('4. NPV'!#REF!/'4. NPV'!SGY$8,0)</f>
        <v>0</v>
      </c>
      <c r="SGY54" s="5">
        <f>-IFERROR('4. NPV'!#REF!/'4. NPV'!SGZ$8,0)</f>
        <v>0</v>
      </c>
      <c r="SGZ54" s="5">
        <f>-IFERROR('4. NPV'!#REF!/'4. NPV'!SHA$8,0)</f>
        <v>0</v>
      </c>
      <c r="SHA54" s="5">
        <f>-IFERROR('4. NPV'!#REF!/'4. NPV'!SHB$8,0)</f>
        <v>0</v>
      </c>
      <c r="SHB54" s="5">
        <f>-IFERROR('4. NPV'!#REF!/'4. NPV'!SHC$8,0)</f>
        <v>0</v>
      </c>
      <c r="SHC54" s="5">
        <f>-IFERROR('4. NPV'!#REF!/'4. NPV'!SHD$8,0)</f>
        <v>0</v>
      </c>
      <c r="SHD54" s="5">
        <f>-IFERROR('4. NPV'!#REF!/'4. NPV'!SHE$8,0)</f>
        <v>0</v>
      </c>
      <c r="SHE54" s="5">
        <f>-IFERROR('4. NPV'!#REF!/'4. NPV'!SHF$8,0)</f>
        <v>0</v>
      </c>
      <c r="SHF54" s="5">
        <f>-IFERROR('4. NPV'!#REF!/'4. NPV'!SHG$8,0)</f>
        <v>0</v>
      </c>
      <c r="SHG54" s="5">
        <f>-IFERROR('4. NPV'!#REF!/'4. NPV'!SHH$8,0)</f>
        <v>0</v>
      </c>
      <c r="SHH54" s="5">
        <f>-IFERROR('4. NPV'!#REF!/'4. NPV'!SHI$8,0)</f>
        <v>0</v>
      </c>
      <c r="SHI54" s="5">
        <f>-IFERROR('4. NPV'!#REF!/'4. NPV'!SHJ$8,0)</f>
        <v>0</v>
      </c>
      <c r="SHJ54" s="5">
        <f>-IFERROR('4. NPV'!#REF!/'4. NPV'!SHK$8,0)</f>
        <v>0</v>
      </c>
      <c r="SHK54" s="5">
        <f>-IFERROR('4. NPV'!#REF!/'4. NPV'!SHL$8,0)</f>
        <v>0</v>
      </c>
      <c r="SHL54" s="5">
        <f>-IFERROR('4. NPV'!#REF!/'4. NPV'!SHM$8,0)</f>
        <v>0</v>
      </c>
      <c r="SHM54" s="5">
        <f>-IFERROR('4. NPV'!#REF!/'4. NPV'!SHN$8,0)</f>
        <v>0</v>
      </c>
      <c r="SHN54" s="5">
        <f>-IFERROR('4. NPV'!#REF!/'4. NPV'!SHO$8,0)</f>
        <v>0</v>
      </c>
      <c r="SHO54" s="5">
        <f>-IFERROR('4. NPV'!#REF!/'4. NPV'!SHP$8,0)</f>
        <v>0</v>
      </c>
      <c r="SHP54" s="5">
        <f>-IFERROR('4. NPV'!#REF!/'4. NPV'!SHQ$8,0)</f>
        <v>0</v>
      </c>
      <c r="SHQ54" s="5">
        <f>-IFERROR('4. NPV'!#REF!/'4. NPV'!SHR$8,0)</f>
        <v>0</v>
      </c>
      <c r="SHR54" s="5">
        <f>-IFERROR('4. NPV'!#REF!/'4. NPV'!SHS$8,0)</f>
        <v>0</v>
      </c>
      <c r="SHS54" s="5">
        <f>-IFERROR('4. NPV'!#REF!/'4. NPV'!SHT$8,0)</f>
        <v>0</v>
      </c>
      <c r="SHT54" s="5">
        <f>-IFERROR('4. NPV'!#REF!/'4. NPV'!SHU$8,0)</f>
        <v>0</v>
      </c>
      <c r="SHU54" s="5">
        <f>-IFERROR('4. NPV'!#REF!/'4. NPV'!SHV$8,0)</f>
        <v>0</v>
      </c>
      <c r="SHV54" s="5">
        <f>-IFERROR('4. NPV'!#REF!/'4. NPV'!SHW$8,0)</f>
        <v>0</v>
      </c>
      <c r="SHW54" s="5">
        <f>-IFERROR('4. NPV'!#REF!/'4. NPV'!SHX$8,0)</f>
        <v>0</v>
      </c>
      <c r="SHX54" s="5">
        <f>-IFERROR('4. NPV'!#REF!/'4. NPV'!SHY$8,0)</f>
        <v>0</v>
      </c>
      <c r="SHY54" s="5">
        <f>-IFERROR('4. NPV'!#REF!/'4. NPV'!SHZ$8,0)</f>
        <v>0</v>
      </c>
      <c r="SHZ54" s="5">
        <f>-IFERROR('4. NPV'!#REF!/'4. NPV'!SIA$8,0)</f>
        <v>0</v>
      </c>
      <c r="SIA54" s="5">
        <f>-IFERROR('4. NPV'!#REF!/'4. NPV'!SIB$8,0)</f>
        <v>0</v>
      </c>
      <c r="SIB54" s="5">
        <f>-IFERROR('4. NPV'!#REF!/'4. NPV'!SIC$8,0)</f>
        <v>0</v>
      </c>
      <c r="SIC54" s="5">
        <f>-IFERROR('4. NPV'!#REF!/'4. NPV'!SID$8,0)</f>
        <v>0</v>
      </c>
      <c r="SID54" s="5">
        <f>-IFERROR('4. NPV'!#REF!/'4. NPV'!SIE$8,0)</f>
        <v>0</v>
      </c>
      <c r="SIE54" s="5">
        <f>-IFERROR('4. NPV'!#REF!/'4. NPV'!SIF$8,0)</f>
        <v>0</v>
      </c>
      <c r="SIF54" s="5">
        <f>-IFERROR('4. NPV'!#REF!/'4. NPV'!SIG$8,0)</f>
        <v>0</v>
      </c>
      <c r="SIG54" s="5">
        <f>-IFERROR('4. NPV'!#REF!/'4. NPV'!SIH$8,0)</f>
        <v>0</v>
      </c>
      <c r="SIH54" s="5">
        <f>-IFERROR('4. NPV'!#REF!/'4. NPV'!SII$8,0)</f>
        <v>0</v>
      </c>
      <c r="SII54" s="5">
        <f>-IFERROR('4. NPV'!#REF!/'4. NPV'!SIJ$8,0)</f>
        <v>0</v>
      </c>
      <c r="SIJ54" s="5">
        <f>-IFERROR('4. NPV'!#REF!/'4. NPV'!SIK$8,0)</f>
        <v>0</v>
      </c>
      <c r="SIK54" s="5">
        <f>-IFERROR('4. NPV'!#REF!/'4. NPV'!SIL$8,0)</f>
        <v>0</v>
      </c>
      <c r="SIL54" s="5">
        <f>-IFERROR('4. NPV'!#REF!/'4. NPV'!SIM$8,0)</f>
        <v>0</v>
      </c>
      <c r="SIM54" s="5">
        <f>-IFERROR('4. NPV'!#REF!/'4. NPV'!SIN$8,0)</f>
        <v>0</v>
      </c>
      <c r="SIN54" s="5">
        <f>-IFERROR('4. NPV'!#REF!/'4. NPV'!SIO$8,0)</f>
        <v>0</v>
      </c>
      <c r="SIO54" s="5">
        <f>-IFERROR('4. NPV'!#REF!/'4. NPV'!SIP$8,0)</f>
        <v>0</v>
      </c>
      <c r="SIP54" s="5">
        <f>-IFERROR('4. NPV'!#REF!/'4. NPV'!SIQ$8,0)</f>
        <v>0</v>
      </c>
      <c r="SIQ54" s="5">
        <f>-IFERROR('4. NPV'!#REF!/'4. NPV'!SIR$8,0)</f>
        <v>0</v>
      </c>
      <c r="SIR54" s="5">
        <f>-IFERROR('4. NPV'!#REF!/'4. NPV'!SIS$8,0)</f>
        <v>0</v>
      </c>
      <c r="SIS54" s="5">
        <f>-IFERROR('4. NPV'!#REF!/'4. NPV'!SIT$8,0)</f>
        <v>0</v>
      </c>
      <c r="SIT54" s="5">
        <f>-IFERROR('4. NPV'!#REF!/'4. NPV'!SIU$8,0)</f>
        <v>0</v>
      </c>
      <c r="SIU54" s="5">
        <f>-IFERROR('4. NPV'!#REF!/'4. NPV'!SIV$8,0)</f>
        <v>0</v>
      </c>
      <c r="SIV54" s="5">
        <f>-IFERROR('4. NPV'!#REF!/'4. NPV'!SIW$8,0)</f>
        <v>0</v>
      </c>
      <c r="SIW54" s="5">
        <f>-IFERROR('4. NPV'!#REF!/'4. NPV'!SIX$8,0)</f>
        <v>0</v>
      </c>
      <c r="SIX54" s="5">
        <f>-IFERROR('4. NPV'!#REF!/'4. NPV'!SIY$8,0)</f>
        <v>0</v>
      </c>
      <c r="SIY54" s="5">
        <f>-IFERROR('4. NPV'!#REF!/'4. NPV'!SIZ$8,0)</f>
        <v>0</v>
      </c>
      <c r="SIZ54" s="5">
        <f>-IFERROR('4. NPV'!#REF!/'4. NPV'!SJA$8,0)</f>
        <v>0</v>
      </c>
      <c r="SJA54" s="5">
        <f>-IFERROR('4. NPV'!#REF!/'4. NPV'!SJB$8,0)</f>
        <v>0</v>
      </c>
      <c r="SJB54" s="5">
        <f>-IFERROR('4. NPV'!#REF!/'4. NPV'!SJC$8,0)</f>
        <v>0</v>
      </c>
      <c r="SJC54" s="5">
        <f>-IFERROR('4. NPV'!#REF!/'4. NPV'!SJD$8,0)</f>
        <v>0</v>
      </c>
      <c r="SJD54" s="5">
        <f>-IFERROR('4. NPV'!#REF!/'4. NPV'!SJE$8,0)</f>
        <v>0</v>
      </c>
      <c r="SJE54" s="5">
        <f>-IFERROR('4. NPV'!#REF!/'4. NPV'!SJF$8,0)</f>
        <v>0</v>
      </c>
      <c r="SJF54" s="5">
        <f>-IFERROR('4. NPV'!#REF!/'4. NPV'!SJG$8,0)</f>
        <v>0</v>
      </c>
      <c r="SJG54" s="5">
        <f>-IFERROR('4. NPV'!#REF!/'4. NPV'!SJH$8,0)</f>
        <v>0</v>
      </c>
      <c r="SJH54" s="5">
        <f>-IFERROR('4. NPV'!#REF!/'4. NPV'!SJI$8,0)</f>
        <v>0</v>
      </c>
      <c r="SJI54" s="5">
        <f>-IFERROR('4. NPV'!#REF!/'4. NPV'!SJJ$8,0)</f>
        <v>0</v>
      </c>
      <c r="SJJ54" s="5">
        <f>-IFERROR('4. NPV'!#REF!/'4. NPV'!SJK$8,0)</f>
        <v>0</v>
      </c>
      <c r="SJK54" s="5">
        <f>-IFERROR('4. NPV'!#REF!/'4. NPV'!SJL$8,0)</f>
        <v>0</v>
      </c>
      <c r="SJL54" s="5">
        <f>-IFERROR('4. NPV'!#REF!/'4. NPV'!SJM$8,0)</f>
        <v>0</v>
      </c>
      <c r="SJM54" s="5">
        <f>-IFERROR('4. NPV'!#REF!/'4. NPV'!SJN$8,0)</f>
        <v>0</v>
      </c>
      <c r="SJN54" s="5">
        <f>-IFERROR('4. NPV'!#REF!/'4. NPV'!SJO$8,0)</f>
        <v>0</v>
      </c>
      <c r="SJO54" s="5">
        <f>-IFERROR('4. NPV'!#REF!/'4. NPV'!SJP$8,0)</f>
        <v>0</v>
      </c>
      <c r="SJP54" s="5">
        <f>-IFERROR('4. NPV'!#REF!/'4. NPV'!SJQ$8,0)</f>
        <v>0</v>
      </c>
      <c r="SJQ54" s="5">
        <f>-IFERROR('4. NPV'!#REF!/'4. NPV'!SJR$8,0)</f>
        <v>0</v>
      </c>
      <c r="SJR54" s="5">
        <f>-IFERROR('4. NPV'!#REF!/'4. NPV'!SJS$8,0)</f>
        <v>0</v>
      </c>
      <c r="SJS54" s="5">
        <f>-IFERROR('4. NPV'!#REF!/'4. NPV'!SJT$8,0)</f>
        <v>0</v>
      </c>
      <c r="SJT54" s="5">
        <f>-IFERROR('4. NPV'!#REF!/'4. NPV'!SJU$8,0)</f>
        <v>0</v>
      </c>
      <c r="SJU54" s="5">
        <f>-IFERROR('4. NPV'!#REF!/'4. NPV'!SJV$8,0)</f>
        <v>0</v>
      </c>
      <c r="SJV54" s="5">
        <f>-IFERROR('4. NPV'!#REF!/'4. NPV'!SJW$8,0)</f>
        <v>0</v>
      </c>
      <c r="SJW54" s="5">
        <f>-IFERROR('4. NPV'!#REF!/'4. NPV'!SJX$8,0)</f>
        <v>0</v>
      </c>
      <c r="SJX54" s="5">
        <f>-IFERROR('4. NPV'!#REF!/'4. NPV'!SJY$8,0)</f>
        <v>0</v>
      </c>
      <c r="SJY54" s="5">
        <f>-IFERROR('4. NPV'!#REF!/'4. NPV'!SJZ$8,0)</f>
        <v>0</v>
      </c>
      <c r="SJZ54" s="5">
        <f>-IFERROR('4. NPV'!#REF!/'4. NPV'!SKA$8,0)</f>
        <v>0</v>
      </c>
      <c r="SKA54" s="5">
        <f>-IFERROR('4. NPV'!#REF!/'4. NPV'!SKB$8,0)</f>
        <v>0</v>
      </c>
      <c r="SKB54" s="5">
        <f>-IFERROR('4. NPV'!#REF!/'4. NPV'!SKC$8,0)</f>
        <v>0</v>
      </c>
      <c r="SKC54" s="5">
        <f>-IFERROR('4. NPV'!#REF!/'4. NPV'!SKD$8,0)</f>
        <v>0</v>
      </c>
      <c r="SKD54" s="5">
        <f>-IFERROR('4. NPV'!#REF!/'4. NPV'!SKE$8,0)</f>
        <v>0</v>
      </c>
      <c r="SKE54" s="5">
        <f>-IFERROR('4. NPV'!#REF!/'4. NPV'!SKF$8,0)</f>
        <v>0</v>
      </c>
      <c r="SKF54" s="5">
        <f>-IFERROR('4. NPV'!#REF!/'4. NPV'!SKG$8,0)</f>
        <v>0</v>
      </c>
      <c r="SKG54" s="5">
        <f>-IFERROR('4. NPV'!#REF!/'4. NPV'!SKH$8,0)</f>
        <v>0</v>
      </c>
      <c r="SKH54" s="5">
        <f>-IFERROR('4. NPV'!#REF!/'4. NPV'!SKI$8,0)</f>
        <v>0</v>
      </c>
      <c r="SKI54" s="5">
        <f>-IFERROR('4. NPV'!#REF!/'4. NPV'!SKJ$8,0)</f>
        <v>0</v>
      </c>
      <c r="SKJ54" s="5">
        <f>-IFERROR('4. NPV'!#REF!/'4. NPV'!SKK$8,0)</f>
        <v>0</v>
      </c>
      <c r="SKK54" s="5">
        <f>-IFERROR('4. NPV'!#REF!/'4. NPV'!SKL$8,0)</f>
        <v>0</v>
      </c>
      <c r="SKL54" s="5">
        <f>-IFERROR('4. NPV'!#REF!/'4. NPV'!SKM$8,0)</f>
        <v>0</v>
      </c>
      <c r="SKM54" s="5">
        <f>-IFERROR('4. NPV'!#REF!/'4. NPV'!SKN$8,0)</f>
        <v>0</v>
      </c>
      <c r="SKN54" s="5">
        <f>-IFERROR('4. NPV'!#REF!/'4. NPV'!SKO$8,0)</f>
        <v>0</v>
      </c>
      <c r="SKO54" s="5">
        <f>-IFERROR('4. NPV'!#REF!/'4. NPV'!SKP$8,0)</f>
        <v>0</v>
      </c>
      <c r="SKP54" s="5">
        <f>-IFERROR('4. NPV'!#REF!/'4. NPV'!SKQ$8,0)</f>
        <v>0</v>
      </c>
      <c r="SKQ54" s="5">
        <f>-IFERROR('4. NPV'!#REF!/'4. NPV'!SKR$8,0)</f>
        <v>0</v>
      </c>
      <c r="SKR54" s="5">
        <f>-IFERROR('4. NPV'!#REF!/'4. NPV'!SKS$8,0)</f>
        <v>0</v>
      </c>
      <c r="SKS54" s="5">
        <f>-IFERROR('4. NPV'!#REF!/'4. NPV'!SKT$8,0)</f>
        <v>0</v>
      </c>
      <c r="SKT54" s="5">
        <f>-IFERROR('4. NPV'!#REF!/'4. NPV'!SKU$8,0)</f>
        <v>0</v>
      </c>
      <c r="SKU54" s="5">
        <f>-IFERROR('4. NPV'!#REF!/'4. NPV'!SKV$8,0)</f>
        <v>0</v>
      </c>
      <c r="SKV54" s="5">
        <f>-IFERROR('4. NPV'!#REF!/'4. NPV'!SKW$8,0)</f>
        <v>0</v>
      </c>
      <c r="SKW54" s="5">
        <f>-IFERROR('4. NPV'!#REF!/'4. NPV'!SKX$8,0)</f>
        <v>0</v>
      </c>
      <c r="SKX54" s="5">
        <f>-IFERROR('4. NPV'!#REF!/'4. NPV'!SKY$8,0)</f>
        <v>0</v>
      </c>
      <c r="SKY54" s="5">
        <f>-IFERROR('4. NPV'!#REF!/'4. NPV'!SKZ$8,0)</f>
        <v>0</v>
      </c>
      <c r="SKZ54" s="5">
        <f>-IFERROR('4. NPV'!#REF!/'4. NPV'!SLA$8,0)</f>
        <v>0</v>
      </c>
      <c r="SLA54" s="5">
        <f>-IFERROR('4. NPV'!#REF!/'4. NPV'!SLB$8,0)</f>
        <v>0</v>
      </c>
      <c r="SLB54" s="5">
        <f>-IFERROR('4. NPV'!#REF!/'4. NPV'!SLC$8,0)</f>
        <v>0</v>
      </c>
      <c r="SLC54" s="5">
        <f>-IFERROR('4. NPV'!#REF!/'4. NPV'!SLD$8,0)</f>
        <v>0</v>
      </c>
      <c r="SLD54" s="5">
        <f>-IFERROR('4. NPV'!#REF!/'4. NPV'!SLE$8,0)</f>
        <v>0</v>
      </c>
      <c r="SLE54" s="5">
        <f>-IFERROR('4. NPV'!#REF!/'4. NPV'!SLF$8,0)</f>
        <v>0</v>
      </c>
      <c r="SLF54" s="5">
        <f>-IFERROR('4. NPV'!#REF!/'4. NPV'!SLG$8,0)</f>
        <v>0</v>
      </c>
      <c r="SLG54" s="5">
        <f>-IFERROR('4. NPV'!#REF!/'4. NPV'!SLH$8,0)</f>
        <v>0</v>
      </c>
      <c r="SLH54" s="5">
        <f>-IFERROR('4. NPV'!#REF!/'4. NPV'!SLI$8,0)</f>
        <v>0</v>
      </c>
      <c r="SLI54" s="5">
        <f>-IFERROR('4. NPV'!#REF!/'4. NPV'!SLJ$8,0)</f>
        <v>0</v>
      </c>
      <c r="SLJ54" s="5">
        <f>-IFERROR('4. NPV'!#REF!/'4. NPV'!SLK$8,0)</f>
        <v>0</v>
      </c>
      <c r="SLK54" s="5">
        <f>-IFERROR('4. NPV'!#REF!/'4. NPV'!SLL$8,0)</f>
        <v>0</v>
      </c>
      <c r="SLL54" s="5">
        <f>-IFERROR('4. NPV'!#REF!/'4. NPV'!SLM$8,0)</f>
        <v>0</v>
      </c>
      <c r="SLM54" s="5">
        <f>-IFERROR('4. NPV'!#REF!/'4. NPV'!SLN$8,0)</f>
        <v>0</v>
      </c>
      <c r="SLN54" s="5">
        <f>-IFERROR('4. NPV'!#REF!/'4. NPV'!SLO$8,0)</f>
        <v>0</v>
      </c>
      <c r="SLO54" s="5">
        <f>-IFERROR('4. NPV'!#REF!/'4. NPV'!SLP$8,0)</f>
        <v>0</v>
      </c>
      <c r="SLP54" s="5">
        <f>-IFERROR('4. NPV'!#REF!/'4. NPV'!SLQ$8,0)</f>
        <v>0</v>
      </c>
      <c r="SLQ54" s="5">
        <f>-IFERROR('4. NPV'!#REF!/'4. NPV'!SLR$8,0)</f>
        <v>0</v>
      </c>
      <c r="SLR54" s="5">
        <f>-IFERROR('4. NPV'!#REF!/'4. NPV'!SLS$8,0)</f>
        <v>0</v>
      </c>
      <c r="SLS54" s="5">
        <f>-IFERROR('4. NPV'!#REF!/'4. NPV'!SLT$8,0)</f>
        <v>0</v>
      </c>
      <c r="SLT54" s="5">
        <f>-IFERROR('4. NPV'!#REF!/'4. NPV'!SLU$8,0)</f>
        <v>0</v>
      </c>
      <c r="SLU54" s="5">
        <f>-IFERROR('4. NPV'!#REF!/'4. NPV'!SLV$8,0)</f>
        <v>0</v>
      </c>
      <c r="SLV54" s="5">
        <f>-IFERROR('4. NPV'!#REF!/'4. NPV'!SLW$8,0)</f>
        <v>0</v>
      </c>
      <c r="SLW54" s="5">
        <f>-IFERROR('4. NPV'!#REF!/'4. NPV'!SLX$8,0)</f>
        <v>0</v>
      </c>
      <c r="SLX54" s="5">
        <f>-IFERROR('4. NPV'!#REF!/'4. NPV'!SLY$8,0)</f>
        <v>0</v>
      </c>
      <c r="SLY54" s="5">
        <f>-IFERROR('4. NPV'!#REF!/'4. NPV'!SLZ$8,0)</f>
        <v>0</v>
      </c>
      <c r="SLZ54" s="5">
        <f>-IFERROR('4. NPV'!#REF!/'4. NPV'!SMA$8,0)</f>
        <v>0</v>
      </c>
      <c r="SMA54" s="5">
        <f>-IFERROR('4. NPV'!#REF!/'4. NPV'!SMB$8,0)</f>
        <v>0</v>
      </c>
      <c r="SMB54" s="5">
        <f>-IFERROR('4. NPV'!#REF!/'4. NPV'!SMC$8,0)</f>
        <v>0</v>
      </c>
      <c r="SMC54" s="5">
        <f>-IFERROR('4. NPV'!#REF!/'4. NPV'!SMD$8,0)</f>
        <v>0</v>
      </c>
      <c r="SMD54" s="5">
        <f>-IFERROR('4. NPV'!#REF!/'4. NPV'!SME$8,0)</f>
        <v>0</v>
      </c>
      <c r="SME54" s="5">
        <f>-IFERROR('4. NPV'!#REF!/'4. NPV'!SMF$8,0)</f>
        <v>0</v>
      </c>
      <c r="SMF54" s="5">
        <f>-IFERROR('4. NPV'!#REF!/'4. NPV'!SMG$8,0)</f>
        <v>0</v>
      </c>
      <c r="SMG54" s="5">
        <f>-IFERROR('4. NPV'!#REF!/'4. NPV'!SMH$8,0)</f>
        <v>0</v>
      </c>
      <c r="SMH54" s="5">
        <f>-IFERROR('4. NPV'!#REF!/'4. NPV'!SMI$8,0)</f>
        <v>0</v>
      </c>
      <c r="SMI54" s="5">
        <f>-IFERROR('4. NPV'!#REF!/'4. NPV'!SMJ$8,0)</f>
        <v>0</v>
      </c>
      <c r="SMJ54" s="5">
        <f>-IFERROR('4. NPV'!#REF!/'4. NPV'!SMK$8,0)</f>
        <v>0</v>
      </c>
      <c r="SMK54" s="5">
        <f>-IFERROR('4. NPV'!#REF!/'4. NPV'!SML$8,0)</f>
        <v>0</v>
      </c>
      <c r="SML54" s="5">
        <f>-IFERROR('4. NPV'!#REF!/'4. NPV'!SMM$8,0)</f>
        <v>0</v>
      </c>
      <c r="SMM54" s="5">
        <f>-IFERROR('4. NPV'!#REF!/'4. NPV'!SMN$8,0)</f>
        <v>0</v>
      </c>
      <c r="SMN54" s="5">
        <f>-IFERROR('4. NPV'!#REF!/'4. NPV'!SMO$8,0)</f>
        <v>0</v>
      </c>
      <c r="SMO54" s="5">
        <f>-IFERROR('4. NPV'!#REF!/'4. NPV'!SMP$8,0)</f>
        <v>0</v>
      </c>
      <c r="SMP54" s="5">
        <f>-IFERROR('4. NPV'!#REF!/'4. NPV'!SMQ$8,0)</f>
        <v>0</v>
      </c>
      <c r="SMQ54" s="5">
        <f>-IFERROR('4. NPV'!#REF!/'4. NPV'!SMR$8,0)</f>
        <v>0</v>
      </c>
      <c r="SMR54" s="5">
        <f>-IFERROR('4. NPV'!#REF!/'4. NPV'!SMS$8,0)</f>
        <v>0</v>
      </c>
      <c r="SMS54" s="5">
        <f>-IFERROR('4. NPV'!#REF!/'4. NPV'!SMT$8,0)</f>
        <v>0</v>
      </c>
      <c r="SMT54" s="5">
        <f>-IFERROR('4. NPV'!#REF!/'4. NPV'!SMU$8,0)</f>
        <v>0</v>
      </c>
      <c r="SMU54" s="5">
        <f>-IFERROR('4. NPV'!#REF!/'4. NPV'!SMV$8,0)</f>
        <v>0</v>
      </c>
      <c r="SMV54" s="5">
        <f>-IFERROR('4. NPV'!#REF!/'4. NPV'!SMW$8,0)</f>
        <v>0</v>
      </c>
      <c r="SMW54" s="5">
        <f>-IFERROR('4. NPV'!#REF!/'4. NPV'!SMX$8,0)</f>
        <v>0</v>
      </c>
      <c r="SMX54" s="5">
        <f>-IFERROR('4. NPV'!#REF!/'4. NPV'!SMY$8,0)</f>
        <v>0</v>
      </c>
      <c r="SMY54" s="5">
        <f>-IFERROR('4. NPV'!#REF!/'4. NPV'!SMZ$8,0)</f>
        <v>0</v>
      </c>
      <c r="SMZ54" s="5">
        <f>-IFERROR('4. NPV'!#REF!/'4. NPV'!SNA$8,0)</f>
        <v>0</v>
      </c>
      <c r="SNA54" s="5">
        <f>-IFERROR('4. NPV'!#REF!/'4. NPV'!SNB$8,0)</f>
        <v>0</v>
      </c>
      <c r="SNB54" s="5">
        <f>-IFERROR('4. NPV'!#REF!/'4. NPV'!SNC$8,0)</f>
        <v>0</v>
      </c>
      <c r="SNC54" s="5">
        <f>-IFERROR('4. NPV'!#REF!/'4. NPV'!SND$8,0)</f>
        <v>0</v>
      </c>
      <c r="SND54" s="5">
        <f>-IFERROR('4. NPV'!#REF!/'4. NPV'!SNE$8,0)</f>
        <v>0</v>
      </c>
      <c r="SNE54" s="5">
        <f>-IFERROR('4. NPV'!#REF!/'4. NPV'!SNF$8,0)</f>
        <v>0</v>
      </c>
      <c r="SNF54" s="5">
        <f>-IFERROR('4. NPV'!#REF!/'4. NPV'!SNG$8,0)</f>
        <v>0</v>
      </c>
      <c r="SNG54" s="5">
        <f>-IFERROR('4. NPV'!#REF!/'4. NPV'!SNH$8,0)</f>
        <v>0</v>
      </c>
      <c r="SNH54" s="5">
        <f>-IFERROR('4. NPV'!#REF!/'4. NPV'!SNI$8,0)</f>
        <v>0</v>
      </c>
      <c r="SNI54" s="5">
        <f>-IFERROR('4. NPV'!#REF!/'4. NPV'!SNJ$8,0)</f>
        <v>0</v>
      </c>
      <c r="SNJ54" s="5">
        <f>-IFERROR('4. NPV'!#REF!/'4. NPV'!SNK$8,0)</f>
        <v>0</v>
      </c>
      <c r="SNK54" s="5">
        <f>-IFERROR('4. NPV'!#REF!/'4. NPV'!SNL$8,0)</f>
        <v>0</v>
      </c>
      <c r="SNL54" s="5">
        <f>-IFERROR('4. NPV'!#REF!/'4. NPV'!SNM$8,0)</f>
        <v>0</v>
      </c>
      <c r="SNM54" s="5">
        <f>-IFERROR('4. NPV'!#REF!/'4. NPV'!SNN$8,0)</f>
        <v>0</v>
      </c>
      <c r="SNN54" s="5">
        <f>-IFERROR('4. NPV'!#REF!/'4. NPV'!SNO$8,0)</f>
        <v>0</v>
      </c>
      <c r="SNO54" s="5">
        <f>-IFERROR('4. NPV'!#REF!/'4. NPV'!SNP$8,0)</f>
        <v>0</v>
      </c>
      <c r="SNP54" s="5">
        <f>-IFERROR('4. NPV'!#REF!/'4. NPV'!SNQ$8,0)</f>
        <v>0</v>
      </c>
      <c r="SNQ54" s="5">
        <f>-IFERROR('4. NPV'!#REF!/'4. NPV'!SNR$8,0)</f>
        <v>0</v>
      </c>
      <c r="SNR54" s="5">
        <f>-IFERROR('4. NPV'!#REF!/'4. NPV'!SNS$8,0)</f>
        <v>0</v>
      </c>
      <c r="SNS54" s="5">
        <f>-IFERROR('4. NPV'!#REF!/'4. NPV'!SNT$8,0)</f>
        <v>0</v>
      </c>
      <c r="SNT54" s="5">
        <f>-IFERROR('4. NPV'!#REF!/'4. NPV'!SNU$8,0)</f>
        <v>0</v>
      </c>
      <c r="SNU54" s="5">
        <f>-IFERROR('4. NPV'!#REF!/'4. NPV'!SNV$8,0)</f>
        <v>0</v>
      </c>
      <c r="SNV54" s="5">
        <f>-IFERROR('4. NPV'!#REF!/'4. NPV'!SNW$8,0)</f>
        <v>0</v>
      </c>
      <c r="SNW54" s="5">
        <f>-IFERROR('4. NPV'!#REF!/'4. NPV'!SNX$8,0)</f>
        <v>0</v>
      </c>
      <c r="SNX54" s="5">
        <f>-IFERROR('4. NPV'!#REF!/'4. NPV'!SNY$8,0)</f>
        <v>0</v>
      </c>
      <c r="SNY54" s="5">
        <f>-IFERROR('4. NPV'!#REF!/'4. NPV'!SNZ$8,0)</f>
        <v>0</v>
      </c>
      <c r="SNZ54" s="5">
        <f>-IFERROR('4. NPV'!#REF!/'4. NPV'!SOA$8,0)</f>
        <v>0</v>
      </c>
      <c r="SOA54" s="5">
        <f>-IFERROR('4. NPV'!#REF!/'4. NPV'!SOB$8,0)</f>
        <v>0</v>
      </c>
      <c r="SOB54" s="5">
        <f>-IFERROR('4. NPV'!#REF!/'4. NPV'!SOC$8,0)</f>
        <v>0</v>
      </c>
      <c r="SOC54" s="5">
        <f>-IFERROR('4. NPV'!#REF!/'4. NPV'!SOD$8,0)</f>
        <v>0</v>
      </c>
      <c r="SOD54" s="5">
        <f>-IFERROR('4. NPV'!#REF!/'4. NPV'!SOE$8,0)</f>
        <v>0</v>
      </c>
      <c r="SOE54" s="5">
        <f>-IFERROR('4. NPV'!#REF!/'4. NPV'!SOF$8,0)</f>
        <v>0</v>
      </c>
      <c r="SOF54" s="5">
        <f>-IFERROR('4. NPV'!#REF!/'4. NPV'!SOG$8,0)</f>
        <v>0</v>
      </c>
      <c r="SOG54" s="5">
        <f>-IFERROR('4. NPV'!#REF!/'4. NPV'!SOH$8,0)</f>
        <v>0</v>
      </c>
      <c r="SOH54" s="5">
        <f>-IFERROR('4. NPV'!#REF!/'4. NPV'!SOI$8,0)</f>
        <v>0</v>
      </c>
      <c r="SOI54" s="5">
        <f>-IFERROR('4. NPV'!#REF!/'4. NPV'!SOJ$8,0)</f>
        <v>0</v>
      </c>
      <c r="SOJ54" s="5">
        <f>-IFERROR('4. NPV'!#REF!/'4. NPV'!SOK$8,0)</f>
        <v>0</v>
      </c>
      <c r="SOK54" s="5">
        <f>-IFERROR('4. NPV'!#REF!/'4. NPV'!SOL$8,0)</f>
        <v>0</v>
      </c>
      <c r="SOL54" s="5">
        <f>-IFERROR('4. NPV'!#REF!/'4. NPV'!SOM$8,0)</f>
        <v>0</v>
      </c>
      <c r="SOM54" s="5">
        <f>-IFERROR('4. NPV'!#REF!/'4. NPV'!SON$8,0)</f>
        <v>0</v>
      </c>
      <c r="SON54" s="5">
        <f>-IFERROR('4. NPV'!#REF!/'4. NPV'!SOO$8,0)</f>
        <v>0</v>
      </c>
      <c r="SOO54" s="5">
        <f>-IFERROR('4. NPV'!#REF!/'4. NPV'!SOP$8,0)</f>
        <v>0</v>
      </c>
      <c r="SOP54" s="5">
        <f>-IFERROR('4. NPV'!#REF!/'4. NPV'!SOQ$8,0)</f>
        <v>0</v>
      </c>
      <c r="SOQ54" s="5">
        <f>-IFERROR('4. NPV'!#REF!/'4. NPV'!SOR$8,0)</f>
        <v>0</v>
      </c>
      <c r="SOR54" s="5">
        <f>-IFERROR('4. NPV'!#REF!/'4. NPV'!SOS$8,0)</f>
        <v>0</v>
      </c>
      <c r="SOS54" s="5">
        <f>-IFERROR('4. NPV'!#REF!/'4. NPV'!SOT$8,0)</f>
        <v>0</v>
      </c>
      <c r="SOT54" s="5">
        <f>-IFERROR('4. NPV'!#REF!/'4. NPV'!SOU$8,0)</f>
        <v>0</v>
      </c>
      <c r="SOU54" s="5">
        <f>-IFERROR('4. NPV'!#REF!/'4. NPV'!SOV$8,0)</f>
        <v>0</v>
      </c>
      <c r="SOV54" s="5">
        <f>-IFERROR('4. NPV'!#REF!/'4. NPV'!SOW$8,0)</f>
        <v>0</v>
      </c>
      <c r="SOW54" s="5">
        <f>-IFERROR('4. NPV'!#REF!/'4. NPV'!SOX$8,0)</f>
        <v>0</v>
      </c>
      <c r="SOX54" s="5">
        <f>-IFERROR('4. NPV'!#REF!/'4. NPV'!SOY$8,0)</f>
        <v>0</v>
      </c>
      <c r="SOY54" s="5">
        <f>-IFERROR('4. NPV'!#REF!/'4. NPV'!SOZ$8,0)</f>
        <v>0</v>
      </c>
      <c r="SOZ54" s="5">
        <f>-IFERROR('4. NPV'!#REF!/'4. NPV'!SPA$8,0)</f>
        <v>0</v>
      </c>
      <c r="SPA54" s="5">
        <f>-IFERROR('4. NPV'!#REF!/'4. NPV'!SPB$8,0)</f>
        <v>0</v>
      </c>
      <c r="SPB54" s="5">
        <f>-IFERROR('4. NPV'!#REF!/'4. NPV'!SPC$8,0)</f>
        <v>0</v>
      </c>
      <c r="SPC54" s="5">
        <f>-IFERROR('4. NPV'!#REF!/'4. NPV'!SPD$8,0)</f>
        <v>0</v>
      </c>
      <c r="SPD54" s="5">
        <f>-IFERROR('4. NPV'!#REF!/'4. NPV'!SPE$8,0)</f>
        <v>0</v>
      </c>
      <c r="SPE54" s="5">
        <f>-IFERROR('4. NPV'!#REF!/'4. NPV'!SPF$8,0)</f>
        <v>0</v>
      </c>
      <c r="SPF54" s="5">
        <f>-IFERROR('4. NPV'!#REF!/'4. NPV'!SPG$8,0)</f>
        <v>0</v>
      </c>
      <c r="SPG54" s="5">
        <f>-IFERROR('4. NPV'!#REF!/'4. NPV'!SPH$8,0)</f>
        <v>0</v>
      </c>
      <c r="SPH54" s="5">
        <f>-IFERROR('4. NPV'!#REF!/'4. NPV'!SPI$8,0)</f>
        <v>0</v>
      </c>
      <c r="SPI54" s="5">
        <f>-IFERROR('4. NPV'!#REF!/'4. NPV'!SPJ$8,0)</f>
        <v>0</v>
      </c>
      <c r="SPJ54" s="5">
        <f>-IFERROR('4. NPV'!#REF!/'4. NPV'!SPK$8,0)</f>
        <v>0</v>
      </c>
      <c r="SPK54" s="5">
        <f>-IFERROR('4. NPV'!#REF!/'4. NPV'!SPL$8,0)</f>
        <v>0</v>
      </c>
      <c r="SPL54" s="5">
        <f>-IFERROR('4. NPV'!#REF!/'4. NPV'!SPM$8,0)</f>
        <v>0</v>
      </c>
      <c r="SPM54" s="5">
        <f>-IFERROR('4. NPV'!#REF!/'4. NPV'!SPN$8,0)</f>
        <v>0</v>
      </c>
      <c r="SPN54" s="5">
        <f>-IFERROR('4. NPV'!#REF!/'4. NPV'!SPO$8,0)</f>
        <v>0</v>
      </c>
      <c r="SPO54" s="5">
        <f>-IFERROR('4. NPV'!#REF!/'4. NPV'!SPP$8,0)</f>
        <v>0</v>
      </c>
      <c r="SPP54" s="5">
        <f>-IFERROR('4. NPV'!#REF!/'4. NPV'!SPQ$8,0)</f>
        <v>0</v>
      </c>
      <c r="SPQ54" s="5">
        <f>-IFERROR('4. NPV'!#REF!/'4. NPV'!SPR$8,0)</f>
        <v>0</v>
      </c>
      <c r="SPR54" s="5">
        <f>-IFERROR('4. NPV'!#REF!/'4. NPV'!SPS$8,0)</f>
        <v>0</v>
      </c>
      <c r="SPS54" s="5">
        <f>-IFERROR('4. NPV'!#REF!/'4. NPV'!SPT$8,0)</f>
        <v>0</v>
      </c>
      <c r="SPT54" s="5">
        <f>-IFERROR('4. NPV'!#REF!/'4. NPV'!SPU$8,0)</f>
        <v>0</v>
      </c>
      <c r="SPU54" s="5">
        <f>-IFERROR('4. NPV'!#REF!/'4. NPV'!SPV$8,0)</f>
        <v>0</v>
      </c>
      <c r="SPV54" s="5">
        <f>-IFERROR('4. NPV'!#REF!/'4. NPV'!SPW$8,0)</f>
        <v>0</v>
      </c>
      <c r="SPW54" s="5">
        <f>-IFERROR('4. NPV'!#REF!/'4. NPV'!SPX$8,0)</f>
        <v>0</v>
      </c>
      <c r="SPX54" s="5">
        <f>-IFERROR('4. NPV'!#REF!/'4. NPV'!SPY$8,0)</f>
        <v>0</v>
      </c>
      <c r="SPY54" s="5">
        <f>-IFERROR('4. NPV'!#REF!/'4. NPV'!SPZ$8,0)</f>
        <v>0</v>
      </c>
      <c r="SPZ54" s="5">
        <f>-IFERROR('4. NPV'!#REF!/'4. NPV'!SQA$8,0)</f>
        <v>0</v>
      </c>
      <c r="SQA54" s="5">
        <f>-IFERROR('4. NPV'!#REF!/'4. NPV'!SQB$8,0)</f>
        <v>0</v>
      </c>
      <c r="SQB54" s="5">
        <f>-IFERROR('4. NPV'!#REF!/'4. NPV'!SQC$8,0)</f>
        <v>0</v>
      </c>
      <c r="SQC54" s="5">
        <f>-IFERROR('4. NPV'!#REF!/'4. NPV'!SQD$8,0)</f>
        <v>0</v>
      </c>
      <c r="SQD54" s="5">
        <f>-IFERROR('4. NPV'!#REF!/'4. NPV'!SQE$8,0)</f>
        <v>0</v>
      </c>
      <c r="SQE54" s="5">
        <f>-IFERROR('4. NPV'!#REF!/'4. NPV'!SQF$8,0)</f>
        <v>0</v>
      </c>
      <c r="SQF54" s="5">
        <f>-IFERROR('4. NPV'!#REF!/'4. NPV'!SQG$8,0)</f>
        <v>0</v>
      </c>
      <c r="SQG54" s="5">
        <f>-IFERROR('4. NPV'!#REF!/'4. NPV'!SQH$8,0)</f>
        <v>0</v>
      </c>
      <c r="SQH54" s="5">
        <f>-IFERROR('4. NPV'!#REF!/'4. NPV'!SQI$8,0)</f>
        <v>0</v>
      </c>
      <c r="SQI54" s="5">
        <f>-IFERROR('4. NPV'!#REF!/'4. NPV'!SQJ$8,0)</f>
        <v>0</v>
      </c>
      <c r="SQJ54" s="5">
        <f>-IFERROR('4. NPV'!#REF!/'4. NPV'!SQK$8,0)</f>
        <v>0</v>
      </c>
      <c r="SQK54" s="5">
        <f>-IFERROR('4. NPV'!#REF!/'4. NPV'!SQL$8,0)</f>
        <v>0</v>
      </c>
      <c r="SQL54" s="5">
        <f>-IFERROR('4. NPV'!#REF!/'4. NPV'!SQM$8,0)</f>
        <v>0</v>
      </c>
      <c r="SQM54" s="5">
        <f>-IFERROR('4. NPV'!#REF!/'4. NPV'!SQN$8,0)</f>
        <v>0</v>
      </c>
      <c r="SQN54" s="5">
        <f>-IFERROR('4. NPV'!#REF!/'4. NPV'!SQO$8,0)</f>
        <v>0</v>
      </c>
      <c r="SQO54" s="5">
        <f>-IFERROR('4. NPV'!#REF!/'4. NPV'!SQP$8,0)</f>
        <v>0</v>
      </c>
      <c r="SQP54" s="5">
        <f>-IFERROR('4. NPV'!#REF!/'4. NPV'!SQQ$8,0)</f>
        <v>0</v>
      </c>
      <c r="SQQ54" s="5">
        <f>-IFERROR('4. NPV'!#REF!/'4. NPV'!SQR$8,0)</f>
        <v>0</v>
      </c>
      <c r="SQR54" s="5">
        <f>-IFERROR('4. NPV'!#REF!/'4. NPV'!SQS$8,0)</f>
        <v>0</v>
      </c>
      <c r="SQS54" s="5">
        <f>-IFERROR('4. NPV'!#REF!/'4. NPV'!SQT$8,0)</f>
        <v>0</v>
      </c>
      <c r="SQT54" s="5">
        <f>-IFERROR('4. NPV'!#REF!/'4. NPV'!SQU$8,0)</f>
        <v>0</v>
      </c>
      <c r="SQU54" s="5">
        <f>-IFERROR('4. NPV'!#REF!/'4. NPV'!SQV$8,0)</f>
        <v>0</v>
      </c>
      <c r="SQV54" s="5">
        <f>-IFERROR('4. NPV'!#REF!/'4. NPV'!SQW$8,0)</f>
        <v>0</v>
      </c>
      <c r="SQW54" s="5">
        <f>-IFERROR('4. NPV'!#REF!/'4. NPV'!SQX$8,0)</f>
        <v>0</v>
      </c>
      <c r="SQX54" s="5">
        <f>-IFERROR('4. NPV'!#REF!/'4. NPV'!SQY$8,0)</f>
        <v>0</v>
      </c>
      <c r="SQY54" s="5">
        <f>-IFERROR('4. NPV'!#REF!/'4. NPV'!SQZ$8,0)</f>
        <v>0</v>
      </c>
      <c r="SQZ54" s="5">
        <f>-IFERROR('4. NPV'!#REF!/'4. NPV'!SRA$8,0)</f>
        <v>0</v>
      </c>
      <c r="SRA54" s="5">
        <f>-IFERROR('4. NPV'!#REF!/'4. NPV'!SRB$8,0)</f>
        <v>0</v>
      </c>
      <c r="SRB54" s="5">
        <f>-IFERROR('4. NPV'!#REF!/'4. NPV'!SRC$8,0)</f>
        <v>0</v>
      </c>
      <c r="SRC54" s="5">
        <f>-IFERROR('4. NPV'!#REF!/'4. NPV'!SRD$8,0)</f>
        <v>0</v>
      </c>
      <c r="SRD54" s="5">
        <f>-IFERROR('4. NPV'!#REF!/'4. NPV'!SRE$8,0)</f>
        <v>0</v>
      </c>
      <c r="SRE54" s="5">
        <f>-IFERROR('4. NPV'!#REF!/'4. NPV'!SRF$8,0)</f>
        <v>0</v>
      </c>
      <c r="SRF54" s="5">
        <f>-IFERROR('4. NPV'!#REF!/'4. NPV'!SRG$8,0)</f>
        <v>0</v>
      </c>
      <c r="SRG54" s="5">
        <f>-IFERROR('4. NPV'!#REF!/'4. NPV'!SRH$8,0)</f>
        <v>0</v>
      </c>
      <c r="SRH54" s="5">
        <f>-IFERROR('4. NPV'!#REF!/'4. NPV'!SRI$8,0)</f>
        <v>0</v>
      </c>
      <c r="SRI54" s="5">
        <f>-IFERROR('4. NPV'!#REF!/'4. NPV'!SRJ$8,0)</f>
        <v>0</v>
      </c>
      <c r="SRJ54" s="5">
        <f>-IFERROR('4. NPV'!#REF!/'4. NPV'!SRK$8,0)</f>
        <v>0</v>
      </c>
      <c r="SRK54" s="5">
        <f>-IFERROR('4. NPV'!#REF!/'4. NPV'!SRL$8,0)</f>
        <v>0</v>
      </c>
      <c r="SRL54" s="5">
        <f>-IFERROR('4. NPV'!#REF!/'4. NPV'!SRM$8,0)</f>
        <v>0</v>
      </c>
      <c r="SRM54" s="5">
        <f>-IFERROR('4. NPV'!#REF!/'4. NPV'!SRN$8,0)</f>
        <v>0</v>
      </c>
      <c r="SRN54" s="5">
        <f>-IFERROR('4. NPV'!#REF!/'4. NPV'!SRO$8,0)</f>
        <v>0</v>
      </c>
      <c r="SRO54" s="5">
        <f>-IFERROR('4. NPV'!#REF!/'4. NPV'!SRP$8,0)</f>
        <v>0</v>
      </c>
      <c r="SRP54" s="5">
        <f>-IFERROR('4. NPV'!#REF!/'4. NPV'!SRQ$8,0)</f>
        <v>0</v>
      </c>
      <c r="SRQ54" s="5">
        <f>-IFERROR('4. NPV'!#REF!/'4. NPV'!SRR$8,0)</f>
        <v>0</v>
      </c>
      <c r="SRR54" s="5">
        <f>-IFERROR('4. NPV'!#REF!/'4. NPV'!SRS$8,0)</f>
        <v>0</v>
      </c>
      <c r="SRS54" s="5">
        <f>-IFERROR('4. NPV'!#REF!/'4. NPV'!SRT$8,0)</f>
        <v>0</v>
      </c>
      <c r="SRT54" s="5">
        <f>-IFERROR('4. NPV'!#REF!/'4. NPV'!SRU$8,0)</f>
        <v>0</v>
      </c>
      <c r="SRU54" s="5">
        <f>-IFERROR('4. NPV'!#REF!/'4. NPV'!SRV$8,0)</f>
        <v>0</v>
      </c>
      <c r="SRV54" s="5">
        <f>-IFERROR('4. NPV'!#REF!/'4. NPV'!SRW$8,0)</f>
        <v>0</v>
      </c>
      <c r="SRW54" s="5">
        <f>-IFERROR('4. NPV'!#REF!/'4. NPV'!SRX$8,0)</f>
        <v>0</v>
      </c>
      <c r="SRX54" s="5">
        <f>-IFERROR('4. NPV'!#REF!/'4. NPV'!SRY$8,0)</f>
        <v>0</v>
      </c>
      <c r="SRY54" s="5">
        <f>-IFERROR('4. NPV'!#REF!/'4. NPV'!SRZ$8,0)</f>
        <v>0</v>
      </c>
      <c r="SRZ54" s="5">
        <f>-IFERROR('4. NPV'!#REF!/'4. NPV'!SSA$8,0)</f>
        <v>0</v>
      </c>
      <c r="SSA54" s="5">
        <f>-IFERROR('4. NPV'!#REF!/'4. NPV'!SSB$8,0)</f>
        <v>0</v>
      </c>
      <c r="SSB54" s="5">
        <f>-IFERROR('4. NPV'!#REF!/'4. NPV'!SSC$8,0)</f>
        <v>0</v>
      </c>
      <c r="SSC54" s="5">
        <f>-IFERROR('4. NPV'!#REF!/'4. NPV'!SSD$8,0)</f>
        <v>0</v>
      </c>
      <c r="SSD54" s="5">
        <f>-IFERROR('4. NPV'!#REF!/'4. NPV'!SSE$8,0)</f>
        <v>0</v>
      </c>
      <c r="SSE54" s="5">
        <f>-IFERROR('4. NPV'!#REF!/'4. NPV'!SSF$8,0)</f>
        <v>0</v>
      </c>
      <c r="SSF54" s="5">
        <f>-IFERROR('4. NPV'!#REF!/'4. NPV'!SSG$8,0)</f>
        <v>0</v>
      </c>
      <c r="SSG54" s="5">
        <f>-IFERROR('4. NPV'!#REF!/'4. NPV'!SSH$8,0)</f>
        <v>0</v>
      </c>
      <c r="SSH54" s="5">
        <f>-IFERROR('4. NPV'!#REF!/'4. NPV'!SSI$8,0)</f>
        <v>0</v>
      </c>
      <c r="SSI54" s="5">
        <f>-IFERROR('4. NPV'!#REF!/'4. NPV'!SSJ$8,0)</f>
        <v>0</v>
      </c>
      <c r="SSJ54" s="5">
        <f>-IFERROR('4. NPV'!#REF!/'4. NPV'!SSK$8,0)</f>
        <v>0</v>
      </c>
      <c r="SSK54" s="5">
        <f>-IFERROR('4. NPV'!#REF!/'4. NPV'!SSL$8,0)</f>
        <v>0</v>
      </c>
      <c r="SSL54" s="5">
        <f>-IFERROR('4. NPV'!#REF!/'4. NPV'!SSM$8,0)</f>
        <v>0</v>
      </c>
      <c r="SSM54" s="5">
        <f>-IFERROR('4. NPV'!#REF!/'4. NPV'!SSN$8,0)</f>
        <v>0</v>
      </c>
      <c r="SSN54" s="5">
        <f>-IFERROR('4. NPV'!#REF!/'4. NPV'!SSO$8,0)</f>
        <v>0</v>
      </c>
      <c r="SSO54" s="5">
        <f>-IFERROR('4. NPV'!#REF!/'4. NPV'!SSP$8,0)</f>
        <v>0</v>
      </c>
      <c r="SSP54" s="5">
        <f>-IFERROR('4. NPV'!#REF!/'4. NPV'!SSQ$8,0)</f>
        <v>0</v>
      </c>
      <c r="SSQ54" s="5">
        <f>-IFERROR('4. NPV'!#REF!/'4. NPV'!SSR$8,0)</f>
        <v>0</v>
      </c>
      <c r="SSR54" s="5">
        <f>-IFERROR('4. NPV'!#REF!/'4. NPV'!SSS$8,0)</f>
        <v>0</v>
      </c>
      <c r="SSS54" s="5">
        <f>-IFERROR('4. NPV'!#REF!/'4. NPV'!SST$8,0)</f>
        <v>0</v>
      </c>
      <c r="SST54" s="5">
        <f>-IFERROR('4. NPV'!#REF!/'4. NPV'!SSU$8,0)</f>
        <v>0</v>
      </c>
      <c r="SSU54" s="5">
        <f>-IFERROR('4. NPV'!#REF!/'4. NPV'!SSV$8,0)</f>
        <v>0</v>
      </c>
      <c r="SSV54" s="5">
        <f>-IFERROR('4. NPV'!#REF!/'4. NPV'!SSW$8,0)</f>
        <v>0</v>
      </c>
      <c r="SSW54" s="5">
        <f>-IFERROR('4. NPV'!#REF!/'4. NPV'!SSX$8,0)</f>
        <v>0</v>
      </c>
      <c r="SSX54" s="5">
        <f>-IFERROR('4. NPV'!#REF!/'4. NPV'!SSY$8,0)</f>
        <v>0</v>
      </c>
      <c r="SSY54" s="5">
        <f>-IFERROR('4. NPV'!#REF!/'4. NPV'!SSZ$8,0)</f>
        <v>0</v>
      </c>
      <c r="SSZ54" s="5">
        <f>-IFERROR('4. NPV'!#REF!/'4. NPV'!STA$8,0)</f>
        <v>0</v>
      </c>
      <c r="STA54" s="5">
        <f>-IFERROR('4. NPV'!#REF!/'4. NPV'!STB$8,0)</f>
        <v>0</v>
      </c>
      <c r="STB54" s="5">
        <f>-IFERROR('4. NPV'!#REF!/'4. NPV'!STC$8,0)</f>
        <v>0</v>
      </c>
      <c r="STC54" s="5">
        <f>-IFERROR('4. NPV'!#REF!/'4. NPV'!STD$8,0)</f>
        <v>0</v>
      </c>
      <c r="STD54" s="5">
        <f>-IFERROR('4. NPV'!#REF!/'4. NPV'!STE$8,0)</f>
        <v>0</v>
      </c>
      <c r="STE54" s="5">
        <f>-IFERROR('4. NPV'!#REF!/'4. NPV'!STF$8,0)</f>
        <v>0</v>
      </c>
      <c r="STF54" s="5">
        <f>-IFERROR('4. NPV'!#REF!/'4. NPV'!STG$8,0)</f>
        <v>0</v>
      </c>
      <c r="STG54" s="5">
        <f>-IFERROR('4. NPV'!#REF!/'4. NPV'!STH$8,0)</f>
        <v>0</v>
      </c>
      <c r="STH54" s="5">
        <f>-IFERROR('4. NPV'!#REF!/'4. NPV'!STI$8,0)</f>
        <v>0</v>
      </c>
      <c r="STI54" s="5">
        <f>-IFERROR('4. NPV'!#REF!/'4. NPV'!STJ$8,0)</f>
        <v>0</v>
      </c>
      <c r="STJ54" s="5">
        <f>-IFERROR('4. NPV'!#REF!/'4. NPV'!STK$8,0)</f>
        <v>0</v>
      </c>
      <c r="STK54" s="5">
        <f>-IFERROR('4. NPV'!#REF!/'4. NPV'!STL$8,0)</f>
        <v>0</v>
      </c>
      <c r="STL54" s="5">
        <f>-IFERROR('4. NPV'!#REF!/'4. NPV'!STM$8,0)</f>
        <v>0</v>
      </c>
      <c r="STM54" s="5">
        <f>-IFERROR('4. NPV'!#REF!/'4. NPV'!STN$8,0)</f>
        <v>0</v>
      </c>
      <c r="STN54" s="5">
        <f>-IFERROR('4. NPV'!#REF!/'4. NPV'!STO$8,0)</f>
        <v>0</v>
      </c>
      <c r="STO54" s="5">
        <f>-IFERROR('4. NPV'!#REF!/'4. NPV'!STP$8,0)</f>
        <v>0</v>
      </c>
      <c r="STP54" s="5">
        <f>-IFERROR('4. NPV'!#REF!/'4. NPV'!STQ$8,0)</f>
        <v>0</v>
      </c>
      <c r="STQ54" s="5">
        <f>-IFERROR('4. NPV'!#REF!/'4. NPV'!STR$8,0)</f>
        <v>0</v>
      </c>
      <c r="STR54" s="5">
        <f>-IFERROR('4. NPV'!#REF!/'4. NPV'!STS$8,0)</f>
        <v>0</v>
      </c>
      <c r="STS54" s="5">
        <f>-IFERROR('4. NPV'!#REF!/'4. NPV'!STT$8,0)</f>
        <v>0</v>
      </c>
      <c r="STT54" s="5">
        <f>-IFERROR('4. NPV'!#REF!/'4. NPV'!STU$8,0)</f>
        <v>0</v>
      </c>
      <c r="STU54" s="5">
        <f>-IFERROR('4. NPV'!#REF!/'4. NPV'!STV$8,0)</f>
        <v>0</v>
      </c>
      <c r="STV54" s="5">
        <f>-IFERROR('4. NPV'!#REF!/'4. NPV'!STW$8,0)</f>
        <v>0</v>
      </c>
      <c r="STW54" s="5">
        <f>-IFERROR('4. NPV'!#REF!/'4. NPV'!STX$8,0)</f>
        <v>0</v>
      </c>
      <c r="STX54" s="5">
        <f>-IFERROR('4. NPV'!#REF!/'4. NPV'!STY$8,0)</f>
        <v>0</v>
      </c>
      <c r="STY54" s="5">
        <f>-IFERROR('4. NPV'!#REF!/'4. NPV'!STZ$8,0)</f>
        <v>0</v>
      </c>
      <c r="STZ54" s="5">
        <f>-IFERROR('4. NPV'!#REF!/'4. NPV'!SUA$8,0)</f>
        <v>0</v>
      </c>
      <c r="SUA54" s="5">
        <f>-IFERROR('4. NPV'!#REF!/'4. NPV'!SUB$8,0)</f>
        <v>0</v>
      </c>
      <c r="SUB54" s="5">
        <f>-IFERROR('4. NPV'!#REF!/'4. NPV'!SUC$8,0)</f>
        <v>0</v>
      </c>
      <c r="SUC54" s="5">
        <f>-IFERROR('4. NPV'!#REF!/'4. NPV'!SUD$8,0)</f>
        <v>0</v>
      </c>
      <c r="SUD54" s="5">
        <f>-IFERROR('4. NPV'!#REF!/'4. NPV'!SUE$8,0)</f>
        <v>0</v>
      </c>
      <c r="SUE54" s="5">
        <f>-IFERROR('4. NPV'!#REF!/'4. NPV'!SUF$8,0)</f>
        <v>0</v>
      </c>
      <c r="SUF54" s="5">
        <f>-IFERROR('4. NPV'!#REF!/'4. NPV'!SUG$8,0)</f>
        <v>0</v>
      </c>
      <c r="SUG54" s="5">
        <f>-IFERROR('4. NPV'!#REF!/'4. NPV'!SUH$8,0)</f>
        <v>0</v>
      </c>
      <c r="SUH54" s="5">
        <f>-IFERROR('4. NPV'!#REF!/'4. NPV'!SUI$8,0)</f>
        <v>0</v>
      </c>
      <c r="SUI54" s="5">
        <f>-IFERROR('4. NPV'!#REF!/'4. NPV'!SUJ$8,0)</f>
        <v>0</v>
      </c>
      <c r="SUJ54" s="5">
        <f>-IFERROR('4. NPV'!#REF!/'4. NPV'!SUK$8,0)</f>
        <v>0</v>
      </c>
      <c r="SUK54" s="5">
        <f>-IFERROR('4. NPV'!#REF!/'4. NPV'!SUL$8,0)</f>
        <v>0</v>
      </c>
      <c r="SUL54" s="5">
        <f>-IFERROR('4. NPV'!#REF!/'4. NPV'!SUM$8,0)</f>
        <v>0</v>
      </c>
      <c r="SUM54" s="5">
        <f>-IFERROR('4. NPV'!#REF!/'4. NPV'!SUN$8,0)</f>
        <v>0</v>
      </c>
      <c r="SUN54" s="5">
        <f>-IFERROR('4. NPV'!#REF!/'4. NPV'!SUO$8,0)</f>
        <v>0</v>
      </c>
      <c r="SUO54" s="5">
        <f>-IFERROR('4. NPV'!#REF!/'4. NPV'!SUP$8,0)</f>
        <v>0</v>
      </c>
      <c r="SUP54" s="5">
        <f>-IFERROR('4. NPV'!#REF!/'4. NPV'!SUQ$8,0)</f>
        <v>0</v>
      </c>
      <c r="SUQ54" s="5">
        <f>-IFERROR('4. NPV'!#REF!/'4. NPV'!SUR$8,0)</f>
        <v>0</v>
      </c>
      <c r="SUR54" s="5">
        <f>-IFERROR('4. NPV'!#REF!/'4. NPV'!SUS$8,0)</f>
        <v>0</v>
      </c>
      <c r="SUS54" s="5">
        <f>-IFERROR('4. NPV'!#REF!/'4. NPV'!SUT$8,0)</f>
        <v>0</v>
      </c>
      <c r="SUT54" s="5">
        <f>-IFERROR('4. NPV'!#REF!/'4. NPV'!SUU$8,0)</f>
        <v>0</v>
      </c>
      <c r="SUU54" s="5">
        <f>-IFERROR('4. NPV'!#REF!/'4. NPV'!SUV$8,0)</f>
        <v>0</v>
      </c>
      <c r="SUV54" s="5">
        <f>-IFERROR('4. NPV'!#REF!/'4. NPV'!SUW$8,0)</f>
        <v>0</v>
      </c>
      <c r="SUW54" s="5">
        <f>-IFERROR('4. NPV'!#REF!/'4. NPV'!SUX$8,0)</f>
        <v>0</v>
      </c>
      <c r="SUX54" s="5">
        <f>-IFERROR('4. NPV'!#REF!/'4. NPV'!SUY$8,0)</f>
        <v>0</v>
      </c>
      <c r="SUY54" s="5">
        <f>-IFERROR('4. NPV'!#REF!/'4. NPV'!SUZ$8,0)</f>
        <v>0</v>
      </c>
      <c r="SUZ54" s="5">
        <f>-IFERROR('4. NPV'!#REF!/'4. NPV'!SVA$8,0)</f>
        <v>0</v>
      </c>
      <c r="SVA54" s="5">
        <f>-IFERROR('4. NPV'!#REF!/'4. NPV'!SVB$8,0)</f>
        <v>0</v>
      </c>
      <c r="SVB54" s="5">
        <f>-IFERROR('4. NPV'!#REF!/'4. NPV'!SVC$8,0)</f>
        <v>0</v>
      </c>
      <c r="SVC54" s="5">
        <f>-IFERROR('4. NPV'!#REF!/'4. NPV'!SVD$8,0)</f>
        <v>0</v>
      </c>
      <c r="SVD54" s="5">
        <f>-IFERROR('4. NPV'!#REF!/'4. NPV'!SVE$8,0)</f>
        <v>0</v>
      </c>
      <c r="SVE54" s="5">
        <f>-IFERROR('4. NPV'!#REF!/'4. NPV'!SVF$8,0)</f>
        <v>0</v>
      </c>
      <c r="SVF54" s="5">
        <f>-IFERROR('4. NPV'!#REF!/'4. NPV'!SVG$8,0)</f>
        <v>0</v>
      </c>
      <c r="SVG54" s="5">
        <f>-IFERROR('4. NPV'!#REF!/'4. NPV'!SVH$8,0)</f>
        <v>0</v>
      </c>
      <c r="SVH54" s="5">
        <f>-IFERROR('4. NPV'!#REF!/'4. NPV'!SVI$8,0)</f>
        <v>0</v>
      </c>
      <c r="SVI54" s="5">
        <f>-IFERROR('4. NPV'!#REF!/'4. NPV'!SVJ$8,0)</f>
        <v>0</v>
      </c>
      <c r="SVJ54" s="5">
        <f>-IFERROR('4. NPV'!#REF!/'4. NPV'!SVK$8,0)</f>
        <v>0</v>
      </c>
      <c r="SVK54" s="5">
        <f>-IFERROR('4. NPV'!#REF!/'4. NPV'!SVL$8,0)</f>
        <v>0</v>
      </c>
      <c r="SVL54" s="5">
        <f>-IFERROR('4. NPV'!#REF!/'4. NPV'!SVM$8,0)</f>
        <v>0</v>
      </c>
      <c r="SVM54" s="5">
        <f>-IFERROR('4. NPV'!#REF!/'4. NPV'!SVN$8,0)</f>
        <v>0</v>
      </c>
      <c r="SVN54" s="5">
        <f>-IFERROR('4. NPV'!#REF!/'4. NPV'!SVO$8,0)</f>
        <v>0</v>
      </c>
      <c r="SVO54" s="5">
        <f>-IFERROR('4. NPV'!#REF!/'4. NPV'!SVP$8,0)</f>
        <v>0</v>
      </c>
      <c r="SVP54" s="5">
        <f>-IFERROR('4. NPV'!#REF!/'4. NPV'!SVQ$8,0)</f>
        <v>0</v>
      </c>
      <c r="SVQ54" s="5">
        <f>-IFERROR('4. NPV'!#REF!/'4. NPV'!SVR$8,0)</f>
        <v>0</v>
      </c>
      <c r="SVR54" s="5">
        <f>-IFERROR('4. NPV'!#REF!/'4. NPV'!SVS$8,0)</f>
        <v>0</v>
      </c>
      <c r="SVS54" s="5">
        <f>-IFERROR('4. NPV'!#REF!/'4. NPV'!SVT$8,0)</f>
        <v>0</v>
      </c>
      <c r="SVT54" s="5">
        <f>-IFERROR('4. NPV'!#REF!/'4. NPV'!SVU$8,0)</f>
        <v>0</v>
      </c>
      <c r="SVU54" s="5">
        <f>-IFERROR('4. NPV'!#REF!/'4. NPV'!SVV$8,0)</f>
        <v>0</v>
      </c>
      <c r="SVV54" s="5">
        <f>-IFERROR('4. NPV'!#REF!/'4. NPV'!SVW$8,0)</f>
        <v>0</v>
      </c>
      <c r="SVW54" s="5">
        <f>-IFERROR('4. NPV'!#REF!/'4. NPV'!SVX$8,0)</f>
        <v>0</v>
      </c>
      <c r="SVX54" s="5">
        <f>-IFERROR('4. NPV'!#REF!/'4. NPV'!SVY$8,0)</f>
        <v>0</v>
      </c>
      <c r="SVY54" s="5">
        <f>-IFERROR('4. NPV'!#REF!/'4. NPV'!SVZ$8,0)</f>
        <v>0</v>
      </c>
      <c r="SVZ54" s="5">
        <f>-IFERROR('4. NPV'!#REF!/'4. NPV'!SWA$8,0)</f>
        <v>0</v>
      </c>
      <c r="SWA54" s="5">
        <f>-IFERROR('4. NPV'!#REF!/'4. NPV'!SWB$8,0)</f>
        <v>0</v>
      </c>
      <c r="SWB54" s="5">
        <f>-IFERROR('4. NPV'!#REF!/'4. NPV'!SWC$8,0)</f>
        <v>0</v>
      </c>
      <c r="SWC54" s="5">
        <f>-IFERROR('4. NPV'!#REF!/'4. NPV'!SWD$8,0)</f>
        <v>0</v>
      </c>
      <c r="SWD54" s="5">
        <f>-IFERROR('4. NPV'!#REF!/'4. NPV'!SWE$8,0)</f>
        <v>0</v>
      </c>
      <c r="SWE54" s="5">
        <f>-IFERROR('4. NPV'!#REF!/'4. NPV'!SWF$8,0)</f>
        <v>0</v>
      </c>
      <c r="SWF54" s="5">
        <f>-IFERROR('4. NPV'!#REF!/'4. NPV'!SWG$8,0)</f>
        <v>0</v>
      </c>
      <c r="SWG54" s="5">
        <f>-IFERROR('4. NPV'!#REF!/'4. NPV'!SWH$8,0)</f>
        <v>0</v>
      </c>
      <c r="SWH54" s="5">
        <f>-IFERROR('4. NPV'!#REF!/'4. NPV'!SWI$8,0)</f>
        <v>0</v>
      </c>
      <c r="SWI54" s="5">
        <f>-IFERROR('4. NPV'!#REF!/'4. NPV'!SWJ$8,0)</f>
        <v>0</v>
      </c>
      <c r="SWJ54" s="5">
        <f>-IFERROR('4. NPV'!#REF!/'4. NPV'!SWK$8,0)</f>
        <v>0</v>
      </c>
      <c r="SWK54" s="5">
        <f>-IFERROR('4. NPV'!#REF!/'4. NPV'!SWL$8,0)</f>
        <v>0</v>
      </c>
      <c r="SWL54" s="5">
        <f>-IFERROR('4. NPV'!#REF!/'4. NPV'!SWM$8,0)</f>
        <v>0</v>
      </c>
      <c r="SWM54" s="5">
        <f>-IFERROR('4. NPV'!#REF!/'4. NPV'!SWN$8,0)</f>
        <v>0</v>
      </c>
      <c r="SWN54" s="5">
        <f>-IFERROR('4. NPV'!#REF!/'4. NPV'!SWO$8,0)</f>
        <v>0</v>
      </c>
      <c r="SWO54" s="5">
        <f>-IFERROR('4. NPV'!#REF!/'4. NPV'!SWP$8,0)</f>
        <v>0</v>
      </c>
      <c r="SWP54" s="5">
        <f>-IFERROR('4. NPV'!#REF!/'4. NPV'!SWQ$8,0)</f>
        <v>0</v>
      </c>
      <c r="SWQ54" s="5">
        <f>-IFERROR('4. NPV'!#REF!/'4. NPV'!SWR$8,0)</f>
        <v>0</v>
      </c>
      <c r="SWR54" s="5">
        <f>-IFERROR('4. NPV'!#REF!/'4. NPV'!SWS$8,0)</f>
        <v>0</v>
      </c>
      <c r="SWS54" s="5">
        <f>-IFERROR('4. NPV'!#REF!/'4. NPV'!SWT$8,0)</f>
        <v>0</v>
      </c>
      <c r="SWT54" s="5">
        <f>-IFERROR('4. NPV'!#REF!/'4. NPV'!SWU$8,0)</f>
        <v>0</v>
      </c>
      <c r="SWU54" s="5">
        <f>-IFERROR('4. NPV'!#REF!/'4. NPV'!SWV$8,0)</f>
        <v>0</v>
      </c>
      <c r="SWV54" s="5">
        <f>-IFERROR('4. NPV'!#REF!/'4. NPV'!SWW$8,0)</f>
        <v>0</v>
      </c>
      <c r="SWW54" s="5">
        <f>-IFERROR('4. NPV'!#REF!/'4. NPV'!SWX$8,0)</f>
        <v>0</v>
      </c>
      <c r="SWX54" s="5">
        <f>-IFERROR('4. NPV'!#REF!/'4. NPV'!SWY$8,0)</f>
        <v>0</v>
      </c>
      <c r="SWY54" s="5">
        <f>-IFERROR('4. NPV'!#REF!/'4. NPV'!SWZ$8,0)</f>
        <v>0</v>
      </c>
      <c r="SWZ54" s="5">
        <f>-IFERROR('4. NPV'!#REF!/'4. NPV'!SXA$8,0)</f>
        <v>0</v>
      </c>
      <c r="SXA54" s="5">
        <f>-IFERROR('4. NPV'!#REF!/'4. NPV'!SXB$8,0)</f>
        <v>0</v>
      </c>
      <c r="SXB54" s="5">
        <f>-IFERROR('4. NPV'!#REF!/'4. NPV'!SXC$8,0)</f>
        <v>0</v>
      </c>
      <c r="SXC54" s="5">
        <f>-IFERROR('4. NPV'!#REF!/'4. NPV'!SXD$8,0)</f>
        <v>0</v>
      </c>
      <c r="SXD54" s="5">
        <f>-IFERROR('4. NPV'!#REF!/'4. NPV'!SXE$8,0)</f>
        <v>0</v>
      </c>
      <c r="SXE54" s="5">
        <f>-IFERROR('4. NPV'!#REF!/'4. NPV'!SXF$8,0)</f>
        <v>0</v>
      </c>
      <c r="SXF54" s="5">
        <f>-IFERROR('4. NPV'!#REF!/'4. NPV'!SXG$8,0)</f>
        <v>0</v>
      </c>
      <c r="SXG54" s="5">
        <f>-IFERROR('4. NPV'!#REF!/'4. NPV'!SXH$8,0)</f>
        <v>0</v>
      </c>
      <c r="SXH54" s="5">
        <f>-IFERROR('4. NPV'!#REF!/'4. NPV'!SXI$8,0)</f>
        <v>0</v>
      </c>
      <c r="SXI54" s="5">
        <f>-IFERROR('4. NPV'!#REF!/'4. NPV'!SXJ$8,0)</f>
        <v>0</v>
      </c>
      <c r="SXJ54" s="5">
        <f>-IFERROR('4. NPV'!#REF!/'4. NPV'!SXK$8,0)</f>
        <v>0</v>
      </c>
      <c r="SXK54" s="5">
        <f>-IFERROR('4. NPV'!#REF!/'4. NPV'!SXL$8,0)</f>
        <v>0</v>
      </c>
      <c r="SXL54" s="5">
        <f>-IFERROR('4. NPV'!#REF!/'4. NPV'!SXM$8,0)</f>
        <v>0</v>
      </c>
      <c r="SXM54" s="5">
        <f>-IFERROR('4. NPV'!#REF!/'4. NPV'!SXN$8,0)</f>
        <v>0</v>
      </c>
      <c r="SXN54" s="5">
        <f>-IFERROR('4. NPV'!#REF!/'4. NPV'!SXO$8,0)</f>
        <v>0</v>
      </c>
      <c r="SXO54" s="5">
        <f>-IFERROR('4. NPV'!#REF!/'4. NPV'!SXP$8,0)</f>
        <v>0</v>
      </c>
      <c r="SXP54" s="5">
        <f>-IFERROR('4. NPV'!#REF!/'4. NPV'!SXQ$8,0)</f>
        <v>0</v>
      </c>
      <c r="SXQ54" s="5">
        <f>-IFERROR('4. NPV'!#REF!/'4. NPV'!SXR$8,0)</f>
        <v>0</v>
      </c>
      <c r="SXR54" s="5">
        <f>-IFERROR('4. NPV'!#REF!/'4. NPV'!SXS$8,0)</f>
        <v>0</v>
      </c>
      <c r="SXS54" s="5">
        <f>-IFERROR('4. NPV'!#REF!/'4. NPV'!SXT$8,0)</f>
        <v>0</v>
      </c>
      <c r="SXT54" s="5">
        <f>-IFERROR('4. NPV'!#REF!/'4. NPV'!SXU$8,0)</f>
        <v>0</v>
      </c>
      <c r="SXU54" s="5">
        <f>-IFERROR('4. NPV'!#REF!/'4. NPV'!SXV$8,0)</f>
        <v>0</v>
      </c>
      <c r="SXV54" s="5">
        <f>-IFERROR('4. NPV'!#REF!/'4. NPV'!SXW$8,0)</f>
        <v>0</v>
      </c>
      <c r="SXW54" s="5">
        <f>-IFERROR('4. NPV'!#REF!/'4. NPV'!SXX$8,0)</f>
        <v>0</v>
      </c>
      <c r="SXX54" s="5">
        <f>-IFERROR('4. NPV'!#REF!/'4. NPV'!SXY$8,0)</f>
        <v>0</v>
      </c>
      <c r="SXY54" s="5">
        <f>-IFERROR('4. NPV'!#REF!/'4. NPV'!SXZ$8,0)</f>
        <v>0</v>
      </c>
      <c r="SXZ54" s="5">
        <f>-IFERROR('4. NPV'!#REF!/'4. NPV'!SYA$8,0)</f>
        <v>0</v>
      </c>
      <c r="SYA54" s="5">
        <f>-IFERROR('4. NPV'!#REF!/'4. NPV'!SYB$8,0)</f>
        <v>0</v>
      </c>
      <c r="SYB54" s="5">
        <f>-IFERROR('4. NPV'!#REF!/'4. NPV'!SYC$8,0)</f>
        <v>0</v>
      </c>
      <c r="SYC54" s="5">
        <f>-IFERROR('4. NPV'!#REF!/'4. NPV'!SYD$8,0)</f>
        <v>0</v>
      </c>
      <c r="SYD54" s="5">
        <f>-IFERROR('4. NPV'!#REF!/'4. NPV'!SYE$8,0)</f>
        <v>0</v>
      </c>
      <c r="SYE54" s="5">
        <f>-IFERROR('4. NPV'!#REF!/'4. NPV'!SYF$8,0)</f>
        <v>0</v>
      </c>
      <c r="SYF54" s="5">
        <f>-IFERROR('4. NPV'!#REF!/'4. NPV'!SYG$8,0)</f>
        <v>0</v>
      </c>
      <c r="SYG54" s="5">
        <f>-IFERROR('4. NPV'!#REF!/'4. NPV'!SYH$8,0)</f>
        <v>0</v>
      </c>
      <c r="SYH54" s="5">
        <f>-IFERROR('4. NPV'!#REF!/'4. NPV'!SYI$8,0)</f>
        <v>0</v>
      </c>
      <c r="SYI54" s="5">
        <f>-IFERROR('4. NPV'!#REF!/'4. NPV'!SYJ$8,0)</f>
        <v>0</v>
      </c>
      <c r="SYJ54" s="5">
        <f>-IFERROR('4. NPV'!#REF!/'4. NPV'!SYK$8,0)</f>
        <v>0</v>
      </c>
      <c r="SYK54" s="5">
        <f>-IFERROR('4. NPV'!#REF!/'4. NPV'!SYL$8,0)</f>
        <v>0</v>
      </c>
      <c r="SYL54" s="5">
        <f>-IFERROR('4. NPV'!#REF!/'4. NPV'!SYM$8,0)</f>
        <v>0</v>
      </c>
      <c r="SYM54" s="5">
        <f>-IFERROR('4. NPV'!#REF!/'4. NPV'!SYN$8,0)</f>
        <v>0</v>
      </c>
      <c r="SYN54" s="5">
        <f>-IFERROR('4. NPV'!#REF!/'4. NPV'!SYO$8,0)</f>
        <v>0</v>
      </c>
      <c r="SYO54" s="5">
        <f>-IFERROR('4. NPV'!#REF!/'4. NPV'!SYP$8,0)</f>
        <v>0</v>
      </c>
      <c r="SYP54" s="5">
        <f>-IFERROR('4. NPV'!#REF!/'4. NPV'!SYQ$8,0)</f>
        <v>0</v>
      </c>
      <c r="SYQ54" s="5">
        <f>-IFERROR('4. NPV'!#REF!/'4. NPV'!SYR$8,0)</f>
        <v>0</v>
      </c>
      <c r="SYR54" s="5">
        <f>-IFERROR('4. NPV'!#REF!/'4. NPV'!SYS$8,0)</f>
        <v>0</v>
      </c>
      <c r="SYS54" s="5">
        <f>-IFERROR('4. NPV'!#REF!/'4. NPV'!SYT$8,0)</f>
        <v>0</v>
      </c>
      <c r="SYT54" s="5">
        <f>-IFERROR('4. NPV'!#REF!/'4. NPV'!SYU$8,0)</f>
        <v>0</v>
      </c>
      <c r="SYU54" s="5">
        <f>-IFERROR('4. NPV'!#REF!/'4. NPV'!SYV$8,0)</f>
        <v>0</v>
      </c>
      <c r="SYV54" s="5">
        <f>-IFERROR('4. NPV'!#REF!/'4. NPV'!SYW$8,0)</f>
        <v>0</v>
      </c>
      <c r="SYW54" s="5">
        <f>-IFERROR('4. NPV'!#REF!/'4. NPV'!SYX$8,0)</f>
        <v>0</v>
      </c>
      <c r="SYX54" s="5">
        <f>-IFERROR('4. NPV'!#REF!/'4. NPV'!SYY$8,0)</f>
        <v>0</v>
      </c>
      <c r="SYY54" s="5">
        <f>-IFERROR('4. NPV'!#REF!/'4. NPV'!SYZ$8,0)</f>
        <v>0</v>
      </c>
      <c r="SYZ54" s="5">
        <f>-IFERROR('4. NPV'!#REF!/'4. NPV'!SZA$8,0)</f>
        <v>0</v>
      </c>
      <c r="SZA54" s="5">
        <f>-IFERROR('4. NPV'!#REF!/'4. NPV'!SZB$8,0)</f>
        <v>0</v>
      </c>
      <c r="SZB54" s="5">
        <f>-IFERROR('4. NPV'!#REF!/'4. NPV'!SZC$8,0)</f>
        <v>0</v>
      </c>
      <c r="SZC54" s="5">
        <f>-IFERROR('4. NPV'!#REF!/'4. NPV'!SZD$8,0)</f>
        <v>0</v>
      </c>
      <c r="SZD54" s="5">
        <f>-IFERROR('4. NPV'!#REF!/'4. NPV'!SZE$8,0)</f>
        <v>0</v>
      </c>
      <c r="SZE54" s="5">
        <f>-IFERROR('4. NPV'!#REF!/'4. NPV'!SZF$8,0)</f>
        <v>0</v>
      </c>
      <c r="SZF54" s="5">
        <f>-IFERROR('4. NPV'!#REF!/'4. NPV'!SZG$8,0)</f>
        <v>0</v>
      </c>
      <c r="SZG54" s="5">
        <f>-IFERROR('4. NPV'!#REF!/'4. NPV'!SZH$8,0)</f>
        <v>0</v>
      </c>
      <c r="SZH54" s="5">
        <f>-IFERROR('4. NPV'!#REF!/'4. NPV'!SZI$8,0)</f>
        <v>0</v>
      </c>
      <c r="SZI54" s="5">
        <f>-IFERROR('4. NPV'!#REF!/'4. NPV'!SZJ$8,0)</f>
        <v>0</v>
      </c>
      <c r="SZJ54" s="5">
        <f>-IFERROR('4. NPV'!#REF!/'4. NPV'!SZK$8,0)</f>
        <v>0</v>
      </c>
      <c r="SZK54" s="5">
        <f>-IFERROR('4. NPV'!#REF!/'4. NPV'!SZL$8,0)</f>
        <v>0</v>
      </c>
      <c r="SZL54" s="5">
        <f>-IFERROR('4. NPV'!#REF!/'4. NPV'!SZM$8,0)</f>
        <v>0</v>
      </c>
      <c r="SZM54" s="5">
        <f>-IFERROR('4. NPV'!#REF!/'4. NPV'!SZN$8,0)</f>
        <v>0</v>
      </c>
      <c r="SZN54" s="5">
        <f>-IFERROR('4. NPV'!#REF!/'4. NPV'!SZO$8,0)</f>
        <v>0</v>
      </c>
      <c r="SZO54" s="5">
        <f>-IFERROR('4. NPV'!#REF!/'4. NPV'!SZP$8,0)</f>
        <v>0</v>
      </c>
      <c r="SZP54" s="5">
        <f>-IFERROR('4. NPV'!#REF!/'4. NPV'!SZQ$8,0)</f>
        <v>0</v>
      </c>
      <c r="SZQ54" s="5">
        <f>-IFERROR('4. NPV'!#REF!/'4. NPV'!SZR$8,0)</f>
        <v>0</v>
      </c>
      <c r="SZR54" s="5">
        <f>-IFERROR('4. NPV'!#REF!/'4. NPV'!SZS$8,0)</f>
        <v>0</v>
      </c>
      <c r="SZS54" s="5">
        <f>-IFERROR('4. NPV'!#REF!/'4. NPV'!SZT$8,0)</f>
        <v>0</v>
      </c>
      <c r="SZT54" s="5">
        <f>-IFERROR('4. NPV'!#REF!/'4. NPV'!SZU$8,0)</f>
        <v>0</v>
      </c>
      <c r="SZU54" s="5">
        <f>-IFERROR('4. NPV'!#REF!/'4. NPV'!SZV$8,0)</f>
        <v>0</v>
      </c>
      <c r="SZV54" s="5">
        <f>-IFERROR('4. NPV'!#REF!/'4. NPV'!SZW$8,0)</f>
        <v>0</v>
      </c>
      <c r="SZW54" s="5">
        <f>-IFERROR('4. NPV'!#REF!/'4. NPV'!SZX$8,0)</f>
        <v>0</v>
      </c>
      <c r="SZX54" s="5">
        <f>-IFERROR('4. NPV'!#REF!/'4. NPV'!SZY$8,0)</f>
        <v>0</v>
      </c>
      <c r="SZY54" s="5">
        <f>-IFERROR('4. NPV'!#REF!/'4. NPV'!SZZ$8,0)</f>
        <v>0</v>
      </c>
      <c r="SZZ54" s="5">
        <f>-IFERROR('4. NPV'!#REF!/'4. NPV'!TAA$8,0)</f>
        <v>0</v>
      </c>
      <c r="TAA54" s="5">
        <f>-IFERROR('4. NPV'!#REF!/'4. NPV'!TAB$8,0)</f>
        <v>0</v>
      </c>
      <c r="TAB54" s="5">
        <f>-IFERROR('4. NPV'!#REF!/'4. NPV'!TAC$8,0)</f>
        <v>0</v>
      </c>
      <c r="TAC54" s="5">
        <f>-IFERROR('4. NPV'!#REF!/'4. NPV'!TAD$8,0)</f>
        <v>0</v>
      </c>
      <c r="TAD54" s="5">
        <f>-IFERROR('4. NPV'!#REF!/'4. NPV'!TAE$8,0)</f>
        <v>0</v>
      </c>
      <c r="TAE54" s="5">
        <f>-IFERROR('4. NPV'!#REF!/'4. NPV'!TAF$8,0)</f>
        <v>0</v>
      </c>
      <c r="TAF54" s="5">
        <f>-IFERROR('4. NPV'!#REF!/'4. NPV'!TAG$8,0)</f>
        <v>0</v>
      </c>
      <c r="TAG54" s="5">
        <f>-IFERROR('4. NPV'!#REF!/'4. NPV'!TAH$8,0)</f>
        <v>0</v>
      </c>
      <c r="TAH54" s="5">
        <f>-IFERROR('4. NPV'!#REF!/'4. NPV'!TAI$8,0)</f>
        <v>0</v>
      </c>
      <c r="TAI54" s="5">
        <f>-IFERROR('4. NPV'!#REF!/'4. NPV'!TAJ$8,0)</f>
        <v>0</v>
      </c>
      <c r="TAJ54" s="5">
        <f>-IFERROR('4. NPV'!#REF!/'4. NPV'!TAK$8,0)</f>
        <v>0</v>
      </c>
      <c r="TAK54" s="5">
        <f>-IFERROR('4. NPV'!#REF!/'4. NPV'!TAL$8,0)</f>
        <v>0</v>
      </c>
      <c r="TAL54" s="5">
        <f>-IFERROR('4. NPV'!#REF!/'4. NPV'!TAM$8,0)</f>
        <v>0</v>
      </c>
      <c r="TAM54" s="5">
        <f>-IFERROR('4. NPV'!#REF!/'4. NPV'!TAN$8,0)</f>
        <v>0</v>
      </c>
      <c r="TAN54" s="5">
        <f>-IFERROR('4. NPV'!#REF!/'4. NPV'!TAO$8,0)</f>
        <v>0</v>
      </c>
      <c r="TAO54" s="5">
        <f>-IFERROR('4. NPV'!#REF!/'4. NPV'!TAP$8,0)</f>
        <v>0</v>
      </c>
      <c r="TAP54" s="5">
        <f>-IFERROR('4. NPV'!#REF!/'4. NPV'!TAQ$8,0)</f>
        <v>0</v>
      </c>
      <c r="TAQ54" s="5">
        <f>-IFERROR('4. NPV'!#REF!/'4. NPV'!TAR$8,0)</f>
        <v>0</v>
      </c>
      <c r="TAR54" s="5">
        <f>-IFERROR('4. NPV'!#REF!/'4. NPV'!TAS$8,0)</f>
        <v>0</v>
      </c>
      <c r="TAS54" s="5">
        <f>-IFERROR('4. NPV'!#REF!/'4. NPV'!TAT$8,0)</f>
        <v>0</v>
      </c>
      <c r="TAT54" s="5">
        <f>-IFERROR('4. NPV'!#REF!/'4. NPV'!TAU$8,0)</f>
        <v>0</v>
      </c>
      <c r="TAU54" s="5">
        <f>-IFERROR('4. NPV'!#REF!/'4. NPV'!TAV$8,0)</f>
        <v>0</v>
      </c>
      <c r="TAV54" s="5">
        <f>-IFERROR('4. NPV'!#REF!/'4. NPV'!TAW$8,0)</f>
        <v>0</v>
      </c>
      <c r="TAW54" s="5">
        <f>-IFERROR('4. NPV'!#REF!/'4. NPV'!TAX$8,0)</f>
        <v>0</v>
      </c>
      <c r="TAX54" s="5">
        <f>-IFERROR('4. NPV'!#REF!/'4. NPV'!TAY$8,0)</f>
        <v>0</v>
      </c>
      <c r="TAY54" s="5">
        <f>-IFERROR('4. NPV'!#REF!/'4. NPV'!TAZ$8,0)</f>
        <v>0</v>
      </c>
      <c r="TAZ54" s="5">
        <f>-IFERROR('4. NPV'!#REF!/'4. NPV'!TBA$8,0)</f>
        <v>0</v>
      </c>
      <c r="TBA54" s="5">
        <f>-IFERROR('4. NPV'!#REF!/'4. NPV'!TBB$8,0)</f>
        <v>0</v>
      </c>
      <c r="TBB54" s="5">
        <f>-IFERROR('4. NPV'!#REF!/'4. NPV'!TBC$8,0)</f>
        <v>0</v>
      </c>
      <c r="TBC54" s="5">
        <f>-IFERROR('4. NPV'!#REF!/'4. NPV'!TBD$8,0)</f>
        <v>0</v>
      </c>
      <c r="TBD54" s="5">
        <f>-IFERROR('4. NPV'!#REF!/'4. NPV'!TBE$8,0)</f>
        <v>0</v>
      </c>
      <c r="TBE54" s="5">
        <f>-IFERROR('4. NPV'!#REF!/'4. NPV'!TBF$8,0)</f>
        <v>0</v>
      </c>
      <c r="TBF54" s="5">
        <f>-IFERROR('4. NPV'!#REF!/'4. NPV'!TBG$8,0)</f>
        <v>0</v>
      </c>
      <c r="TBG54" s="5">
        <f>-IFERROR('4. NPV'!#REF!/'4. NPV'!TBH$8,0)</f>
        <v>0</v>
      </c>
      <c r="TBH54" s="5">
        <f>-IFERROR('4. NPV'!#REF!/'4. NPV'!TBI$8,0)</f>
        <v>0</v>
      </c>
      <c r="TBI54" s="5">
        <f>-IFERROR('4. NPV'!#REF!/'4. NPV'!TBJ$8,0)</f>
        <v>0</v>
      </c>
      <c r="TBJ54" s="5">
        <f>-IFERROR('4. NPV'!#REF!/'4. NPV'!TBK$8,0)</f>
        <v>0</v>
      </c>
      <c r="TBK54" s="5">
        <f>-IFERROR('4. NPV'!#REF!/'4. NPV'!TBL$8,0)</f>
        <v>0</v>
      </c>
      <c r="TBL54" s="5">
        <f>-IFERROR('4. NPV'!#REF!/'4. NPV'!TBM$8,0)</f>
        <v>0</v>
      </c>
      <c r="TBM54" s="5">
        <f>-IFERROR('4. NPV'!#REF!/'4. NPV'!TBN$8,0)</f>
        <v>0</v>
      </c>
      <c r="TBN54" s="5">
        <f>-IFERROR('4. NPV'!#REF!/'4. NPV'!TBO$8,0)</f>
        <v>0</v>
      </c>
      <c r="TBO54" s="5">
        <f>-IFERROR('4. NPV'!#REF!/'4. NPV'!TBP$8,0)</f>
        <v>0</v>
      </c>
      <c r="TBP54" s="5">
        <f>-IFERROR('4. NPV'!#REF!/'4. NPV'!TBQ$8,0)</f>
        <v>0</v>
      </c>
      <c r="TBQ54" s="5">
        <f>-IFERROR('4. NPV'!#REF!/'4. NPV'!TBR$8,0)</f>
        <v>0</v>
      </c>
      <c r="TBR54" s="5">
        <f>-IFERROR('4. NPV'!#REF!/'4. NPV'!TBS$8,0)</f>
        <v>0</v>
      </c>
      <c r="TBS54" s="5">
        <f>-IFERROR('4. NPV'!#REF!/'4. NPV'!TBT$8,0)</f>
        <v>0</v>
      </c>
      <c r="TBT54" s="5">
        <f>-IFERROR('4. NPV'!#REF!/'4. NPV'!TBU$8,0)</f>
        <v>0</v>
      </c>
      <c r="TBU54" s="5">
        <f>-IFERROR('4. NPV'!#REF!/'4. NPV'!TBV$8,0)</f>
        <v>0</v>
      </c>
      <c r="TBV54" s="5">
        <f>-IFERROR('4. NPV'!#REF!/'4. NPV'!TBW$8,0)</f>
        <v>0</v>
      </c>
      <c r="TBW54" s="5">
        <f>-IFERROR('4. NPV'!#REF!/'4. NPV'!TBX$8,0)</f>
        <v>0</v>
      </c>
      <c r="TBX54" s="5">
        <f>-IFERROR('4. NPV'!#REF!/'4. NPV'!TBY$8,0)</f>
        <v>0</v>
      </c>
      <c r="TBY54" s="5">
        <f>-IFERROR('4. NPV'!#REF!/'4. NPV'!TBZ$8,0)</f>
        <v>0</v>
      </c>
      <c r="TBZ54" s="5">
        <f>-IFERROR('4. NPV'!#REF!/'4. NPV'!TCA$8,0)</f>
        <v>0</v>
      </c>
      <c r="TCA54" s="5">
        <f>-IFERROR('4. NPV'!#REF!/'4. NPV'!TCB$8,0)</f>
        <v>0</v>
      </c>
      <c r="TCB54" s="5">
        <f>-IFERROR('4. NPV'!#REF!/'4. NPV'!TCC$8,0)</f>
        <v>0</v>
      </c>
      <c r="TCC54" s="5">
        <f>-IFERROR('4. NPV'!#REF!/'4. NPV'!TCD$8,0)</f>
        <v>0</v>
      </c>
      <c r="TCD54" s="5">
        <f>-IFERROR('4. NPV'!#REF!/'4. NPV'!TCE$8,0)</f>
        <v>0</v>
      </c>
      <c r="TCE54" s="5">
        <f>-IFERROR('4. NPV'!#REF!/'4. NPV'!TCF$8,0)</f>
        <v>0</v>
      </c>
      <c r="TCF54" s="5">
        <f>-IFERROR('4. NPV'!#REF!/'4. NPV'!TCG$8,0)</f>
        <v>0</v>
      </c>
      <c r="TCG54" s="5">
        <f>-IFERROR('4. NPV'!#REF!/'4. NPV'!TCH$8,0)</f>
        <v>0</v>
      </c>
      <c r="TCH54" s="5">
        <f>-IFERROR('4. NPV'!#REF!/'4. NPV'!TCI$8,0)</f>
        <v>0</v>
      </c>
      <c r="TCI54" s="5">
        <f>-IFERROR('4. NPV'!#REF!/'4. NPV'!TCJ$8,0)</f>
        <v>0</v>
      </c>
      <c r="TCJ54" s="5">
        <f>-IFERROR('4. NPV'!#REF!/'4. NPV'!TCK$8,0)</f>
        <v>0</v>
      </c>
      <c r="TCK54" s="5">
        <f>-IFERROR('4. NPV'!#REF!/'4. NPV'!TCL$8,0)</f>
        <v>0</v>
      </c>
      <c r="TCL54" s="5">
        <f>-IFERROR('4. NPV'!#REF!/'4. NPV'!TCM$8,0)</f>
        <v>0</v>
      </c>
      <c r="TCM54" s="5">
        <f>-IFERROR('4. NPV'!#REF!/'4. NPV'!TCN$8,0)</f>
        <v>0</v>
      </c>
      <c r="TCN54" s="5">
        <f>-IFERROR('4. NPV'!#REF!/'4. NPV'!TCO$8,0)</f>
        <v>0</v>
      </c>
      <c r="TCO54" s="5">
        <f>-IFERROR('4. NPV'!#REF!/'4. NPV'!TCP$8,0)</f>
        <v>0</v>
      </c>
      <c r="TCP54" s="5">
        <f>-IFERROR('4. NPV'!#REF!/'4. NPV'!TCQ$8,0)</f>
        <v>0</v>
      </c>
      <c r="TCQ54" s="5">
        <f>-IFERROR('4. NPV'!#REF!/'4. NPV'!TCR$8,0)</f>
        <v>0</v>
      </c>
      <c r="TCR54" s="5">
        <f>-IFERROR('4. NPV'!#REF!/'4. NPV'!TCS$8,0)</f>
        <v>0</v>
      </c>
      <c r="TCS54" s="5">
        <f>-IFERROR('4. NPV'!#REF!/'4. NPV'!TCT$8,0)</f>
        <v>0</v>
      </c>
      <c r="TCT54" s="5">
        <f>-IFERROR('4. NPV'!#REF!/'4. NPV'!TCU$8,0)</f>
        <v>0</v>
      </c>
      <c r="TCU54" s="5">
        <f>-IFERROR('4. NPV'!#REF!/'4. NPV'!TCV$8,0)</f>
        <v>0</v>
      </c>
      <c r="TCV54" s="5">
        <f>-IFERROR('4. NPV'!#REF!/'4. NPV'!TCW$8,0)</f>
        <v>0</v>
      </c>
      <c r="TCW54" s="5">
        <f>-IFERROR('4. NPV'!#REF!/'4. NPV'!TCX$8,0)</f>
        <v>0</v>
      </c>
      <c r="TCX54" s="5">
        <f>-IFERROR('4. NPV'!#REF!/'4. NPV'!TCY$8,0)</f>
        <v>0</v>
      </c>
      <c r="TCY54" s="5">
        <f>-IFERROR('4. NPV'!#REF!/'4. NPV'!TCZ$8,0)</f>
        <v>0</v>
      </c>
      <c r="TCZ54" s="5">
        <f>-IFERROR('4. NPV'!#REF!/'4. NPV'!TDA$8,0)</f>
        <v>0</v>
      </c>
      <c r="TDA54" s="5">
        <f>-IFERROR('4. NPV'!#REF!/'4. NPV'!TDB$8,0)</f>
        <v>0</v>
      </c>
      <c r="TDB54" s="5">
        <f>-IFERROR('4. NPV'!#REF!/'4. NPV'!TDC$8,0)</f>
        <v>0</v>
      </c>
      <c r="TDC54" s="5">
        <f>-IFERROR('4. NPV'!#REF!/'4. NPV'!TDD$8,0)</f>
        <v>0</v>
      </c>
      <c r="TDD54" s="5">
        <f>-IFERROR('4. NPV'!#REF!/'4. NPV'!TDE$8,0)</f>
        <v>0</v>
      </c>
      <c r="TDE54" s="5">
        <f>-IFERROR('4. NPV'!#REF!/'4. NPV'!TDF$8,0)</f>
        <v>0</v>
      </c>
      <c r="TDF54" s="5">
        <f>-IFERROR('4. NPV'!#REF!/'4. NPV'!TDG$8,0)</f>
        <v>0</v>
      </c>
      <c r="TDG54" s="5">
        <f>-IFERROR('4. NPV'!#REF!/'4. NPV'!TDH$8,0)</f>
        <v>0</v>
      </c>
      <c r="TDH54" s="5">
        <f>-IFERROR('4. NPV'!#REF!/'4. NPV'!TDI$8,0)</f>
        <v>0</v>
      </c>
      <c r="TDI54" s="5">
        <f>-IFERROR('4. NPV'!#REF!/'4. NPV'!TDJ$8,0)</f>
        <v>0</v>
      </c>
      <c r="TDJ54" s="5">
        <f>-IFERROR('4. NPV'!#REF!/'4. NPV'!TDK$8,0)</f>
        <v>0</v>
      </c>
      <c r="TDK54" s="5">
        <f>-IFERROR('4. NPV'!#REF!/'4. NPV'!TDL$8,0)</f>
        <v>0</v>
      </c>
      <c r="TDL54" s="5">
        <f>-IFERROR('4. NPV'!#REF!/'4. NPV'!TDM$8,0)</f>
        <v>0</v>
      </c>
      <c r="TDM54" s="5">
        <f>-IFERROR('4. NPV'!#REF!/'4. NPV'!TDN$8,0)</f>
        <v>0</v>
      </c>
      <c r="TDN54" s="5">
        <f>-IFERROR('4. NPV'!#REF!/'4. NPV'!TDO$8,0)</f>
        <v>0</v>
      </c>
      <c r="TDO54" s="5">
        <f>-IFERROR('4. NPV'!#REF!/'4. NPV'!TDP$8,0)</f>
        <v>0</v>
      </c>
      <c r="TDP54" s="5">
        <f>-IFERROR('4. NPV'!#REF!/'4. NPV'!TDQ$8,0)</f>
        <v>0</v>
      </c>
      <c r="TDQ54" s="5">
        <f>-IFERROR('4. NPV'!#REF!/'4. NPV'!TDR$8,0)</f>
        <v>0</v>
      </c>
      <c r="TDR54" s="5">
        <f>-IFERROR('4. NPV'!#REF!/'4. NPV'!TDS$8,0)</f>
        <v>0</v>
      </c>
      <c r="TDS54" s="5">
        <f>-IFERROR('4. NPV'!#REF!/'4. NPV'!TDT$8,0)</f>
        <v>0</v>
      </c>
      <c r="TDT54" s="5">
        <f>-IFERROR('4. NPV'!#REF!/'4. NPV'!TDU$8,0)</f>
        <v>0</v>
      </c>
      <c r="TDU54" s="5">
        <f>-IFERROR('4. NPV'!#REF!/'4. NPV'!TDV$8,0)</f>
        <v>0</v>
      </c>
      <c r="TDV54" s="5">
        <f>-IFERROR('4. NPV'!#REF!/'4. NPV'!TDW$8,0)</f>
        <v>0</v>
      </c>
      <c r="TDW54" s="5">
        <f>-IFERROR('4. NPV'!#REF!/'4. NPV'!TDX$8,0)</f>
        <v>0</v>
      </c>
      <c r="TDX54" s="5">
        <f>-IFERROR('4. NPV'!#REF!/'4. NPV'!TDY$8,0)</f>
        <v>0</v>
      </c>
      <c r="TDY54" s="5">
        <f>-IFERROR('4. NPV'!#REF!/'4. NPV'!TDZ$8,0)</f>
        <v>0</v>
      </c>
      <c r="TDZ54" s="5">
        <f>-IFERROR('4. NPV'!#REF!/'4. NPV'!TEA$8,0)</f>
        <v>0</v>
      </c>
      <c r="TEA54" s="5">
        <f>-IFERROR('4. NPV'!#REF!/'4. NPV'!TEB$8,0)</f>
        <v>0</v>
      </c>
      <c r="TEB54" s="5">
        <f>-IFERROR('4. NPV'!#REF!/'4. NPV'!TEC$8,0)</f>
        <v>0</v>
      </c>
      <c r="TEC54" s="5">
        <f>-IFERROR('4. NPV'!#REF!/'4. NPV'!TED$8,0)</f>
        <v>0</v>
      </c>
      <c r="TED54" s="5">
        <f>-IFERROR('4. NPV'!#REF!/'4. NPV'!TEE$8,0)</f>
        <v>0</v>
      </c>
      <c r="TEE54" s="5">
        <f>-IFERROR('4. NPV'!#REF!/'4. NPV'!TEF$8,0)</f>
        <v>0</v>
      </c>
      <c r="TEF54" s="5">
        <f>-IFERROR('4. NPV'!#REF!/'4. NPV'!TEG$8,0)</f>
        <v>0</v>
      </c>
      <c r="TEG54" s="5">
        <f>-IFERROR('4. NPV'!#REF!/'4. NPV'!TEH$8,0)</f>
        <v>0</v>
      </c>
      <c r="TEH54" s="5">
        <f>-IFERROR('4. NPV'!#REF!/'4. NPV'!TEI$8,0)</f>
        <v>0</v>
      </c>
      <c r="TEI54" s="5">
        <f>-IFERROR('4. NPV'!#REF!/'4. NPV'!TEJ$8,0)</f>
        <v>0</v>
      </c>
      <c r="TEJ54" s="5">
        <f>-IFERROR('4. NPV'!#REF!/'4. NPV'!TEK$8,0)</f>
        <v>0</v>
      </c>
      <c r="TEK54" s="5">
        <f>-IFERROR('4. NPV'!#REF!/'4. NPV'!TEL$8,0)</f>
        <v>0</v>
      </c>
      <c r="TEL54" s="5">
        <f>-IFERROR('4. NPV'!#REF!/'4. NPV'!TEM$8,0)</f>
        <v>0</v>
      </c>
      <c r="TEM54" s="5">
        <f>-IFERROR('4. NPV'!#REF!/'4. NPV'!TEN$8,0)</f>
        <v>0</v>
      </c>
      <c r="TEN54" s="5">
        <f>-IFERROR('4. NPV'!#REF!/'4. NPV'!TEO$8,0)</f>
        <v>0</v>
      </c>
      <c r="TEO54" s="5">
        <f>-IFERROR('4. NPV'!#REF!/'4. NPV'!TEP$8,0)</f>
        <v>0</v>
      </c>
      <c r="TEP54" s="5">
        <f>-IFERROR('4. NPV'!#REF!/'4. NPV'!TEQ$8,0)</f>
        <v>0</v>
      </c>
      <c r="TEQ54" s="5">
        <f>-IFERROR('4. NPV'!#REF!/'4. NPV'!TER$8,0)</f>
        <v>0</v>
      </c>
      <c r="TER54" s="5">
        <f>-IFERROR('4. NPV'!#REF!/'4. NPV'!TES$8,0)</f>
        <v>0</v>
      </c>
      <c r="TES54" s="5">
        <f>-IFERROR('4. NPV'!#REF!/'4. NPV'!TET$8,0)</f>
        <v>0</v>
      </c>
      <c r="TET54" s="5">
        <f>-IFERROR('4. NPV'!#REF!/'4. NPV'!TEU$8,0)</f>
        <v>0</v>
      </c>
      <c r="TEU54" s="5">
        <f>-IFERROR('4. NPV'!#REF!/'4. NPV'!TEV$8,0)</f>
        <v>0</v>
      </c>
      <c r="TEV54" s="5">
        <f>-IFERROR('4. NPV'!#REF!/'4. NPV'!TEW$8,0)</f>
        <v>0</v>
      </c>
      <c r="TEW54" s="5">
        <f>-IFERROR('4. NPV'!#REF!/'4. NPV'!TEX$8,0)</f>
        <v>0</v>
      </c>
      <c r="TEX54" s="5">
        <f>-IFERROR('4. NPV'!#REF!/'4. NPV'!TEY$8,0)</f>
        <v>0</v>
      </c>
      <c r="TEY54" s="5">
        <f>-IFERROR('4. NPV'!#REF!/'4. NPV'!TEZ$8,0)</f>
        <v>0</v>
      </c>
      <c r="TEZ54" s="5">
        <f>-IFERROR('4. NPV'!#REF!/'4. NPV'!TFA$8,0)</f>
        <v>0</v>
      </c>
      <c r="TFA54" s="5">
        <f>-IFERROR('4. NPV'!#REF!/'4. NPV'!TFB$8,0)</f>
        <v>0</v>
      </c>
      <c r="TFB54" s="5">
        <f>-IFERROR('4. NPV'!#REF!/'4. NPV'!TFC$8,0)</f>
        <v>0</v>
      </c>
      <c r="TFC54" s="5">
        <f>-IFERROR('4. NPV'!#REF!/'4. NPV'!TFD$8,0)</f>
        <v>0</v>
      </c>
      <c r="TFD54" s="5">
        <f>-IFERROR('4. NPV'!#REF!/'4. NPV'!TFE$8,0)</f>
        <v>0</v>
      </c>
      <c r="TFE54" s="5">
        <f>-IFERROR('4. NPV'!#REF!/'4. NPV'!TFF$8,0)</f>
        <v>0</v>
      </c>
      <c r="TFF54" s="5">
        <f>-IFERROR('4. NPV'!#REF!/'4. NPV'!TFG$8,0)</f>
        <v>0</v>
      </c>
      <c r="TFG54" s="5">
        <f>-IFERROR('4. NPV'!#REF!/'4. NPV'!TFH$8,0)</f>
        <v>0</v>
      </c>
      <c r="TFH54" s="5">
        <f>-IFERROR('4. NPV'!#REF!/'4. NPV'!TFI$8,0)</f>
        <v>0</v>
      </c>
      <c r="TFI54" s="5">
        <f>-IFERROR('4. NPV'!#REF!/'4. NPV'!TFJ$8,0)</f>
        <v>0</v>
      </c>
      <c r="TFJ54" s="5">
        <f>-IFERROR('4. NPV'!#REF!/'4. NPV'!TFK$8,0)</f>
        <v>0</v>
      </c>
      <c r="TFK54" s="5">
        <f>-IFERROR('4. NPV'!#REF!/'4. NPV'!TFL$8,0)</f>
        <v>0</v>
      </c>
      <c r="TFL54" s="5">
        <f>-IFERROR('4. NPV'!#REF!/'4. NPV'!TFM$8,0)</f>
        <v>0</v>
      </c>
      <c r="TFM54" s="5">
        <f>-IFERROR('4. NPV'!#REF!/'4. NPV'!TFN$8,0)</f>
        <v>0</v>
      </c>
      <c r="TFN54" s="5">
        <f>-IFERROR('4. NPV'!#REF!/'4. NPV'!TFO$8,0)</f>
        <v>0</v>
      </c>
      <c r="TFO54" s="5">
        <f>-IFERROR('4. NPV'!#REF!/'4. NPV'!TFP$8,0)</f>
        <v>0</v>
      </c>
      <c r="TFP54" s="5">
        <f>-IFERROR('4. NPV'!#REF!/'4. NPV'!TFQ$8,0)</f>
        <v>0</v>
      </c>
      <c r="TFQ54" s="5">
        <f>-IFERROR('4. NPV'!#REF!/'4. NPV'!TFR$8,0)</f>
        <v>0</v>
      </c>
      <c r="TFR54" s="5">
        <f>-IFERROR('4. NPV'!#REF!/'4. NPV'!TFS$8,0)</f>
        <v>0</v>
      </c>
      <c r="TFS54" s="5">
        <f>-IFERROR('4. NPV'!#REF!/'4. NPV'!TFT$8,0)</f>
        <v>0</v>
      </c>
      <c r="TFT54" s="5">
        <f>-IFERROR('4. NPV'!#REF!/'4. NPV'!TFU$8,0)</f>
        <v>0</v>
      </c>
      <c r="TFU54" s="5">
        <f>-IFERROR('4. NPV'!#REF!/'4. NPV'!TFV$8,0)</f>
        <v>0</v>
      </c>
      <c r="TFV54" s="5">
        <f>-IFERROR('4. NPV'!#REF!/'4. NPV'!TFW$8,0)</f>
        <v>0</v>
      </c>
      <c r="TFW54" s="5">
        <f>-IFERROR('4. NPV'!#REF!/'4. NPV'!TFX$8,0)</f>
        <v>0</v>
      </c>
      <c r="TFX54" s="5">
        <f>-IFERROR('4. NPV'!#REF!/'4. NPV'!TFY$8,0)</f>
        <v>0</v>
      </c>
      <c r="TFY54" s="5">
        <f>-IFERROR('4. NPV'!#REF!/'4. NPV'!TFZ$8,0)</f>
        <v>0</v>
      </c>
      <c r="TFZ54" s="5">
        <f>-IFERROR('4. NPV'!#REF!/'4. NPV'!TGA$8,0)</f>
        <v>0</v>
      </c>
      <c r="TGA54" s="5">
        <f>-IFERROR('4. NPV'!#REF!/'4. NPV'!TGB$8,0)</f>
        <v>0</v>
      </c>
      <c r="TGB54" s="5">
        <f>-IFERROR('4. NPV'!#REF!/'4. NPV'!TGC$8,0)</f>
        <v>0</v>
      </c>
      <c r="TGC54" s="5">
        <f>-IFERROR('4. NPV'!#REF!/'4. NPV'!TGD$8,0)</f>
        <v>0</v>
      </c>
      <c r="TGD54" s="5">
        <f>-IFERROR('4. NPV'!#REF!/'4. NPV'!TGE$8,0)</f>
        <v>0</v>
      </c>
      <c r="TGE54" s="5">
        <f>-IFERROR('4. NPV'!#REF!/'4. NPV'!TGF$8,0)</f>
        <v>0</v>
      </c>
      <c r="TGF54" s="5">
        <f>-IFERROR('4. NPV'!#REF!/'4. NPV'!TGG$8,0)</f>
        <v>0</v>
      </c>
      <c r="TGG54" s="5">
        <f>-IFERROR('4. NPV'!#REF!/'4. NPV'!TGH$8,0)</f>
        <v>0</v>
      </c>
      <c r="TGH54" s="5">
        <f>-IFERROR('4. NPV'!#REF!/'4. NPV'!TGI$8,0)</f>
        <v>0</v>
      </c>
      <c r="TGI54" s="5">
        <f>-IFERROR('4. NPV'!#REF!/'4. NPV'!TGJ$8,0)</f>
        <v>0</v>
      </c>
      <c r="TGJ54" s="5">
        <f>-IFERROR('4. NPV'!#REF!/'4. NPV'!TGK$8,0)</f>
        <v>0</v>
      </c>
      <c r="TGK54" s="5">
        <f>-IFERROR('4. NPV'!#REF!/'4. NPV'!TGL$8,0)</f>
        <v>0</v>
      </c>
      <c r="TGL54" s="5">
        <f>-IFERROR('4. NPV'!#REF!/'4. NPV'!TGM$8,0)</f>
        <v>0</v>
      </c>
      <c r="TGM54" s="5">
        <f>-IFERROR('4. NPV'!#REF!/'4. NPV'!TGN$8,0)</f>
        <v>0</v>
      </c>
      <c r="TGN54" s="5">
        <f>-IFERROR('4. NPV'!#REF!/'4. NPV'!TGO$8,0)</f>
        <v>0</v>
      </c>
      <c r="TGO54" s="5">
        <f>-IFERROR('4. NPV'!#REF!/'4. NPV'!TGP$8,0)</f>
        <v>0</v>
      </c>
      <c r="TGP54" s="5">
        <f>-IFERROR('4. NPV'!#REF!/'4. NPV'!TGQ$8,0)</f>
        <v>0</v>
      </c>
      <c r="TGQ54" s="5">
        <f>-IFERROR('4. NPV'!#REF!/'4. NPV'!TGR$8,0)</f>
        <v>0</v>
      </c>
      <c r="TGR54" s="5">
        <f>-IFERROR('4. NPV'!#REF!/'4. NPV'!TGS$8,0)</f>
        <v>0</v>
      </c>
      <c r="TGS54" s="5">
        <f>-IFERROR('4. NPV'!#REF!/'4. NPV'!TGT$8,0)</f>
        <v>0</v>
      </c>
      <c r="TGT54" s="5">
        <f>-IFERROR('4. NPV'!#REF!/'4. NPV'!TGU$8,0)</f>
        <v>0</v>
      </c>
      <c r="TGU54" s="5">
        <f>-IFERROR('4. NPV'!#REF!/'4. NPV'!TGV$8,0)</f>
        <v>0</v>
      </c>
      <c r="TGV54" s="5">
        <f>-IFERROR('4. NPV'!#REF!/'4. NPV'!TGW$8,0)</f>
        <v>0</v>
      </c>
      <c r="TGW54" s="5">
        <f>-IFERROR('4. NPV'!#REF!/'4. NPV'!TGX$8,0)</f>
        <v>0</v>
      </c>
      <c r="TGX54" s="5">
        <f>-IFERROR('4. NPV'!#REF!/'4. NPV'!TGY$8,0)</f>
        <v>0</v>
      </c>
      <c r="TGY54" s="5">
        <f>-IFERROR('4. NPV'!#REF!/'4. NPV'!TGZ$8,0)</f>
        <v>0</v>
      </c>
      <c r="TGZ54" s="5">
        <f>-IFERROR('4. NPV'!#REF!/'4. NPV'!THA$8,0)</f>
        <v>0</v>
      </c>
      <c r="THA54" s="5">
        <f>-IFERROR('4. NPV'!#REF!/'4. NPV'!THB$8,0)</f>
        <v>0</v>
      </c>
      <c r="THB54" s="5">
        <f>-IFERROR('4. NPV'!#REF!/'4. NPV'!THC$8,0)</f>
        <v>0</v>
      </c>
      <c r="THC54" s="5">
        <f>-IFERROR('4. NPV'!#REF!/'4. NPV'!THD$8,0)</f>
        <v>0</v>
      </c>
      <c r="THD54" s="5">
        <f>-IFERROR('4. NPV'!#REF!/'4. NPV'!THE$8,0)</f>
        <v>0</v>
      </c>
      <c r="THE54" s="5">
        <f>-IFERROR('4. NPV'!#REF!/'4. NPV'!THF$8,0)</f>
        <v>0</v>
      </c>
      <c r="THF54" s="5">
        <f>-IFERROR('4. NPV'!#REF!/'4. NPV'!THG$8,0)</f>
        <v>0</v>
      </c>
      <c r="THG54" s="5">
        <f>-IFERROR('4. NPV'!#REF!/'4. NPV'!THH$8,0)</f>
        <v>0</v>
      </c>
      <c r="THH54" s="5">
        <f>-IFERROR('4. NPV'!#REF!/'4. NPV'!THI$8,0)</f>
        <v>0</v>
      </c>
      <c r="THI54" s="5">
        <f>-IFERROR('4. NPV'!#REF!/'4. NPV'!THJ$8,0)</f>
        <v>0</v>
      </c>
      <c r="THJ54" s="5">
        <f>-IFERROR('4. NPV'!#REF!/'4. NPV'!THK$8,0)</f>
        <v>0</v>
      </c>
      <c r="THK54" s="5">
        <f>-IFERROR('4. NPV'!#REF!/'4. NPV'!THL$8,0)</f>
        <v>0</v>
      </c>
      <c r="THL54" s="5">
        <f>-IFERROR('4. NPV'!#REF!/'4. NPV'!THM$8,0)</f>
        <v>0</v>
      </c>
      <c r="THM54" s="5">
        <f>-IFERROR('4. NPV'!#REF!/'4. NPV'!THN$8,0)</f>
        <v>0</v>
      </c>
      <c r="THN54" s="5">
        <f>-IFERROR('4. NPV'!#REF!/'4. NPV'!THO$8,0)</f>
        <v>0</v>
      </c>
      <c r="THO54" s="5">
        <f>-IFERROR('4. NPV'!#REF!/'4. NPV'!THP$8,0)</f>
        <v>0</v>
      </c>
      <c r="THP54" s="5">
        <f>-IFERROR('4. NPV'!#REF!/'4. NPV'!THQ$8,0)</f>
        <v>0</v>
      </c>
      <c r="THQ54" s="5">
        <f>-IFERROR('4. NPV'!#REF!/'4. NPV'!THR$8,0)</f>
        <v>0</v>
      </c>
      <c r="THR54" s="5">
        <f>-IFERROR('4. NPV'!#REF!/'4. NPV'!THS$8,0)</f>
        <v>0</v>
      </c>
      <c r="THS54" s="5">
        <f>-IFERROR('4. NPV'!#REF!/'4. NPV'!THT$8,0)</f>
        <v>0</v>
      </c>
      <c r="THT54" s="5">
        <f>-IFERROR('4. NPV'!#REF!/'4. NPV'!THU$8,0)</f>
        <v>0</v>
      </c>
      <c r="THU54" s="5">
        <f>-IFERROR('4. NPV'!#REF!/'4. NPV'!THV$8,0)</f>
        <v>0</v>
      </c>
      <c r="THV54" s="5">
        <f>-IFERROR('4. NPV'!#REF!/'4. NPV'!THW$8,0)</f>
        <v>0</v>
      </c>
      <c r="THW54" s="5">
        <f>-IFERROR('4. NPV'!#REF!/'4. NPV'!THX$8,0)</f>
        <v>0</v>
      </c>
      <c r="THX54" s="5">
        <f>-IFERROR('4. NPV'!#REF!/'4. NPV'!THY$8,0)</f>
        <v>0</v>
      </c>
      <c r="THY54" s="5">
        <f>-IFERROR('4. NPV'!#REF!/'4. NPV'!THZ$8,0)</f>
        <v>0</v>
      </c>
      <c r="THZ54" s="5">
        <f>-IFERROR('4. NPV'!#REF!/'4. NPV'!TIA$8,0)</f>
        <v>0</v>
      </c>
      <c r="TIA54" s="5">
        <f>-IFERROR('4. NPV'!#REF!/'4. NPV'!TIB$8,0)</f>
        <v>0</v>
      </c>
      <c r="TIB54" s="5">
        <f>-IFERROR('4. NPV'!#REF!/'4. NPV'!TIC$8,0)</f>
        <v>0</v>
      </c>
      <c r="TIC54" s="5">
        <f>-IFERROR('4. NPV'!#REF!/'4. NPV'!TID$8,0)</f>
        <v>0</v>
      </c>
      <c r="TID54" s="5">
        <f>-IFERROR('4. NPV'!#REF!/'4. NPV'!TIE$8,0)</f>
        <v>0</v>
      </c>
      <c r="TIE54" s="5">
        <f>-IFERROR('4. NPV'!#REF!/'4. NPV'!TIF$8,0)</f>
        <v>0</v>
      </c>
      <c r="TIF54" s="5">
        <f>-IFERROR('4. NPV'!#REF!/'4. NPV'!TIG$8,0)</f>
        <v>0</v>
      </c>
      <c r="TIG54" s="5">
        <f>-IFERROR('4. NPV'!#REF!/'4. NPV'!TIH$8,0)</f>
        <v>0</v>
      </c>
      <c r="TIH54" s="5">
        <f>-IFERROR('4. NPV'!#REF!/'4. NPV'!TII$8,0)</f>
        <v>0</v>
      </c>
      <c r="TII54" s="5">
        <f>-IFERROR('4. NPV'!#REF!/'4. NPV'!TIJ$8,0)</f>
        <v>0</v>
      </c>
      <c r="TIJ54" s="5">
        <f>-IFERROR('4. NPV'!#REF!/'4. NPV'!TIK$8,0)</f>
        <v>0</v>
      </c>
      <c r="TIK54" s="5">
        <f>-IFERROR('4. NPV'!#REF!/'4. NPV'!TIL$8,0)</f>
        <v>0</v>
      </c>
      <c r="TIL54" s="5">
        <f>-IFERROR('4. NPV'!#REF!/'4. NPV'!TIM$8,0)</f>
        <v>0</v>
      </c>
      <c r="TIM54" s="5">
        <f>-IFERROR('4. NPV'!#REF!/'4. NPV'!TIN$8,0)</f>
        <v>0</v>
      </c>
      <c r="TIN54" s="5">
        <f>-IFERROR('4. NPV'!#REF!/'4. NPV'!TIO$8,0)</f>
        <v>0</v>
      </c>
      <c r="TIO54" s="5">
        <f>-IFERROR('4. NPV'!#REF!/'4. NPV'!TIP$8,0)</f>
        <v>0</v>
      </c>
      <c r="TIP54" s="5">
        <f>-IFERROR('4. NPV'!#REF!/'4. NPV'!TIQ$8,0)</f>
        <v>0</v>
      </c>
      <c r="TIQ54" s="5">
        <f>-IFERROR('4. NPV'!#REF!/'4. NPV'!TIR$8,0)</f>
        <v>0</v>
      </c>
      <c r="TIR54" s="5">
        <f>-IFERROR('4. NPV'!#REF!/'4. NPV'!TIS$8,0)</f>
        <v>0</v>
      </c>
      <c r="TIS54" s="5">
        <f>-IFERROR('4. NPV'!#REF!/'4. NPV'!TIT$8,0)</f>
        <v>0</v>
      </c>
      <c r="TIT54" s="5">
        <f>-IFERROR('4. NPV'!#REF!/'4. NPV'!TIU$8,0)</f>
        <v>0</v>
      </c>
      <c r="TIU54" s="5">
        <f>-IFERROR('4. NPV'!#REF!/'4. NPV'!TIV$8,0)</f>
        <v>0</v>
      </c>
      <c r="TIV54" s="5">
        <f>-IFERROR('4. NPV'!#REF!/'4. NPV'!TIW$8,0)</f>
        <v>0</v>
      </c>
      <c r="TIW54" s="5">
        <f>-IFERROR('4. NPV'!#REF!/'4. NPV'!TIX$8,0)</f>
        <v>0</v>
      </c>
      <c r="TIX54" s="5">
        <f>-IFERROR('4. NPV'!#REF!/'4. NPV'!TIY$8,0)</f>
        <v>0</v>
      </c>
      <c r="TIY54" s="5">
        <f>-IFERROR('4. NPV'!#REF!/'4. NPV'!TIZ$8,0)</f>
        <v>0</v>
      </c>
      <c r="TIZ54" s="5">
        <f>-IFERROR('4. NPV'!#REF!/'4. NPV'!TJA$8,0)</f>
        <v>0</v>
      </c>
      <c r="TJA54" s="5">
        <f>-IFERROR('4. NPV'!#REF!/'4. NPV'!TJB$8,0)</f>
        <v>0</v>
      </c>
      <c r="TJB54" s="5">
        <f>-IFERROR('4. NPV'!#REF!/'4. NPV'!TJC$8,0)</f>
        <v>0</v>
      </c>
      <c r="TJC54" s="5">
        <f>-IFERROR('4. NPV'!#REF!/'4. NPV'!TJD$8,0)</f>
        <v>0</v>
      </c>
      <c r="TJD54" s="5">
        <f>-IFERROR('4. NPV'!#REF!/'4. NPV'!TJE$8,0)</f>
        <v>0</v>
      </c>
      <c r="TJE54" s="5">
        <f>-IFERROR('4. NPV'!#REF!/'4. NPV'!TJF$8,0)</f>
        <v>0</v>
      </c>
      <c r="TJF54" s="5">
        <f>-IFERROR('4. NPV'!#REF!/'4. NPV'!TJG$8,0)</f>
        <v>0</v>
      </c>
      <c r="TJG54" s="5">
        <f>-IFERROR('4. NPV'!#REF!/'4. NPV'!TJH$8,0)</f>
        <v>0</v>
      </c>
      <c r="TJH54" s="5">
        <f>-IFERROR('4. NPV'!#REF!/'4. NPV'!TJI$8,0)</f>
        <v>0</v>
      </c>
      <c r="TJI54" s="5">
        <f>-IFERROR('4. NPV'!#REF!/'4. NPV'!TJJ$8,0)</f>
        <v>0</v>
      </c>
      <c r="TJJ54" s="5">
        <f>-IFERROR('4. NPV'!#REF!/'4. NPV'!TJK$8,0)</f>
        <v>0</v>
      </c>
      <c r="TJK54" s="5">
        <f>-IFERROR('4. NPV'!#REF!/'4. NPV'!TJL$8,0)</f>
        <v>0</v>
      </c>
      <c r="TJL54" s="5">
        <f>-IFERROR('4. NPV'!#REF!/'4. NPV'!TJM$8,0)</f>
        <v>0</v>
      </c>
      <c r="TJM54" s="5">
        <f>-IFERROR('4. NPV'!#REF!/'4. NPV'!TJN$8,0)</f>
        <v>0</v>
      </c>
      <c r="TJN54" s="5">
        <f>-IFERROR('4. NPV'!#REF!/'4. NPV'!TJO$8,0)</f>
        <v>0</v>
      </c>
      <c r="TJO54" s="5">
        <f>-IFERROR('4. NPV'!#REF!/'4. NPV'!TJP$8,0)</f>
        <v>0</v>
      </c>
      <c r="TJP54" s="5">
        <f>-IFERROR('4. NPV'!#REF!/'4. NPV'!TJQ$8,0)</f>
        <v>0</v>
      </c>
      <c r="TJQ54" s="5">
        <f>-IFERROR('4. NPV'!#REF!/'4. NPV'!TJR$8,0)</f>
        <v>0</v>
      </c>
      <c r="TJR54" s="5">
        <f>-IFERROR('4. NPV'!#REF!/'4. NPV'!TJS$8,0)</f>
        <v>0</v>
      </c>
      <c r="TJS54" s="5">
        <f>-IFERROR('4. NPV'!#REF!/'4. NPV'!TJT$8,0)</f>
        <v>0</v>
      </c>
      <c r="TJT54" s="5">
        <f>-IFERROR('4. NPV'!#REF!/'4. NPV'!TJU$8,0)</f>
        <v>0</v>
      </c>
      <c r="TJU54" s="5">
        <f>-IFERROR('4. NPV'!#REF!/'4. NPV'!TJV$8,0)</f>
        <v>0</v>
      </c>
      <c r="TJV54" s="5">
        <f>-IFERROR('4. NPV'!#REF!/'4. NPV'!TJW$8,0)</f>
        <v>0</v>
      </c>
      <c r="TJW54" s="5">
        <f>-IFERROR('4. NPV'!#REF!/'4. NPV'!TJX$8,0)</f>
        <v>0</v>
      </c>
      <c r="TJX54" s="5">
        <f>-IFERROR('4. NPV'!#REF!/'4. NPV'!TJY$8,0)</f>
        <v>0</v>
      </c>
      <c r="TJY54" s="5">
        <f>-IFERROR('4. NPV'!#REF!/'4. NPV'!TJZ$8,0)</f>
        <v>0</v>
      </c>
      <c r="TJZ54" s="5">
        <f>-IFERROR('4. NPV'!#REF!/'4. NPV'!TKA$8,0)</f>
        <v>0</v>
      </c>
      <c r="TKA54" s="5">
        <f>-IFERROR('4. NPV'!#REF!/'4. NPV'!TKB$8,0)</f>
        <v>0</v>
      </c>
      <c r="TKB54" s="5">
        <f>-IFERROR('4. NPV'!#REF!/'4. NPV'!TKC$8,0)</f>
        <v>0</v>
      </c>
      <c r="TKC54" s="5">
        <f>-IFERROR('4. NPV'!#REF!/'4. NPV'!TKD$8,0)</f>
        <v>0</v>
      </c>
      <c r="TKD54" s="5">
        <f>-IFERROR('4. NPV'!#REF!/'4. NPV'!TKE$8,0)</f>
        <v>0</v>
      </c>
      <c r="TKE54" s="5">
        <f>-IFERROR('4. NPV'!#REF!/'4. NPV'!TKF$8,0)</f>
        <v>0</v>
      </c>
      <c r="TKF54" s="5">
        <f>-IFERROR('4. NPV'!#REF!/'4. NPV'!TKG$8,0)</f>
        <v>0</v>
      </c>
      <c r="TKG54" s="5">
        <f>-IFERROR('4. NPV'!#REF!/'4. NPV'!TKH$8,0)</f>
        <v>0</v>
      </c>
      <c r="TKH54" s="5">
        <f>-IFERROR('4. NPV'!#REF!/'4. NPV'!TKI$8,0)</f>
        <v>0</v>
      </c>
      <c r="TKI54" s="5">
        <f>-IFERROR('4. NPV'!#REF!/'4. NPV'!TKJ$8,0)</f>
        <v>0</v>
      </c>
      <c r="TKJ54" s="5">
        <f>-IFERROR('4. NPV'!#REF!/'4. NPV'!TKK$8,0)</f>
        <v>0</v>
      </c>
      <c r="TKK54" s="5">
        <f>-IFERROR('4. NPV'!#REF!/'4. NPV'!TKL$8,0)</f>
        <v>0</v>
      </c>
      <c r="TKL54" s="5">
        <f>-IFERROR('4. NPV'!#REF!/'4. NPV'!TKM$8,0)</f>
        <v>0</v>
      </c>
      <c r="TKM54" s="5">
        <f>-IFERROR('4. NPV'!#REF!/'4. NPV'!TKN$8,0)</f>
        <v>0</v>
      </c>
      <c r="TKN54" s="5">
        <f>-IFERROR('4. NPV'!#REF!/'4. NPV'!TKO$8,0)</f>
        <v>0</v>
      </c>
      <c r="TKO54" s="5">
        <f>-IFERROR('4. NPV'!#REF!/'4. NPV'!TKP$8,0)</f>
        <v>0</v>
      </c>
      <c r="TKP54" s="5">
        <f>-IFERROR('4. NPV'!#REF!/'4. NPV'!TKQ$8,0)</f>
        <v>0</v>
      </c>
      <c r="TKQ54" s="5">
        <f>-IFERROR('4. NPV'!#REF!/'4. NPV'!TKR$8,0)</f>
        <v>0</v>
      </c>
      <c r="TKR54" s="5">
        <f>-IFERROR('4. NPV'!#REF!/'4. NPV'!TKS$8,0)</f>
        <v>0</v>
      </c>
      <c r="TKS54" s="5">
        <f>-IFERROR('4. NPV'!#REF!/'4. NPV'!TKT$8,0)</f>
        <v>0</v>
      </c>
      <c r="TKT54" s="5">
        <f>-IFERROR('4. NPV'!#REF!/'4. NPV'!TKU$8,0)</f>
        <v>0</v>
      </c>
      <c r="TKU54" s="5">
        <f>-IFERROR('4. NPV'!#REF!/'4. NPV'!TKV$8,0)</f>
        <v>0</v>
      </c>
      <c r="TKV54" s="5">
        <f>-IFERROR('4. NPV'!#REF!/'4. NPV'!TKW$8,0)</f>
        <v>0</v>
      </c>
      <c r="TKW54" s="5">
        <f>-IFERROR('4. NPV'!#REF!/'4. NPV'!TKX$8,0)</f>
        <v>0</v>
      </c>
      <c r="TKX54" s="5">
        <f>-IFERROR('4. NPV'!#REF!/'4. NPV'!TKY$8,0)</f>
        <v>0</v>
      </c>
      <c r="TKY54" s="5">
        <f>-IFERROR('4. NPV'!#REF!/'4. NPV'!TKZ$8,0)</f>
        <v>0</v>
      </c>
      <c r="TKZ54" s="5">
        <f>-IFERROR('4. NPV'!#REF!/'4. NPV'!TLA$8,0)</f>
        <v>0</v>
      </c>
      <c r="TLA54" s="5">
        <f>-IFERROR('4. NPV'!#REF!/'4. NPV'!TLB$8,0)</f>
        <v>0</v>
      </c>
      <c r="TLB54" s="5">
        <f>-IFERROR('4. NPV'!#REF!/'4. NPV'!TLC$8,0)</f>
        <v>0</v>
      </c>
      <c r="TLC54" s="5">
        <f>-IFERROR('4. NPV'!#REF!/'4. NPV'!TLD$8,0)</f>
        <v>0</v>
      </c>
      <c r="TLD54" s="5">
        <f>-IFERROR('4. NPV'!#REF!/'4. NPV'!TLE$8,0)</f>
        <v>0</v>
      </c>
      <c r="TLE54" s="5">
        <f>-IFERROR('4. NPV'!#REF!/'4. NPV'!TLF$8,0)</f>
        <v>0</v>
      </c>
      <c r="TLF54" s="5">
        <f>-IFERROR('4. NPV'!#REF!/'4. NPV'!TLG$8,0)</f>
        <v>0</v>
      </c>
      <c r="TLG54" s="5">
        <f>-IFERROR('4. NPV'!#REF!/'4. NPV'!TLH$8,0)</f>
        <v>0</v>
      </c>
      <c r="TLH54" s="5">
        <f>-IFERROR('4. NPV'!#REF!/'4. NPV'!TLI$8,0)</f>
        <v>0</v>
      </c>
      <c r="TLI54" s="5">
        <f>-IFERROR('4. NPV'!#REF!/'4. NPV'!TLJ$8,0)</f>
        <v>0</v>
      </c>
      <c r="TLJ54" s="5">
        <f>-IFERROR('4. NPV'!#REF!/'4. NPV'!TLK$8,0)</f>
        <v>0</v>
      </c>
      <c r="TLK54" s="5">
        <f>-IFERROR('4. NPV'!#REF!/'4. NPV'!TLL$8,0)</f>
        <v>0</v>
      </c>
      <c r="TLL54" s="5">
        <f>-IFERROR('4. NPV'!#REF!/'4. NPV'!TLM$8,0)</f>
        <v>0</v>
      </c>
      <c r="TLM54" s="5">
        <f>-IFERROR('4. NPV'!#REF!/'4. NPV'!TLN$8,0)</f>
        <v>0</v>
      </c>
      <c r="TLN54" s="5">
        <f>-IFERROR('4. NPV'!#REF!/'4. NPV'!TLO$8,0)</f>
        <v>0</v>
      </c>
      <c r="TLO54" s="5">
        <f>-IFERROR('4. NPV'!#REF!/'4. NPV'!TLP$8,0)</f>
        <v>0</v>
      </c>
      <c r="TLP54" s="5">
        <f>-IFERROR('4. NPV'!#REF!/'4. NPV'!TLQ$8,0)</f>
        <v>0</v>
      </c>
      <c r="TLQ54" s="5">
        <f>-IFERROR('4. NPV'!#REF!/'4. NPV'!TLR$8,0)</f>
        <v>0</v>
      </c>
      <c r="TLR54" s="5">
        <f>-IFERROR('4. NPV'!#REF!/'4. NPV'!TLS$8,0)</f>
        <v>0</v>
      </c>
      <c r="TLS54" s="5">
        <f>-IFERROR('4. NPV'!#REF!/'4. NPV'!TLT$8,0)</f>
        <v>0</v>
      </c>
      <c r="TLT54" s="5">
        <f>-IFERROR('4. NPV'!#REF!/'4. NPV'!TLU$8,0)</f>
        <v>0</v>
      </c>
      <c r="TLU54" s="5">
        <f>-IFERROR('4. NPV'!#REF!/'4. NPV'!TLV$8,0)</f>
        <v>0</v>
      </c>
      <c r="TLV54" s="5">
        <f>-IFERROR('4. NPV'!#REF!/'4. NPV'!TLW$8,0)</f>
        <v>0</v>
      </c>
      <c r="TLW54" s="5">
        <f>-IFERROR('4. NPV'!#REF!/'4. NPV'!TLX$8,0)</f>
        <v>0</v>
      </c>
      <c r="TLX54" s="5">
        <f>-IFERROR('4. NPV'!#REF!/'4. NPV'!TLY$8,0)</f>
        <v>0</v>
      </c>
      <c r="TLY54" s="5">
        <f>-IFERROR('4. NPV'!#REF!/'4. NPV'!TLZ$8,0)</f>
        <v>0</v>
      </c>
      <c r="TLZ54" s="5">
        <f>-IFERROR('4. NPV'!#REF!/'4. NPV'!TMA$8,0)</f>
        <v>0</v>
      </c>
      <c r="TMA54" s="5">
        <f>-IFERROR('4. NPV'!#REF!/'4. NPV'!TMB$8,0)</f>
        <v>0</v>
      </c>
      <c r="TMB54" s="5">
        <f>-IFERROR('4. NPV'!#REF!/'4. NPV'!TMC$8,0)</f>
        <v>0</v>
      </c>
      <c r="TMC54" s="5">
        <f>-IFERROR('4. NPV'!#REF!/'4. NPV'!TMD$8,0)</f>
        <v>0</v>
      </c>
      <c r="TMD54" s="5">
        <f>-IFERROR('4. NPV'!#REF!/'4. NPV'!TME$8,0)</f>
        <v>0</v>
      </c>
      <c r="TME54" s="5">
        <f>-IFERROR('4. NPV'!#REF!/'4. NPV'!TMF$8,0)</f>
        <v>0</v>
      </c>
      <c r="TMF54" s="5">
        <f>-IFERROR('4. NPV'!#REF!/'4. NPV'!TMG$8,0)</f>
        <v>0</v>
      </c>
      <c r="TMG54" s="5">
        <f>-IFERROR('4. NPV'!#REF!/'4. NPV'!TMH$8,0)</f>
        <v>0</v>
      </c>
      <c r="TMH54" s="5">
        <f>-IFERROR('4. NPV'!#REF!/'4. NPV'!TMI$8,0)</f>
        <v>0</v>
      </c>
      <c r="TMI54" s="5">
        <f>-IFERROR('4. NPV'!#REF!/'4. NPV'!TMJ$8,0)</f>
        <v>0</v>
      </c>
      <c r="TMJ54" s="5">
        <f>-IFERROR('4. NPV'!#REF!/'4. NPV'!TMK$8,0)</f>
        <v>0</v>
      </c>
      <c r="TMK54" s="5">
        <f>-IFERROR('4. NPV'!#REF!/'4. NPV'!TML$8,0)</f>
        <v>0</v>
      </c>
      <c r="TML54" s="5">
        <f>-IFERROR('4. NPV'!#REF!/'4. NPV'!TMM$8,0)</f>
        <v>0</v>
      </c>
      <c r="TMM54" s="5">
        <f>-IFERROR('4. NPV'!#REF!/'4. NPV'!TMN$8,0)</f>
        <v>0</v>
      </c>
      <c r="TMN54" s="5">
        <f>-IFERROR('4. NPV'!#REF!/'4. NPV'!TMO$8,0)</f>
        <v>0</v>
      </c>
      <c r="TMO54" s="5">
        <f>-IFERROR('4. NPV'!#REF!/'4. NPV'!TMP$8,0)</f>
        <v>0</v>
      </c>
      <c r="TMP54" s="5">
        <f>-IFERROR('4. NPV'!#REF!/'4. NPV'!TMQ$8,0)</f>
        <v>0</v>
      </c>
      <c r="TMQ54" s="5">
        <f>-IFERROR('4. NPV'!#REF!/'4. NPV'!TMR$8,0)</f>
        <v>0</v>
      </c>
      <c r="TMR54" s="5">
        <f>-IFERROR('4. NPV'!#REF!/'4. NPV'!TMS$8,0)</f>
        <v>0</v>
      </c>
      <c r="TMS54" s="5">
        <f>-IFERROR('4. NPV'!#REF!/'4. NPV'!TMT$8,0)</f>
        <v>0</v>
      </c>
      <c r="TMT54" s="5">
        <f>-IFERROR('4. NPV'!#REF!/'4. NPV'!TMU$8,0)</f>
        <v>0</v>
      </c>
      <c r="TMU54" s="5">
        <f>-IFERROR('4. NPV'!#REF!/'4. NPV'!TMV$8,0)</f>
        <v>0</v>
      </c>
      <c r="TMV54" s="5">
        <f>-IFERROR('4. NPV'!#REF!/'4. NPV'!TMW$8,0)</f>
        <v>0</v>
      </c>
      <c r="TMW54" s="5">
        <f>-IFERROR('4. NPV'!#REF!/'4. NPV'!TMX$8,0)</f>
        <v>0</v>
      </c>
      <c r="TMX54" s="5">
        <f>-IFERROR('4. NPV'!#REF!/'4. NPV'!TMY$8,0)</f>
        <v>0</v>
      </c>
      <c r="TMY54" s="5">
        <f>-IFERROR('4. NPV'!#REF!/'4. NPV'!TMZ$8,0)</f>
        <v>0</v>
      </c>
      <c r="TMZ54" s="5">
        <f>-IFERROR('4. NPV'!#REF!/'4. NPV'!TNA$8,0)</f>
        <v>0</v>
      </c>
      <c r="TNA54" s="5">
        <f>-IFERROR('4. NPV'!#REF!/'4. NPV'!TNB$8,0)</f>
        <v>0</v>
      </c>
      <c r="TNB54" s="5">
        <f>-IFERROR('4. NPV'!#REF!/'4. NPV'!TNC$8,0)</f>
        <v>0</v>
      </c>
      <c r="TNC54" s="5">
        <f>-IFERROR('4. NPV'!#REF!/'4. NPV'!TND$8,0)</f>
        <v>0</v>
      </c>
      <c r="TND54" s="5">
        <f>-IFERROR('4. NPV'!#REF!/'4. NPV'!TNE$8,0)</f>
        <v>0</v>
      </c>
      <c r="TNE54" s="5">
        <f>-IFERROR('4. NPV'!#REF!/'4. NPV'!TNF$8,0)</f>
        <v>0</v>
      </c>
      <c r="TNF54" s="5">
        <f>-IFERROR('4. NPV'!#REF!/'4. NPV'!TNG$8,0)</f>
        <v>0</v>
      </c>
      <c r="TNG54" s="5">
        <f>-IFERROR('4. NPV'!#REF!/'4. NPV'!TNH$8,0)</f>
        <v>0</v>
      </c>
      <c r="TNH54" s="5">
        <f>-IFERROR('4. NPV'!#REF!/'4. NPV'!TNI$8,0)</f>
        <v>0</v>
      </c>
      <c r="TNI54" s="5">
        <f>-IFERROR('4. NPV'!#REF!/'4. NPV'!TNJ$8,0)</f>
        <v>0</v>
      </c>
      <c r="TNJ54" s="5">
        <f>-IFERROR('4. NPV'!#REF!/'4. NPV'!TNK$8,0)</f>
        <v>0</v>
      </c>
      <c r="TNK54" s="5">
        <f>-IFERROR('4. NPV'!#REF!/'4. NPV'!TNL$8,0)</f>
        <v>0</v>
      </c>
      <c r="TNL54" s="5">
        <f>-IFERROR('4. NPV'!#REF!/'4. NPV'!TNM$8,0)</f>
        <v>0</v>
      </c>
      <c r="TNM54" s="5">
        <f>-IFERROR('4. NPV'!#REF!/'4. NPV'!TNN$8,0)</f>
        <v>0</v>
      </c>
      <c r="TNN54" s="5">
        <f>-IFERROR('4. NPV'!#REF!/'4. NPV'!TNO$8,0)</f>
        <v>0</v>
      </c>
      <c r="TNO54" s="5">
        <f>-IFERROR('4. NPV'!#REF!/'4. NPV'!TNP$8,0)</f>
        <v>0</v>
      </c>
      <c r="TNP54" s="5">
        <f>-IFERROR('4. NPV'!#REF!/'4. NPV'!TNQ$8,0)</f>
        <v>0</v>
      </c>
      <c r="TNQ54" s="5">
        <f>-IFERROR('4. NPV'!#REF!/'4. NPV'!TNR$8,0)</f>
        <v>0</v>
      </c>
      <c r="TNR54" s="5">
        <f>-IFERROR('4. NPV'!#REF!/'4. NPV'!TNS$8,0)</f>
        <v>0</v>
      </c>
      <c r="TNS54" s="5">
        <f>-IFERROR('4. NPV'!#REF!/'4. NPV'!TNT$8,0)</f>
        <v>0</v>
      </c>
      <c r="TNT54" s="5">
        <f>-IFERROR('4. NPV'!#REF!/'4. NPV'!TNU$8,0)</f>
        <v>0</v>
      </c>
      <c r="TNU54" s="5">
        <f>-IFERROR('4. NPV'!#REF!/'4. NPV'!TNV$8,0)</f>
        <v>0</v>
      </c>
      <c r="TNV54" s="5">
        <f>-IFERROR('4. NPV'!#REF!/'4. NPV'!TNW$8,0)</f>
        <v>0</v>
      </c>
      <c r="TNW54" s="5">
        <f>-IFERROR('4. NPV'!#REF!/'4. NPV'!TNX$8,0)</f>
        <v>0</v>
      </c>
      <c r="TNX54" s="5">
        <f>-IFERROR('4. NPV'!#REF!/'4. NPV'!TNY$8,0)</f>
        <v>0</v>
      </c>
      <c r="TNY54" s="5">
        <f>-IFERROR('4. NPV'!#REF!/'4. NPV'!TNZ$8,0)</f>
        <v>0</v>
      </c>
      <c r="TNZ54" s="5">
        <f>-IFERROR('4. NPV'!#REF!/'4. NPV'!TOA$8,0)</f>
        <v>0</v>
      </c>
      <c r="TOA54" s="5">
        <f>-IFERROR('4. NPV'!#REF!/'4. NPV'!TOB$8,0)</f>
        <v>0</v>
      </c>
      <c r="TOB54" s="5">
        <f>-IFERROR('4. NPV'!#REF!/'4. NPV'!TOC$8,0)</f>
        <v>0</v>
      </c>
      <c r="TOC54" s="5">
        <f>-IFERROR('4. NPV'!#REF!/'4. NPV'!TOD$8,0)</f>
        <v>0</v>
      </c>
      <c r="TOD54" s="5">
        <f>-IFERROR('4. NPV'!#REF!/'4. NPV'!TOE$8,0)</f>
        <v>0</v>
      </c>
      <c r="TOE54" s="5">
        <f>-IFERROR('4. NPV'!#REF!/'4. NPV'!TOF$8,0)</f>
        <v>0</v>
      </c>
      <c r="TOF54" s="5">
        <f>-IFERROR('4. NPV'!#REF!/'4. NPV'!TOG$8,0)</f>
        <v>0</v>
      </c>
      <c r="TOG54" s="5">
        <f>-IFERROR('4. NPV'!#REF!/'4. NPV'!TOH$8,0)</f>
        <v>0</v>
      </c>
      <c r="TOH54" s="5">
        <f>-IFERROR('4. NPV'!#REF!/'4. NPV'!TOI$8,0)</f>
        <v>0</v>
      </c>
      <c r="TOI54" s="5">
        <f>-IFERROR('4. NPV'!#REF!/'4. NPV'!TOJ$8,0)</f>
        <v>0</v>
      </c>
      <c r="TOJ54" s="5">
        <f>-IFERROR('4. NPV'!#REF!/'4. NPV'!TOK$8,0)</f>
        <v>0</v>
      </c>
      <c r="TOK54" s="5">
        <f>-IFERROR('4. NPV'!#REF!/'4. NPV'!TOL$8,0)</f>
        <v>0</v>
      </c>
      <c r="TOL54" s="5">
        <f>-IFERROR('4. NPV'!#REF!/'4. NPV'!TOM$8,0)</f>
        <v>0</v>
      </c>
      <c r="TOM54" s="5">
        <f>-IFERROR('4. NPV'!#REF!/'4. NPV'!TON$8,0)</f>
        <v>0</v>
      </c>
      <c r="TON54" s="5">
        <f>-IFERROR('4. NPV'!#REF!/'4. NPV'!TOO$8,0)</f>
        <v>0</v>
      </c>
      <c r="TOO54" s="5">
        <f>-IFERROR('4. NPV'!#REF!/'4. NPV'!TOP$8,0)</f>
        <v>0</v>
      </c>
      <c r="TOP54" s="5">
        <f>-IFERROR('4. NPV'!#REF!/'4. NPV'!TOQ$8,0)</f>
        <v>0</v>
      </c>
      <c r="TOQ54" s="5">
        <f>-IFERROR('4. NPV'!#REF!/'4. NPV'!TOR$8,0)</f>
        <v>0</v>
      </c>
      <c r="TOR54" s="5">
        <f>-IFERROR('4. NPV'!#REF!/'4. NPV'!TOS$8,0)</f>
        <v>0</v>
      </c>
      <c r="TOS54" s="5">
        <f>-IFERROR('4. NPV'!#REF!/'4. NPV'!TOT$8,0)</f>
        <v>0</v>
      </c>
      <c r="TOT54" s="5">
        <f>-IFERROR('4. NPV'!#REF!/'4. NPV'!TOU$8,0)</f>
        <v>0</v>
      </c>
      <c r="TOU54" s="5">
        <f>-IFERROR('4. NPV'!#REF!/'4. NPV'!TOV$8,0)</f>
        <v>0</v>
      </c>
      <c r="TOV54" s="5">
        <f>-IFERROR('4. NPV'!#REF!/'4. NPV'!TOW$8,0)</f>
        <v>0</v>
      </c>
      <c r="TOW54" s="5">
        <f>-IFERROR('4. NPV'!#REF!/'4. NPV'!TOX$8,0)</f>
        <v>0</v>
      </c>
      <c r="TOX54" s="5">
        <f>-IFERROR('4. NPV'!#REF!/'4. NPV'!TOY$8,0)</f>
        <v>0</v>
      </c>
      <c r="TOY54" s="5">
        <f>-IFERROR('4. NPV'!#REF!/'4. NPV'!TOZ$8,0)</f>
        <v>0</v>
      </c>
      <c r="TOZ54" s="5">
        <f>-IFERROR('4. NPV'!#REF!/'4. NPV'!TPA$8,0)</f>
        <v>0</v>
      </c>
      <c r="TPA54" s="5">
        <f>-IFERROR('4. NPV'!#REF!/'4. NPV'!TPB$8,0)</f>
        <v>0</v>
      </c>
      <c r="TPB54" s="5">
        <f>-IFERROR('4. NPV'!#REF!/'4. NPV'!TPC$8,0)</f>
        <v>0</v>
      </c>
      <c r="TPC54" s="5">
        <f>-IFERROR('4. NPV'!#REF!/'4. NPV'!TPD$8,0)</f>
        <v>0</v>
      </c>
      <c r="TPD54" s="5">
        <f>-IFERROR('4. NPV'!#REF!/'4. NPV'!TPE$8,0)</f>
        <v>0</v>
      </c>
      <c r="TPE54" s="5">
        <f>-IFERROR('4. NPV'!#REF!/'4. NPV'!TPF$8,0)</f>
        <v>0</v>
      </c>
      <c r="TPF54" s="5">
        <f>-IFERROR('4. NPV'!#REF!/'4. NPV'!TPG$8,0)</f>
        <v>0</v>
      </c>
      <c r="TPG54" s="5">
        <f>-IFERROR('4. NPV'!#REF!/'4. NPV'!TPH$8,0)</f>
        <v>0</v>
      </c>
      <c r="TPH54" s="5">
        <f>-IFERROR('4. NPV'!#REF!/'4. NPV'!TPI$8,0)</f>
        <v>0</v>
      </c>
      <c r="TPI54" s="5">
        <f>-IFERROR('4. NPV'!#REF!/'4. NPV'!TPJ$8,0)</f>
        <v>0</v>
      </c>
      <c r="TPJ54" s="5">
        <f>-IFERROR('4. NPV'!#REF!/'4. NPV'!TPK$8,0)</f>
        <v>0</v>
      </c>
      <c r="TPK54" s="5">
        <f>-IFERROR('4. NPV'!#REF!/'4. NPV'!TPL$8,0)</f>
        <v>0</v>
      </c>
      <c r="TPL54" s="5">
        <f>-IFERROR('4. NPV'!#REF!/'4. NPV'!TPM$8,0)</f>
        <v>0</v>
      </c>
      <c r="TPM54" s="5">
        <f>-IFERROR('4. NPV'!#REF!/'4. NPV'!TPN$8,0)</f>
        <v>0</v>
      </c>
      <c r="TPN54" s="5">
        <f>-IFERROR('4. NPV'!#REF!/'4. NPV'!TPO$8,0)</f>
        <v>0</v>
      </c>
      <c r="TPO54" s="5">
        <f>-IFERROR('4. NPV'!#REF!/'4. NPV'!TPP$8,0)</f>
        <v>0</v>
      </c>
      <c r="TPP54" s="5">
        <f>-IFERROR('4. NPV'!#REF!/'4. NPV'!TPQ$8,0)</f>
        <v>0</v>
      </c>
      <c r="TPQ54" s="5">
        <f>-IFERROR('4. NPV'!#REF!/'4. NPV'!TPR$8,0)</f>
        <v>0</v>
      </c>
      <c r="TPR54" s="5">
        <f>-IFERROR('4. NPV'!#REF!/'4. NPV'!TPS$8,0)</f>
        <v>0</v>
      </c>
      <c r="TPS54" s="5">
        <f>-IFERROR('4. NPV'!#REF!/'4. NPV'!TPT$8,0)</f>
        <v>0</v>
      </c>
      <c r="TPT54" s="5">
        <f>-IFERROR('4. NPV'!#REF!/'4. NPV'!TPU$8,0)</f>
        <v>0</v>
      </c>
      <c r="TPU54" s="5">
        <f>-IFERROR('4. NPV'!#REF!/'4. NPV'!TPV$8,0)</f>
        <v>0</v>
      </c>
      <c r="TPV54" s="5">
        <f>-IFERROR('4. NPV'!#REF!/'4. NPV'!TPW$8,0)</f>
        <v>0</v>
      </c>
      <c r="TPW54" s="5">
        <f>-IFERROR('4. NPV'!#REF!/'4. NPV'!TPX$8,0)</f>
        <v>0</v>
      </c>
      <c r="TPX54" s="5">
        <f>-IFERROR('4. NPV'!#REF!/'4. NPV'!TPY$8,0)</f>
        <v>0</v>
      </c>
      <c r="TPY54" s="5">
        <f>-IFERROR('4. NPV'!#REF!/'4. NPV'!TPZ$8,0)</f>
        <v>0</v>
      </c>
      <c r="TPZ54" s="5">
        <f>-IFERROR('4. NPV'!#REF!/'4. NPV'!TQA$8,0)</f>
        <v>0</v>
      </c>
      <c r="TQA54" s="5">
        <f>-IFERROR('4. NPV'!#REF!/'4. NPV'!TQB$8,0)</f>
        <v>0</v>
      </c>
      <c r="TQB54" s="5">
        <f>-IFERROR('4. NPV'!#REF!/'4. NPV'!TQC$8,0)</f>
        <v>0</v>
      </c>
      <c r="TQC54" s="5">
        <f>-IFERROR('4. NPV'!#REF!/'4. NPV'!TQD$8,0)</f>
        <v>0</v>
      </c>
      <c r="TQD54" s="5">
        <f>-IFERROR('4. NPV'!#REF!/'4. NPV'!TQE$8,0)</f>
        <v>0</v>
      </c>
      <c r="TQE54" s="5">
        <f>-IFERROR('4. NPV'!#REF!/'4. NPV'!TQF$8,0)</f>
        <v>0</v>
      </c>
      <c r="TQF54" s="5">
        <f>-IFERROR('4. NPV'!#REF!/'4. NPV'!TQG$8,0)</f>
        <v>0</v>
      </c>
      <c r="TQG54" s="5">
        <f>-IFERROR('4. NPV'!#REF!/'4. NPV'!TQH$8,0)</f>
        <v>0</v>
      </c>
      <c r="TQH54" s="5">
        <f>-IFERROR('4. NPV'!#REF!/'4. NPV'!TQI$8,0)</f>
        <v>0</v>
      </c>
      <c r="TQI54" s="5">
        <f>-IFERROR('4. NPV'!#REF!/'4. NPV'!TQJ$8,0)</f>
        <v>0</v>
      </c>
      <c r="TQJ54" s="5">
        <f>-IFERROR('4. NPV'!#REF!/'4. NPV'!TQK$8,0)</f>
        <v>0</v>
      </c>
      <c r="TQK54" s="5">
        <f>-IFERROR('4. NPV'!#REF!/'4. NPV'!TQL$8,0)</f>
        <v>0</v>
      </c>
      <c r="TQL54" s="5">
        <f>-IFERROR('4. NPV'!#REF!/'4. NPV'!TQM$8,0)</f>
        <v>0</v>
      </c>
      <c r="TQM54" s="5">
        <f>-IFERROR('4. NPV'!#REF!/'4. NPV'!TQN$8,0)</f>
        <v>0</v>
      </c>
      <c r="TQN54" s="5">
        <f>-IFERROR('4. NPV'!#REF!/'4. NPV'!TQO$8,0)</f>
        <v>0</v>
      </c>
      <c r="TQO54" s="5">
        <f>-IFERROR('4. NPV'!#REF!/'4. NPV'!TQP$8,0)</f>
        <v>0</v>
      </c>
      <c r="TQP54" s="5">
        <f>-IFERROR('4. NPV'!#REF!/'4. NPV'!TQQ$8,0)</f>
        <v>0</v>
      </c>
      <c r="TQQ54" s="5">
        <f>-IFERROR('4. NPV'!#REF!/'4. NPV'!TQR$8,0)</f>
        <v>0</v>
      </c>
      <c r="TQR54" s="5">
        <f>-IFERROR('4. NPV'!#REF!/'4. NPV'!TQS$8,0)</f>
        <v>0</v>
      </c>
      <c r="TQS54" s="5">
        <f>-IFERROR('4. NPV'!#REF!/'4. NPV'!TQT$8,0)</f>
        <v>0</v>
      </c>
      <c r="TQT54" s="5">
        <f>-IFERROR('4. NPV'!#REF!/'4. NPV'!TQU$8,0)</f>
        <v>0</v>
      </c>
      <c r="TQU54" s="5">
        <f>-IFERROR('4. NPV'!#REF!/'4. NPV'!TQV$8,0)</f>
        <v>0</v>
      </c>
      <c r="TQV54" s="5">
        <f>-IFERROR('4. NPV'!#REF!/'4. NPV'!TQW$8,0)</f>
        <v>0</v>
      </c>
      <c r="TQW54" s="5">
        <f>-IFERROR('4. NPV'!#REF!/'4. NPV'!TQX$8,0)</f>
        <v>0</v>
      </c>
      <c r="TQX54" s="5">
        <f>-IFERROR('4. NPV'!#REF!/'4. NPV'!TQY$8,0)</f>
        <v>0</v>
      </c>
      <c r="TQY54" s="5">
        <f>-IFERROR('4. NPV'!#REF!/'4. NPV'!TQZ$8,0)</f>
        <v>0</v>
      </c>
      <c r="TQZ54" s="5">
        <f>-IFERROR('4. NPV'!#REF!/'4. NPV'!TRA$8,0)</f>
        <v>0</v>
      </c>
      <c r="TRA54" s="5">
        <f>-IFERROR('4. NPV'!#REF!/'4. NPV'!TRB$8,0)</f>
        <v>0</v>
      </c>
      <c r="TRB54" s="5">
        <f>-IFERROR('4. NPV'!#REF!/'4. NPV'!TRC$8,0)</f>
        <v>0</v>
      </c>
      <c r="TRC54" s="5">
        <f>-IFERROR('4. NPV'!#REF!/'4. NPV'!TRD$8,0)</f>
        <v>0</v>
      </c>
      <c r="TRD54" s="5">
        <f>-IFERROR('4. NPV'!#REF!/'4. NPV'!TRE$8,0)</f>
        <v>0</v>
      </c>
      <c r="TRE54" s="5">
        <f>-IFERROR('4. NPV'!#REF!/'4. NPV'!TRF$8,0)</f>
        <v>0</v>
      </c>
      <c r="TRF54" s="5">
        <f>-IFERROR('4. NPV'!#REF!/'4. NPV'!TRG$8,0)</f>
        <v>0</v>
      </c>
      <c r="TRG54" s="5">
        <f>-IFERROR('4. NPV'!#REF!/'4. NPV'!TRH$8,0)</f>
        <v>0</v>
      </c>
      <c r="TRH54" s="5">
        <f>-IFERROR('4. NPV'!#REF!/'4. NPV'!TRI$8,0)</f>
        <v>0</v>
      </c>
      <c r="TRI54" s="5">
        <f>-IFERROR('4. NPV'!#REF!/'4. NPV'!TRJ$8,0)</f>
        <v>0</v>
      </c>
      <c r="TRJ54" s="5">
        <f>-IFERROR('4. NPV'!#REF!/'4. NPV'!TRK$8,0)</f>
        <v>0</v>
      </c>
      <c r="TRK54" s="5">
        <f>-IFERROR('4. NPV'!#REF!/'4. NPV'!TRL$8,0)</f>
        <v>0</v>
      </c>
      <c r="TRL54" s="5">
        <f>-IFERROR('4. NPV'!#REF!/'4. NPV'!TRM$8,0)</f>
        <v>0</v>
      </c>
      <c r="TRM54" s="5">
        <f>-IFERROR('4. NPV'!#REF!/'4. NPV'!TRN$8,0)</f>
        <v>0</v>
      </c>
      <c r="TRN54" s="5">
        <f>-IFERROR('4. NPV'!#REF!/'4. NPV'!TRO$8,0)</f>
        <v>0</v>
      </c>
      <c r="TRO54" s="5">
        <f>-IFERROR('4. NPV'!#REF!/'4. NPV'!TRP$8,0)</f>
        <v>0</v>
      </c>
      <c r="TRP54" s="5">
        <f>-IFERROR('4. NPV'!#REF!/'4. NPV'!TRQ$8,0)</f>
        <v>0</v>
      </c>
      <c r="TRQ54" s="5">
        <f>-IFERROR('4. NPV'!#REF!/'4. NPV'!TRR$8,0)</f>
        <v>0</v>
      </c>
      <c r="TRR54" s="5">
        <f>-IFERROR('4. NPV'!#REF!/'4. NPV'!TRS$8,0)</f>
        <v>0</v>
      </c>
      <c r="TRS54" s="5">
        <f>-IFERROR('4. NPV'!#REF!/'4. NPV'!TRT$8,0)</f>
        <v>0</v>
      </c>
      <c r="TRT54" s="5">
        <f>-IFERROR('4. NPV'!#REF!/'4. NPV'!TRU$8,0)</f>
        <v>0</v>
      </c>
      <c r="TRU54" s="5">
        <f>-IFERROR('4. NPV'!#REF!/'4. NPV'!TRV$8,0)</f>
        <v>0</v>
      </c>
      <c r="TRV54" s="5">
        <f>-IFERROR('4. NPV'!#REF!/'4. NPV'!TRW$8,0)</f>
        <v>0</v>
      </c>
      <c r="TRW54" s="5">
        <f>-IFERROR('4. NPV'!#REF!/'4. NPV'!TRX$8,0)</f>
        <v>0</v>
      </c>
      <c r="TRX54" s="5">
        <f>-IFERROR('4. NPV'!#REF!/'4. NPV'!TRY$8,0)</f>
        <v>0</v>
      </c>
      <c r="TRY54" s="5">
        <f>-IFERROR('4. NPV'!#REF!/'4. NPV'!TRZ$8,0)</f>
        <v>0</v>
      </c>
      <c r="TRZ54" s="5">
        <f>-IFERROR('4. NPV'!#REF!/'4. NPV'!TSA$8,0)</f>
        <v>0</v>
      </c>
      <c r="TSA54" s="5">
        <f>-IFERROR('4. NPV'!#REF!/'4. NPV'!TSB$8,0)</f>
        <v>0</v>
      </c>
      <c r="TSB54" s="5">
        <f>-IFERROR('4. NPV'!#REF!/'4. NPV'!TSC$8,0)</f>
        <v>0</v>
      </c>
      <c r="TSC54" s="5">
        <f>-IFERROR('4. NPV'!#REF!/'4. NPV'!TSD$8,0)</f>
        <v>0</v>
      </c>
      <c r="TSD54" s="5">
        <f>-IFERROR('4. NPV'!#REF!/'4. NPV'!TSE$8,0)</f>
        <v>0</v>
      </c>
      <c r="TSE54" s="5">
        <f>-IFERROR('4. NPV'!#REF!/'4. NPV'!TSF$8,0)</f>
        <v>0</v>
      </c>
      <c r="TSF54" s="5">
        <f>-IFERROR('4. NPV'!#REF!/'4. NPV'!TSG$8,0)</f>
        <v>0</v>
      </c>
      <c r="TSG54" s="5">
        <f>-IFERROR('4. NPV'!#REF!/'4. NPV'!TSH$8,0)</f>
        <v>0</v>
      </c>
      <c r="TSH54" s="5">
        <f>-IFERROR('4. NPV'!#REF!/'4. NPV'!TSI$8,0)</f>
        <v>0</v>
      </c>
      <c r="TSI54" s="5">
        <f>-IFERROR('4. NPV'!#REF!/'4. NPV'!TSJ$8,0)</f>
        <v>0</v>
      </c>
      <c r="TSJ54" s="5">
        <f>-IFERROR('4. NPV'!#REF!/'4. NPV'!TSK$8,0)</f>
        <v>0</v>
      </c>
      <c r="TSK54" s="5">
        <f>-IFERROR('4. NPV'!#REF!/'4. NPV'!TSL$8,0)</f>
        <v>0</v>
      </c>
      <c r="TSL54" s="5">
        <f>-IFERROR('4. NPV'!#REF!/'4. NPV'!TSM$8,0)</f>
        <v>0</v>
      </c>
      <c r="TSM54" s="5">
        <f>-IFERROR('4. NPV'!#REF!/'4. NPV'!TSN$8,0)</f>
        <v>0</v>
      </c>
      <c r="TSN54" s="5">
        <f>-IFERROR('4. NPV'!#REF!/'4. NPV'!TSO$8,0)</f>
        <v>0</v>
      </c>
      <c r="TSO54" s="5">
        <f>-IFERROR('4. NPV'!#REF!/'4. NPV'!TSP$8,0)</f>
        <v>0</v>
      </c>
      <c r="TSP54" s="5">
        <f>-IFERROR('4. NPV'!#REF!/'4. NPV'!TSQ$8,0)</f>
        <v>0</v>
      </c>
      <c r="TSQ54" s="5">
        <f>-IFERROR('4. NPV'!#REF!/'4. NPV'!TSR$8,0)</f>
        <v>0</v>
      </c>
      <c r="TSR54" s="5">
        <f>-IFERROR('4. NPV'!#REF!/'4. NPV'!TSS$8,0)</f>
        <v>0</v>
      </c>
      <c r="TSS54" s="5">
        <f>-IFERROR('4. NPV'!#REF!/'4. NPV'!TST$8,0)</f>
        <v>0</v>
      </c>
      <c r="TST54" s="5">
        <f>-IFERROR('4. NPV'!#REF!/'4. NPV'!TSU$8,0)</f>
        <v>0</v>
      </c>
      <c r="TSU54" s="5">
        <f>-IFERROR('4. NPV'!#REF!/'4. NPV'!TSV$8,0)</f>
        <v>0</v>
      </c>
      <c r="TSV54" s="5">
        <f>-IFERROR('4. NPV'!#REF!/'4. NPV'!TSW$8,0)</f>
        <v>0</v>
      </c>
      <c r="TSW54" s="5">
        <f>-IFERROR('4. NPV'!#REF!/'4. NPV'!TSX$8,0)</f>
        <v>0</v>
      </c>
      <c r="TSX54" s="5">
        <f>-IFERROR('4. NPV'!#REF!/'4. NPV'!TSY$8,0)</f>
        <v>0</v>
      </c>
      <c r="TSY54" s="5">
        <f>-IFERROR('4. NPV'!#REF!/'4. NPV'!TSZ$8,0)</f>
        <v>0</v>
      </c>
      <c r="TSZ54" s="5">
        <f>-IFERROR('4. NPV'!#REF!/'4. NPV'!TTA$8,0)</f>
        <v>0</v>
      </c>
      <c r="TTA54" s="5">
        <f>-IFERROR('4. NPV'!#REF!/'4. NPV'!TTB$8,0)</f>
        <v>0</v>
      </c>
      <c r="TTB54" s="5">
        <f>-IFERROR('4. NPV'!#REF!/'4. NPV'!TTC$8,0)</f>
        <v>0</v>
      </c>
      <c r="TTC54" s="5">
        <f>-IFERROR('4. NPV'!#REF!/'4. NPV'!TTD$8,0)</f>
        <v>0</v>
      </c>
      <c r="TTD54" s="5">
        <f>-IFERROR('4. NPV'!#REF!/'4. NPV'!TTE$8,0)</f>
        <v>0</v>
      </c>
      <c r="TTE54" s="5">
        <f>-IFERROR('4. NPV'!#REF!/'4. NPV'!TTF$8,0)</f>
        <v>0</v>
      </c>
      <c r="TTF54" s="5">
        <f>-IFERROR('4. NPV'!#REF!/'4. NPV'!TTG$8,0)</f>
        <v>0</v>
      </c>
      <c r="TTG54" s="5">
        <f>-IFERROR('4. NPV'!#REF!/'4. NPV'!TTH$8,0)</f>
        <v>0</v>
      </c>
      <c r="TTH54" s="5">
        <f>-IFERROR('4. NPV'!#REF!/'4. NPV'!TTI$8,0)</f>
        <v>0</v>
      </c>
      <c r="TTI54" s="5">
        <f>-IFERROR('4. NPV'!#REF!/'4. NPV'!TTJ$8,0)</f>
        <v>0</v>
      </c>
      <c r="TTJ54" s="5">
        <f>-IFERROR('4. NPV'!#REF!/'4. NPV'!TTK$8,0)</f>
        <v>0</v>
      </c>
      <c r="TTK54" s="5">
        <f>-IFERROR('4. NPV'!#REF!/'4. NPV'!TTL$8,0)</f>
        <v>0</v>
      </c>
      <c r="TTL54" s="5">
        <f>-IFERROR('4. NPV'!#REF!/'4. NPV'!TTM$8,0)</f>
        <v>0</v>
      </c>
      <c r="TTM54" s="5">
        <f>-IFERROR('4. NPV'!#REF!/'4. NPV'!TTN$8,0)</f>
        <v>0</v>
      </c>
      <c r="TTN54" s="5">
        <f>-IFERROR('4. NPV'!#REF!/'4. NPV'!TTO$8,0)</f>
        <v>0</v>
      </c>
      <c r="TTO54" s="5">
        <f>-IFERROR('4. NPV'!#REF!/'4. NPV'!TTP$8,0)</f>
        <v>0</v>
      </c>
      <c r="TTP54" s="5">
        <f>-IFERROR('4. NPV'!#REF!/'4. NPV'!TTQ$8,0)</f>
        <v>0</v>
      </c>
      <c r="TTQ54" s="5">
        <f>-IFERROR('4. NPV'!#REF!/'4. NPV'!TTR$8,0)</f>
        <v>0</v>
      </c>
      <c r="TTR54" s="5">
        <f>-IFERROR('4. NPV'!#REF!/'4. NPV'!TTS$8,0)</f>
        <v>0</v>
      </c>
      <c r="TTS54" s="5">
        <f>-IFERROR('4. NPV'!#REF!/'4. NPV'!TTT$8,0)</f>
        <v>0</v>
      </c>
      <c r="TTT54" s="5">
        <f>-IFERROR('4. NPV'!#REF!/'4. NPV'!TTU$8,0)</f>
        <v>0</v>
      </c>
      <c r="TTU54" s="5">
        <f>-IFERROR('4. NPV'!#REF!/'4. NPV'!TTV$8,0)</f>
        <v>0</v>
      </c>
      <c r="TTV54" s="5">
        <f>-IFERROR('4. NPV'!#REF!/'4. NPV'!TTW$8,0)</f>
        <v>0</v>
      </c>
      <c r="TTW54" s="5">
        <f>-IFERROR('4. NPV'!#REF!/'4. NPV'!TTX$8,0)</f>
        <v>0</v>
      </c>
      <c r="TTX54" s="5">
        <f>-IFERROR('4. NPV'!#REF!/'4. NPV'!TTY$8,0)</f>
        <v>0</v>
      </c>
      <c r="TTY54" s="5">
        <f>-IFERROR('4. NPV'!#REF!/'4. NPV'!TTZ$8,0)</f>
        <v>0</v>
      </c>
      <c r="TTZ54" s="5">
        <f>-IFERROR('4. NPV'!#REF!/'4. NPV'!TUA$8,0)</f>
        <v>0</v>
      </c>
      <c r="TUA54" s="5">
        <f>-IFERROR('4. NPV'!#REF!/'4. NPV'!TUB$8,0)</f>
        <v>0</v>
      </c>
      <c r="TUB54" s="5">
        <f>-IFERROR('4. NPV'!#REF!/'4. NPV'!TUC$8,0)</f>
        <v>0</v>
      </c>
      <c r="TUC54" s="5">
        <f>-IFERROR('4. NPV'!#REF!/'4. NPV'!TUD$8,0)</f>
        <v>0</v>
      </c>
      <c r="TUD54" s="5">
        <f>-IFERROR('4. NPV'!#REF!/'4. NPV'!TUE$8,0)</f>
        <v>0</v>
      </c>
      <c r="TUE54" s="5">
        <f>-IFERROR('4. NPV'!#REF!/'4. NPV'!TUF$8,0)</f>
        <v>0</v>
      </c>
      <c r="TUF54" s="5">
        <f>-IFERROR('4. NPV'!#REF!/'4. NPV'!TUG$8,0)</f>
        <v>0</v>
      </c>
      <c r="TUG54" s="5">
        <f>-IFERROR('4. NPV'!#REF!/'4. NPV'!TUH$8,0)</f>
        <v>0</v>
      </c>
      <c r="TUH54" s="5">
        <f>-IFERROR('4. NPV'!#REF!/'4. NPV'!TUI$8,0)</f>
        <v>0</v>
      </c>
      <c r="TUI54" s="5">
        <f>-IFERROR('4. NPV'!#REF!/'4. NPV'!TUJ$8,0)</f>
        <v>0</v>
      </c>
      <c r="TUJ54" s="5">
        <f>-IFERROR('4. NPV'!#REF!/'4. NPV'!TUK$8,0)</f>
        <v>0</v>
      </c>
      <c r="TUK54" s="5">
        <f>-IFERROR('4. NPV'!#REF!/'4. NPV'!TUL$8,0)</f>
        <v>0</v>
      </c>
      <c r="TUL54" s="5">
        <f>-IFERROR('4. NPV'!#REF!/'4. NPV'!TUM$8,0)</f>
        <v>0</v>
      </c>
      <c r="TUM54" s="5">
        <f>-IFERROR('4. NPV'!#REF!/'4. NPV'!TUN$8,0)</f>
        <v>0</v>
      </c>
      <c r="TUN54" s="5">
        <f>-IFERROR('4. NPV'!#REF!/'4. NPV'!TUO$8,0)</f>
        <v>0</v>
      </c>
      <c r="TUO54" s="5">
        <f>-IFERROR('4. NPV'!#REF!/'4. NPV'!TUP$8,0)</f>
        <v>0</v>
      </c>
      <c r="TUP54" s="5">
        <f>-IFERROR('4. NPV'!#REF!/'4. NPV'!TUQ$8,0)</f>
        <v>0</v>
      </c>
      <c r="TUQ54" s="5">
        <f>-IFERROR('4. NPV'!#REF!/'4. NPV'!TUR$8,0)</f>
        <v>0</v>
      </c>
      <c r="TUR54" s="5">
        <f>-IFERROR('4. NPV'!#REF!/'4. NPV'!TUS$8,0)</f>
        <v>0</v>
      </c>
      <c r="TUS54" s="5">
        <f>-IFERROR('4. NPV'!#REF!/'4. NPV'!TUT$8,0)</f>
        <v>0</v>
      </c>
      <c r="TUT54" s="5">
        <f>-IFERROR('4. NPV'!#REF!/'4. NPV'!TUU$8,0)</f>
        <v>0</v>
      </c>
      <c r="TUU54" s="5">
        <f>-IFERROR('4. NPV'!#REF!/'4. NPV'!TUV$8,0)</f>
        <v>0</v>
      </c>
      <c r="TUV54" s="5">
        <f>-IFERROR('4. NPV'!#REF!/'4. NPV'!TUW$8,0)</f>
        <v>0</v>
      </c>
      <c r="TUW54" s="5">
        <f>-IFERROR('4. NPV'!#REF!/'4. NPV'!TUX$8,0)</f>
        <v>0</v>
      </c>
      <c r="TUX54" s="5">
        <f>-IFERROR('4. NPV'!#REF!/'4. NPV'!TUY$8,0)</f>
        <v>0</v>
      </c>
      <c r="TUY54" s="5">
        <f>-IFERROR('4. NPV'!#REF!/'4. NPV'!TUZ$8,0)</f>
        <v>0</v>
      </c>
      <c r="TUZ54" s="5">
        <f>-IFERROR('4. NPV'!#REF!/'4. NPV'!TVA$8,0)</f>
        <v>0</v>
      </c>
      <c r="TVA54" s="5">
        <f>-IFERROR('4. NPV'!#REF!/'4. NPV'!TVB$8,0)</f>
        <v>0</v>
      </c>
      <c r="TVB54" s="5">
        <f>-IFERROR('4. NPV'!#REF!/'4. NPV'!TVC$8,0)</f>
        <v>0</v>
      </c>
      <c r="TVC54" s="5">
        <f>-IFERROR('4. NPV'!#REF!/'4. NPV'!TVD$8,0)</f>
        <v>0</v>
      </c>
      <c r="TVD54" s="5">
        <f>-IFERROR('4. NPV'!#REF!/'4. NPV'!TVE$8,0)</f>
        <v>0</v>
      </c>
      <c r="TVE54" s="5">
        <f>-IFERROR('4. NPV'!#REF!/'4. NPV'!TVF$8,0)</f>
        <v>0</v>
      </c>
      <c r="TVF54" s="5">
        <f>-IFERROR('4. NPV'!#REF!/'4. NPV'!TVG$8,0)</f>
        <v>0</v>
      </c>
      <c r="TVG54" s="5">
        <f>-IFERROR('4. NPV'!#REF!/'4. NPV'!TVH$8,0)</f>
        <v>0</v>
      </c>
      <c r="TVH54" s="5">
        <f>-IFERROR('4. NPV'!#REF!/'4. NPV'!TVI$8,0)</f>
        <v>0</v>
      </c>
      <c r="TVI54" s="5">
        <f>-IFERROR('4. NPV'!#REF!/'4. NPV'!TVJ$8,0)</f>
        <v>0</v>
      </c>
      <c r="TVJ54" s="5">
        <f>-IFERROR('4. NPV'!#REF!/'4. NPV'!TVK$8,0)</f>
        <v>0</v>
      </c>
      <c r="TVK54" s="5">
        <f>-IFERROR('4. NPV'!#REF!/'4. NPV'!TVL$8,0)</f>
        <v>0</v>
      </c>
      <c r="TVL54" s="5">
        <f>-IFERROR('4. NPV'!#REF!/'4. NPV'!TVM$8,0)</f>
        <v>0</v>
      </c>
      <c r="TVM54" s="5">
        <f>-IFERROR('4. NPV'!#REF!/'4. NPV'!TVN$8,0)</f>
        <v>0</v>
      </c>
      <c r="TVN54" s="5">
        <f>-IFERROR('4. NPV'!#REF!/'4. NPV'!TVO$8,0)</f>
        <v>0</v>
      </c>
      <c r="TVO54" s="5">
        <f>-IFERROR('4. NPV'!#REF!/'4. NPV'!TVP$8,0)</f>
        <v>0</v>
      </c>
      <c r="TVP54" s="5">
        <f>-IFERROR('4. NPV'!#REF!/'4. NPV'!TVQ$8,0)</f>
        <v>0</v>
      </c>
      <c r="TVQ54" s="5">
        <f>-IFERROR('4. NPV'!#REF!/'4. NPV'!TVR$8,0)</f>
        <v>0</v>
      </c>
      <c r="TVR54" s="5">
        <f>-IFERROR('4. NPV'!#REF!/'4. NPV'!TVS$8,0)</f>
        <v>0</v>
      </c>
      <c r="TVS54" s="5">
        <f>-IFERROR('4. NPV'!#REF!/'4. NPV'!TVT$8,0)</f>
        <v>0</v>
      </c>
      <c r="TVT54" s="5">
        <f>-IFERROR('4. NPV'!#REF!/'4. NPV'!TVU$8,0)</f>
        <v>0</v>
      </c>
      <c r="TVU54" s="5">
        <f>-IFERROR('4. NPV'!#REF!/'4. NPV'!TVV$8,0)</f>
        <v>0</v>
      </c>
      <c r="TVV54" s="5">
        <f>-IFERROR('4. NPV'!#REF!/'4. NPV'!TVW$8,0)</f>
        <v>0</v>
      </c>
      <c r="TVW54" s="5">
        <f>-IFERROR('4. NPV'!#REF!/'4. NPV'!TVX$8,0)</f>
        <v>0</v>
      </c>
      <c r="TVX54" s="5">
        <f>-IFERROR('4. NPV'!#REF!/'4. NPV'!TVY$8,0)</f>
        <v>0</v>
      </c>
      <c r="TVY54" s="5">
        <f>-IFERROR('4. NPV'!#REF!/'4. NPV'!TVZ$8,0)</f>
        <v>0</v>
      </c>
      <c r="TVZ54" s="5">
        <f>-IFERROR('4. NPV'!#REF!/'4. NPV'!TWA$8,0)</f>
        <v>0</v>
      </c>
      <c r="TWA54" s="5">
        <f>-IFERROR('4. NPV'!#REF!/'4. NPV'!TWB$8,0)</f>
        <v>0</v>
      </c>
      <c r="TWB54" s="5">
        <f>-IFERROR('4. NPV'!#REF!/'4. NPV'!TWC$8,0)</f>
        <v>0</v>
      </c>
      <c r="TWC54" s="5">
        <f>-IFERROR('4. NPV'!#REF!/'4. NPV'!TWD$8,0)</f>
        <v>0</v>
      </c>
      <c r="TWD54" s="5">
        <f>-IFERROR('4. NPV'!#REF!/'4. NPV'!TWE$8,0)</f>
        <v>0</v>
      </c>
      <c r="TWE54" s="5">
        <f>-IFERROR('4. NPV'!#REF!/'4. NPV'!TWF$8,0)</f>
        <v>0</v>
      </c>
      <c r="TWF54" s="5">
        <f>-IFERROR('4. NPV'!#REF!/'4. NPV'!TWG$8,0)</f>
        <v>0</v>
      </c>
      <c r="TWG54" s="5">
        <f>-IFERROR('4. NPV'!#REF!/'4. NPV'!TWH$8,0)</f>
        <v>0</v>
      </c>
      <c r="TWH54" s="5">
        <f>-IFERROR('4. NPV'!#REF!/'4. NPV'!TWI$8,0)</f>
        <v>0</v>
      </c>
      <c r="TWI54" s="5">
        <f>-IFERROR('4. NPV'!#REF!/'4. NPV'!TWJ$8,0)</f>
        <v>0</v>
      </c>
      <c r="TWJ54" s="5">
        <f>-IFERROR('4. NPV'!#REF!/'4. NPV'!TWK$8,0)</f>
        <v>0</v>
      </c>
      <c r="TWK54" s="5">
        <f>-IFERROR('4. NPV'!#REF!/'4. NPV'!TWL$8,0)</f>
        <v>0</v>
      </c>
      <c r="TWL54" s="5">
        <f>-IFERROR('4. NPV'!#REF!/'4. NPV'!TWM$8,0)</f>
        <v>0</v>
      </c>
      <c r="TWM54" s="5">
        <f>-IFERROR('4. NPV'!#REF!/'4. NPV'!TWN$8,0)</f>
        <v>0</v>
      </c>
      <c r="TWN54" s="5">
        <f>-IFERROR('4. NPV'!#REF!/'4. NPV'!TWO$8,0)</f>
        <v>0</v>
      </c>
      <c r="TWO54" s="5">
        <f>-IFERROR('4. NPV'!#REF!/'4. NPV'!TWP$8,0)</f>
        <v>0</v>
      </c>
      <c r="TWP54" s="5">
        <f>-IFERROR('4. NPV'!#REF!/'4. NPV'!TWQ$8,0)</f>
        <v>0</v>
      </c>
      <c r="TWQ54" s="5">
        <f>-IFERROR('4. NPV'!#REF!/'4. NPV'!TWR$8,0)</f>
        <v>0</v>
      </c>
      <c r="TWR54" s="5">
        <f>-IFERROR('4. NPV'!#REF!/'4. NPV'!TWS$8,0)</f>
        <v>0</v>
      </c>
      <c r="TWS54" s="5">
        <f>-IFERROR('4. NPV'!#REF!/'4. NPV'!TWT$8,0)</f>
        <v>0</v>
      </c>
      <c r="TWT54" s="5">
        <f>-IFERROR('4. NPV'!#REF!/'4. NPV'!TWU$8,0)</f>
        <v>0</v>
      </c>
      <c r="TWU54" s="5">
        <f>-IFERROR('4. NPV'!#REF!/'4. NPV'!TWV$8,0)</f>
        <v>0</v>
      </c>
      <c r="TWV54" s="5">
        <f>-IFERROR('4. NPV'!#REF!/'4. NPV'!TWW$8,0)</f>
        <v>0</v>
      </c>
      <c r="TWW54" s="5">
        <f>-IFERROR('4. NPV'!#REF!/'4. NPV'!TWX$8,0)</f>
        <v>0</v>
      </c>
      <c r="TWX54" s="5">
        <f>-IFERROR('4. NPV'!#REF!/'4. NPV'!TWY$8,0)</f>
        <v>0</v>
      </c>
      <c r="TWY54" s="5">
        <f>-IFERROR('4. NPV'!#REF!/'4. NPV'!TWZ$8,0)</f>
        <v>0</v>
      </c>
      <c r="TWZ54" s="5">
        <f>-IFERROR('4. NPV'!#REF!/'4. NPV'!TXA$8,0)</f>
        <v>0</v>
      </c>
      <c r="TXA54" s="5">
        <f>-IFERROR('4. NPV'!#REF!/'4. NPV'!TXB$8,0)</f>
        <v>0</v>
      </c>
      <c r="TXB54" s="5">
        <f>-IFERROR('4. NPV'!#REF!/'4. NPV'!TXC$8,0)</f>
        <v>0</v>
      </c>
      <c r="TXC54" s="5">
        <f>-IFERROR('4. NPV'!#REF!/'4. NPV'!TXD$8,0)</f>
        <v>0</v>
      </c>
      <c r="TXD54" s="5">
        <f>-IFERROR('4. NPV'!#REF!/'4. NPV'!TXE$8,0)</f>
        <v>0</v>
      </c>
      <c r="TXE54" s="5">
        <f>-IFERROR('4. NPV'!#REF!/'4. NPV'!TXF$8,0)</f>
        <v>0</v>
      </c>
      <c r="TXF54" s="5">
        <f>-IFERROR('4. NPV'!#REF!/'4. NPV'!TXG$8,0)</f>
        <v>0</v>
      </c>
      <c r="TXG54" s="5">
        <f>-IFERROR('4. NPV'!#REF!/'4. NPV'!TXH$8,0)</f>
        <v>0</v>
      </c>
      <c r="TXH54" s="5">
        <f>-IFERROR('4. NPV'!#REF!/'4. NPV'!TXI$8,0)</f>
        <v>0</v>
      </c>
      <c r="TXI54" s="5">
        <f>-IFERROR('4. NPV'!#REF!/'4. NPV'!TXJ$8,0)</f>
        <v>0</v>
      </c>
      <c r="TXJ54" s="5">
        <f>-IFERROR('4. NPV'!#REF!/'4. NPV'!TXK$8,0)</f>
        <v>0</v>
      </c>
      <c r="TXK54" s="5">
        <f>-IFERROR('4. NPV'!#REF!/'4. NPV'!TXL$8,0)</f>
        <v>0</v>
      </c>
      <c r="TXL54" s="5">
        <f>-IFERROR('4. NPV'!#REF!/'4. NPV'!TXM$8,0)</f>
        <v>0</v>
      </c>
      <c r="TXM54" s="5">
        <f>-IFERROR('4. NPV'!#REF!/'4. NPV'!TXN$8,0)</f>
        <v>0</v>
      </c>
      <c r="TXN54" s="5">
        <f>-IFERROR('4. NPV'!#REF!/'4. NPV'!TXO$8,0)</f>
        <v>0</v>
      </c>
      <c r="TXO54" s="5">
        <f>-IFERROR('4. NPV'!#REF!/'4. NPV'!TXP$8,0)</f>
        <v>0</v>
      </c>
      <c r="TXP54" s="5">
        <f>-IFERROR('4. NPV'!#REF!/'4. NPV'!TXQ$8,0)</f>
        <v>0</v>
      </c>
      <c r="TXQ54" s="5">
        <f>-IFERROR('4. NPV'!#REF!/'4. NPV'!TXR$8,0)</f>
        <v>0</v>
      </c>
      <c r="TXR54" s="5">
        <f>-IFERROR('4. NPV'!#REF!/'4. NPV'!TXS$8,0)</f>
        <v>0</v>
      </c>
      <c r="TXS54" s="5">
        <f>-IFERROR('4. NPV'!#REF!/'4. NPV'!TXT$8,0)</f>
        <v>0</v>
      </c>
      <c r="TXT54" s="5">
        <f>-IFERROR('4. NPV'!#REF!/'4. NPV'!TXU$8,0)</f>
        <v>0</v>
      </c>
      <c r="TXU54" s="5">
        <f>-IFERROR('4. NPV'!#REF!/'4. NPV'!TXV$8,0)</f>
        <v>0</v>
      </c>
      <c r="TXV54" s="5">
        <f>-IFERROR('4. NPV'!#REF!/'4. NPV'!TXW$8,0)</f>
        <v>0</v>
      </c>
      <c r="TXW54" s="5">
        <f>-IFERROR('4. NPV'!#REF!/'4. NPV'!TXX$8,0)</f>
        <v>0</v>
      </c>
      <c r="TXX54" s="5">
        <f>-IFERROR('4. NPV'!#REF!/'4. NPV'!TXY$8,0)</f>
        <v>0</v>
      </c>
      <c r="TXY54" s="5">
        <f>-IFERROR('4. NPV'!#REF!/'4. NPV'!TXZ$8,0)</f>
        <v>0</v>
      </c>
      <c r="TXZ54" s="5">
        <f>-IFERROR('4. NPV'!#REF!/'4. NPV'!TYA$8,0)</f>
        <v>0</v>
      </c>
      <c r="TYA54" s="5">
        <f>-IFERROR('4. NPV'!#REF!/'4. NPV'!TYB$8,0)</f>
        <v>0</v>
      </c>
      <c r="TYB54" s="5">
        <f>-IFERROR('4. NPV'!#REF!/'4. NPV'!TYC$8,0)</f>
        <v>0</v>
      </c>
      <c r="TYC54" s="5">
        <f>-IFERROR('4. NPV'!#REF!/'4. NPV'!TYD$8,0)</f>
        <v>0</v>
      </c>
      <c r="TYD54" s="5">
        <f>-IFERROR('4. NPV'!#REF!/'4. NPV'!TYE$8,0)</f>
        <v>0</v>
      </c>
      <c r="TYE54" s="5">
        <f>-IFERROR('4. NPV'!#REF!/'4. NPV'!TYF$8,0)</f>
        <v>0</v>
      </c>
      <c r="TYF54" s="5">
        <f>-IFERROR('4. NPV'!#REF!/'4. NPV'!TYG$8,0)</f>
        <v>0</v>
      </c>
      <c r="TYG54" s="5">
        <f>-IFERROR('4. NPV'!#REF!/'4. NPV'!TYH$8,0)</f>
        <v>0</v>
      </c>
      <c r="TYH54" s="5">
        <f>-IFERROR('4. NPV'!#REF!/'4. NPV'!TYI$8,0)</f>
        <v>0</v>
      </c>
      <c r="TYI54" s="5">
        <f>-IFERROR('4. NPV'!#REF!/'4. NPV'!TYJ$8,0)</f>
        <v>0</v>
      </c>
      <c r="TYJ54" s="5">
        <f>-IFERROR('4. NPV'!#REF!/'4. NPV'!TYK$8,0)</f>
        <v>0</v>
      </c>
      <c r="TYK54" s="5">
        <f>-IFERROR('4. NPV'!#REF!/'4. NPV'!TYL$8,0)</f>
        <v>0</v>
      </c>
      <c r="TYL54" s="5">
        <f>-IFERROR('4. NPV'!#REF!/'4. NPV'!TYM$8,0)</f>
        <v>0</v>
      </c>
      <c r="TYM54" s="5">
        <f>-IFERROR('4. NPV'!#REF!/'4. NPV'!TYN$8,0)</f>
        <v>0</v>
      </c>
      <c r="TYN54" s="5">
        <f>-IFERROR('4. NPV'!#REF!/'4. NPV'!TYO$8,0)</f>
        <v>0</v>
      </c>
      <c r="TYO54" s="5">
        <f>-IFERROR('4. NPV'!#REF!/'4. NPV'!TYP$8,0)</f>
        <v>0</v>
      </c>
      <c r="TYP54" s="5">
        <f>-IFERROR('4. NPV'!#REF!/'4. NPV'!TYQ$8,0)</f>
        <v>0</v>
      </c>
      <c r="TYQ54" s="5">
        <f>-IFERROR('4. NPV'!#REF!/'4. NPV'!TYR$8,0)</f>
        <v>0</v>
      </c>
      <c r="TYR54" s="5">
        <f>-IFERROR('4. NPV'!#REF!/'4. NPV'!TYS$8,0)</f>
        <v>0</v>
      </c>
      <c r="TYS54" s="5">
        <f>-IFERROR('4. NPV'!#REF!/'4. NPV'!TYT$8,0)</f>
        <v>0</v>
      </c>
      <c r="TYT54" s="5">
        <f>-IFERROR('4. NPV'!#REF!/'4. NPV'!TYU$8,0)</f>
        <v>0</v>
      </c>
      <c r="TYU54" s="5">
        <f>-IFERROR('4. NPV'!#REF!/'4. NPV'!TYV$8,0)</f>
        <v>0</v>
      </c>
      <c r="TYV54" s="5">
        <f>-IFERROR('4. NPV'!#REF!/'4. NPV'!TYW$8,0)</f>
        <v>0</v>
      </c>
      <c r="TYW54" s="5">
        <f>-IFERROR('4. NPV'!#REF!/'4. NPV'!TYX$8,0)</f>
        <v>0</v>
      </c>
      <c r="TYX54" s="5">
        <f>-IFERROR('4. NPV'!#REF!/'4. NPV'!TYY$8,0)</f>
        <v>0</v>
      </c>
      <c r="TYY54" s="5">
        <f>-IFERROR('4. NPV'!#REF!/'4. NPV'!TYZ$8,0)</f>
        <v>0</v>
      </c>
      <c r="TYZ54" s="5">
        <f>-IFERROR('4. NPV'!#REF!/'4. NPV'!TZA$8,0)</f>
        <v>0</v>
      </c>
      <c r="TZA54" s="5">
        <f>-IFERROR('4. NPV'!#REF!/'4. NPV'!TZB$8,0)</f>
        <v>0</v>
      </c>
      <c r="TZB54" s="5">
        <f>-IFERROR('4. NPV'!#REF!/'4. NPV'!TZC$8,0)</f>
        <v>0</v>
      </c>
      <c r="TZC54" s="5">
        <f>-IFERROR('4. NPV'!#REF!/'4. NPV'!TZD$8,0)</f>
        <v>0</v>
      </c>
      <c r="TZD54" s="5">
        <f>-IFERROR('4. NPV'!#REF!/'4. NPV'!TZE$8,0)</f>
        <v>0</v>
      </c>
      <c r="TZE54" s="5">
        <f>-IFERROR('4. NPV'!#REF!/'4. NPV'!TZF$8,0)</f>
        <v>0</v>
      </c>
      <c r="TZF54" s="5">
        <f>-IFERROR('4. NPV'!#REF!/'4. NPV'!TZG$8,0)</f>
        <v>0</v>
      </c>
      <c r="TZG54" s="5">
        <f>-IFERROR('4. NPV'!#REF!/'4. NPV'!TZH$8,0)</f>
        <v>0</v>
      </c>
      <c r="TZH54" s="5">
        <f>-IFERROR('4. NPV'!#REF!/'4. NPV'!TZI$8,0)</f>
        <v>0</v>
      </c>
      <c r="TZI54" s="5">
        <f>-IFERROR('4. NPV'!#REF!/'4. NPV'!TZJ$8,0)</f>
        <v>0</v>
      </c>
      <c r="TZJ54" s="5">
        <f>-IFERROR('4. NPV'!#REF!/'4. NPV'!TZK$8,0)</f>
        <v>0</v>
      </c>
      <c r="TZK54" s="5">
        <f>-IFERROR('4. NPV'!#REF!/'4. NPV'!TZL$8,0)</f>
        <v>0</v>
      </c>
      <c r="TZL54" s="5">
        <f>-IFERROR('4. NPV'!#REF!/'4. NPV'!TZM$8,0)</f>
        <v>0</v>
      </c>
      <c r="TZM54" s="5">
        <f>-IFERROR('4. NPV'!#REF!/'4. NPV'!TZN$8,0)</f>
        <v>0</v>
      </c>
      <c r="TZN54" s="5">
        <f>-IFERROR('4. NPV'!#REF!/'4. NPV'!TZO$8,0)</f>
        <v>0</v>
      </c>
      <c r="TZO54" s="5">
        <f>-IFERROR('4. NPV'!#REF!/'4. NPV'!TZP$8,0)</f>
        <v>0</v>
      </c>
      <c r="TZP54" s="5">
        <f>-IFERROR('4. NPV'!#REF!/'4. NPV'!TZQ$8,0)</f>
        <v>0</v>
      </c>
      <c r="TZQ54" s="5">
        <f>-IFERROR('4. NPV'!#REF!/'4. NPV'!TZR$8,0)</f>
        <v>0</v>
      </c>
      <c r="TZR54" s="5">
        <f>-IFERROR('4. NPV'!#REF!/'4. NPV'!TZS$8,0)</f>
        <v>0</v>
      </c>
      <c r="TZS54" s="5">
        <f>-IFERROR('4. NPV'!#REF!/'4. NPV'!TZT$8,0)</f>
        <v>0</v>
      </c>
      <c r="TZT54" s="5">
        <f>-IFERROR('4. NPV'!#REF!/'4. NPV'!TZU$8,0)</f>
        <v>0</v>
      </c>
      <c r="TZU54" s="5">
        <f>-IFERROR('4. NPV'!#REF!/'4. NPV'!TZV$8,0)</f>
        <v>0</v>
      </c>
      <c r="TZV54" s="5">
        <f>-IFERROR('4. NPV'!#REF!/'4. NPV'!TZW$8,0)</f>
        <v>0</v>
      </c>
      <c r="TZW54" s="5">
        <f>-IFERROR('4. NPV'!#REF!/'4. NPV'!TZX$8,0)</f>
        <v>0</v>
      </c>
      <c r="TZX54" s="5">
        <f>-IFERROR('4. NPV'!#REF!/'4. NPV'!TZY$8,0)</f>
        <v>0</v>
      </c>
      <c r="TZY54" s="5">
        <f>-IFERROR('4. NPV'!#REF!/'4. NPV'!TZZ$8,0)</f>
        <v>0</v>
      </c>
      <c r="TZZ54" s="5">
        <f>-IFERROR('4. NPV'!#REF!/'4. NPV'!UAA$8,0)</f>
        <v>0</v>
      </c>
      <c r="UAA54" s="5">
        <f>-IFERROR('4. NPV'!#REF!/'4. NPV'!UAB$8,0)</f>
        <v>0</v>
      </c>
      <c r="UAB54" s="5">
        <f>-IFERROR('4. NPV'!#REF!/'4. NPV'!UAC$8,0)</f>
        <v>0</v>
      </c>
      <c r="UAC54" s="5">
        <f>-IFERROR('4. NPV'!#REF!/'4. NPV'!UAD$8,0)</f>
        <v>0</v>
      </c>
      <c r="UAD54" s="5">
        <f>-IFERROR('4. NPV'!#REF!/'4. NPV'!UAE$8,0)</f>
        <v>0</v>
      </c>
      <c r="UAE54" s="5">
        <f>-IFERROR('4. NPV'!#REF!/'4. NPV'!UAF$8,0)</f>
        <v>0</v>
      </c>
      <c r="UAF54" s="5">
        <f>-IFERROR('4. NPV'!#REF!/'4. NPV'!UAG$8,0)</f>
        <v>0</v>
      </c>
      <c r="UAG54" s="5">
        <f>-IFERROR('4. NPV'!#REF!/'4. NPV'!UAH$8,0)</f>
        <v>0</v>
      </c>
      <c r="UAH54" s="5">
        <f>-IFERROR('4. NPV'!#REF!/'4. NPV'!UAI$8,0)</f>
        <v>0</v>
      </c>
      <c r="UAI54" s="5">
        <f>-IFERROR('4. NPV'!#REF!/'4. NPV'!UAJ$8,0)</f>
        <v>0</v>
      </c>
      <c r="UAJ54" s="5">
        <f>-IFERROR('4. NPV'!#REF!/'4. NPV'!UAK$8,0)</f>
        <v>0</v>
      </c>
      <c r="UAK54" s="5">
        <f>-IFERROR('4. NPV'!#REF!/'4. NPV'!UAL$8,0)</f>
        <v>0</v>
      </c>
      <c r="UAL54" s="5">
        <f>-IFERROR('4. NPV'!#REF!/'4. NPV'!UAM$8,0)</f>
        <v>0</v>
      </c>
      <c r="UAM54" s="5">
        <f>-IFERROR('4. NPV'!#REF!/'4. NPV'!UAN$8,0)</f>
        <v>0</v>
      </c>
      <c r="UAN54" s="5">
        <f>-IFERROR('4. NPV'!#REF!/'4. NPV'!UAO$8,0)</f>
        <v>0</v>
      </c>
      <c r="UAO54" s="5">
        <f>-IFERROR('4. NPV'!#REF!/'4. NPV'!UAP$8,0)</f>
        <v>0</v>
      </c>
      <c r="UAP54" s="5">
        <f>-IFERROR('4. NPV'!#REF!/'4. NPV'!UAQ$8,0)</f>
        <v>0</v>
      </c>
      <c r="UAQ54" s="5">
        <f>-IFERROR('4. NPV'!#REF!/'4. NPV'!UAR$8,0)</f>
        <v>0</v>
      </c>
      <c r="UAR54" s="5">
        <f>-IFERROR('4. NPV'!#REF!/'4. NPV'!UAS$8,0)</f>
        <v>0</v>
      </c>
      <c r="UAS54" s="5">
        <f>-IFERROR('4. NPV'!#REF!/'4. NPV'!UAT$8,0)</f>
        <v>0</v>
      </c>
      <c r="UAT54" s="5">
        <f>-IFERROR('4. NPV'!#REF!/'4. NPV'!UAU$8,0)</f>
        <v>0</v>
      </c>
      <c r="UAU54" s="5">
        <f>-IFERROR('4. NPV'!#REF!/'4. NPV'!UAV$8,0)</f>
        <v>0</v>
      </c>
      <c r="UAV54" s="5">
        <f>-IFERROR('4. NPV'!#REF!/'4. NPV'!UAW$8,0)</f>
        <v>0</v>
      </c>
      <c r="UAW54" s="5">
        <f>-IFERROR('4. NPV'!#REF!/'4. NPV'!UAX$8,0)</f>
        <v>0</v>
      </c>
      <c r="UAX54" s="5">
        <f>-IFERROR('4. NPV'!#REF!/'4. NPV'!UAY$8,0)</f>
        <v>0</v>
      </c>
      <c r="UAY54" s="5">
        <f>-IFERROR('4. NPV'!#REF!/'4. NPV'!UAZ$8,0)</f>
        <v>0</v>
      </c>
      <c r="UAZ54" s="5">
        <f>-IFERROR('4. NPV'!#REF!/'4. NPV'!UBA$8,0)</f>
        <v>0</v>
      </c>
      <c r="UBA54" s="5">
        <f>-IFERROR('4. NPV'!#REF!/'4. NPV'!UBB$8,0)</f>
        <v>0</v>
      </c>
      <c r="UBB54" s="5">
        <f>-IFERROR('4. NPV'!#REF!/'4. NPV'!UBC$8,0)</f>
        <v>0</v>
      </c>
      <c r="UBC54" s="5">
        <f>-IFERROR('4. NPV'!#REF!/'4. NPV'!UBD$8,0)</f>
        <v>0</v>
      </c>
      <c r="UBD54" s="5">
        <f>-IFERROR('4. NPV'!#REF!/'4. NPV'!UBE$8,0)</f>
        <v>0</v>
      </c>
      <c r="UBE54" s="5">
        <f>-IFERROR('4. NPV'!#REF!/'4. NPV'!UBF$8,0)</f>
        <v>0</v>
      </c>
      <c r="UBF54" s="5">
        <f>-IFERROR('4. NPV'!#REF!/'4. NPV'!UBG$8,0)</f>
        <v>0</v>
      </c>
      <c r="UBG54" s="5">
        <f>-IFERROR('4. NPV'!#REF!/'4. NPV'!UBH$8,0)</f>
        <v>0</v>
      </c>
      <c r="UBH54" s="5">
        <f>-IFERROR('4. NPV'!#REF!/'4. NPV'!UBI$8,0)</f>
        <v>0</v>
      </c>
      <c r="UBI54" s="5">
        <f>-IFERROR('4. NPV'!#REF!/'4. NPV'!UBJ$8,0)</f>
        <v>0</v>
      </c>
      <c r="UBJ54" s="5">
        <f>-IFERROR('4. NPV'!#REF!/'4. NPV'!UBK$8,0)</f>
        <v>0</v>
      </c>
      <c r="UBK54" s="5">
        <f>-IFERROR('4. NPV'!#REF!/'4. NPV'!UBL$8,0)</f>
        <v>0</v>
      </c>
      <c r="UBL54" s="5">
        <f>-IFERROR('4. NPV'!#REF!/'4. NPV'!UBM$8,0)</f>
        <v>0</v>
      </c>
      <c r="UBM54" s="5">
        <f>-IFERROR('4. NPV'!#REF!/'4. NPV'!UBN$8,0)</f>
        <v>0</v>
      </c>
      <c r="UBN54" s="5">
        <f>-IFERROR('4. NPV'!#REF!/'4. NPV'!UBO$8,0)</f>
        <v>0</v>
      </c>
      <c r="UBO54" s="5">
        <f>-IFERROR('4. NPV'!#REF!/'4. NPV'!UBP$8,0)</f>
        <v>0</v>
      </c>
      <c r="UBP54" s="5">
        <f>-IFERROR('4. NPV'!#REF!/'4. NPV'!UBQ$8,0)</f>
        <v>0</v>
      </c>
      <c r="UBQ54" s="5">
        <f>-IFERROR('4. NPV'!#REF!/'4. NPV'!UBR$8,0)</f>
        <v>0</v>
      </c>
      <c r="UBR54" s="5">
        <f>-IFERROR('4. NPV'!#REF!/'4. NPV'!UBS$8,0)</f>
        <v>0</v>
      </c>
      <c r="UBS54" s="5">
        <f>-IFERROR('4. NPV'!#REF!/'4. NPV'!UBT$8,0)</f>
        <v>0</v>
      </c>
      <c r="UBT54" s="5">
        <f>-IFERROR('4. NPV'!#REF!/'4. NPV'!UBU$8,0)</f>
        <v>0</v>
      </c>
      <c r="UBU54" s="5">
        <f>-IFERROR('4. NPV'!#REF!/'4. NPV'!UBV$8,0)</f>
        <v>0</v>
      </c>
      <c r="UBV54" s="5">
        <f>-IFERROR('4. NPV'!#REF!/'4. NPV'!UBW$8,0)</f>
        <v>0</v>
      </c>
      <c r="UBW54" s="5">
        <f>-IFERROR('4. NPV'!#REF!/'4. NPV'!UBX$8,0)</f>
        <v>0</v>
      </c>
      <c r="UBX54" s="5">
        <f>-IFERROR('4. NPV'!#REF!/'4. NPV'!UBY$8,0)</f>
        <v>0</v>
      </c>
      <c r="UBY54" s="5">
        <f>-IFERROR('4. NPV'!#REF!/'4. NPV'!UBZ$8,0)</f>
        <v>0</v>
      </c>
      <c r="UBZ54" s="5">
        <f>-IFERROR('4. NPV'!#REF!/'4. NPV'!UCA$8,0)</f>
        <v>0</v>
      </c>
      <c r="UCA54" s="5">
        <f>-IFERROR('4. NPV'!#REF!/'4. NPV'!UCB$8,0)</f>
        <v>0</v>
      </c>
      <c r="UCB54" s="5">
        <f>-IFERROR('4. NPV'!#REF!/'4. NPV'!UCC$8,0)</f>
        <v>0</v>
      </c>
      <c r="UCC54" s="5">
        <f>-IFERROR('4. NPV'!#REF!/'4. NPV'!UCD$8,0)</f>
        <v>0</v>
      </c>
      <c r="UCD54" s="5">
        <f>-IFERROR('4. NPV'!#REF!/'4. NPV'!UCE$8,0)</f>
        <v>0</v>
      </c>
      <c r="UCE54" s="5">
        <f>-IFERROR('4. NPV'!#REF!/'4. NPV'!UCF$8,0)</f>
        <v>0</v>
      </c>
      <c r="UCF54" s="5">
        <f>-IFERROR('4. NPV'!#REF!/'4. NPV'!UCG$8,0)</f>
        <v>0</v>
      </c>
      <c r="UCG54" s="5">
        <f>-IFERROR('4. NPV'!#REF!/'4. NPV'!UCH$8,0)</f>
        <v>0</v>
      </c>
      <c r="UCH54" s="5">
        <f>-IFERROR('4. NPV'!#REF!/'4. NPV'!UCI$8,0)</f>
        <v>0</v>
      </c>
      <c r="UCI54" s="5">
        <f>-IFERROR('4. NPV'!#REF!/'4. NPV'!UCJ$8,0)</f>
        <v>0</v>
      </c>
      <c r="UCJ54" s="5">
        <f>-IFERROR('4. NPV'!#REF!/'4. NPV'!UCK$8,0)</f>
        <v>0</v>
      </c>
      <c r="UCK54" s="5">
        <f>-IFERROR('4. NPV'!#REF!/'4. NPV'!UCL$8,0)</f>
        <v>0</v>
      </c>
      <c r="UCL54" s="5">
        <f>-IFERROR('4. NPV'!#REF!/'4. NPV'!UCM$8,0)</f>
        <v>0</v>
      </c>
      <c r="UCM54" s="5">
        <f>-IFERROR('4. NPV'!#REF!/'4. NPV'!UCN$8,0)</f>
        <v>0</v>
      </c>
      <c r="UCN54" s="5">
        <f>-IFERROR('4. NPV'!#REF!/'4. NPV'!UCO$8,0)</f>
        <v>0</v>
      </c>
      <c r="UCO54" s="5">
        <f>-IFERROR('4. NPV'!#REF!/'4. NPV'!UCP$8,0)</f>
        <v>0</v>
      </c>
      <c r="UCP54" s="5">
        <f>-IFERROR('4. NPV'!#REF!/'4. NPV'!UCQ$8,0)</f>
        <v>0</v>
      </c>
      <c r="UCQ54" s="5">
        <f>-IFERROR('4. NPV'!#REF!/'4. NPV'!UCR$8,0)</f>
        <v>0</v>
      </c>
      <c r="UCR54" s="5">
        <f>-IFERROR('4. NPV'!#REF!/'4. NPV'!UCS$8,0)</f>
        <v>0</v>
      </c>
      <c r="UCS54" s="5">
        <f>-IFERROR('4. NPV'!#REF!/'4. NPV'!UCT$8,0)</f>
        <v>0</v>
      </c>
      <c r="UCT54" s="5">
        <f>-IFERROR('4. NPV'!#REF!/'4. NPV'!UCU$8,0)</f>
        <v>0</v>
      </c>
      <c r="UCU54" s="5">
        <f>-IFERROR('4. NPV'!#REF!/'4. NPV'!UCV$8,0)</f>
        <v>0</v>
      </c>
      <c r="UCV54" s="5">
        <f>-IFERROR('4. NPV'!#REF!/'4. NPV'!UCW$8,0)</f>
        <v>0</v>
      </c>
      <c r="UCW54" s="5">
        <f>-IFERROR('4. NPV'!#REF!/'4. NPV'!UCX$8,0)</f>
        <v>0</v>
      </c>
      <c r="UCX54" s="5">
        <f>-IFERROR('4. NPV'!#REF!/'4. NPV'!UCY$8,0)</f>
        <v>0</v>
      </c>
      <c r="UCY54" s="5">
        <f>-IFERROR('4. NPV'!#REF!/'4. NPV'!UCZ$8,0)</f>
        <v>0</v>
      </c>
      <c r="UCZ54" s="5">
        <f>-IFERROR('4. NPV'!#REF!/'4. NPV'!UDA$8,0)</f>
        <v>0</v>
      </c>
      <c r="UDA54" s="5">
        <f>-IFERROR('4. NPV'!#REF!/'4. NPV'!UDB$8,0)</f>
        <v>0</v>
      </c>
      <c r="UDB54" s="5">
        <f>-IFERROR('4. NPV'!#REF!/'4. NPV'!UDC$8,0)</f>
        <v>0</v>
      </c>
      <c r="UDC54" s="5">
        <f>-IFERROR('4. NPV'!#REF!/'4. NPV'!UDD$8,0)</f>
        <v>0</v>
      </c>
      <c r="UDD54" s="5">
        <f>-IFERROR('4. NPV'!#REF!/'4. NPV'!UDE$8,0)</f>
        <v>0</v>
      </c>
      <c r="UDE54" s="5">
        <f>-IFERROR('4. NPV'!#REF!/'4. NPV'!UDF$8,0)</f>
        <v>0</v>
      </c>
      <c r="UDF54" s="5">
        <f>-IFERROR('4. NPV'!#REF!/'4. NPV'!UDG$8,0)</f>
        <v>0</v>
      </c>
      <c r="UDG54" s="5">
        <f>-IFERROR('4. NPV'!#REF!/'4. NPV'!UDH$8,0)</f>
        <v>0</v>
      </c>
      <c r="UDH54" s="5">
        <f>-IFERROR('4. NPV'!#REF!/'4. NPV'!UDI$8,0)</f>
        <v>0</v>
      </c>
      <c r="UDI54" s="5">
        <f>-IFERROR('4. NPV'!#REF!/'4. NPV'!UDJ$8,0)</f>
        <v>0</v>
      </c>
      <c r="UDJ54" s="5">
        <f>-IFERROR('4. NPV'!#REF!/'4. NPV'!UDK$8,0)</f>
        <v>0</v>
      </c>
      <c r="UDK54" s="5">
        <f>-IFERROR('4. NPV'!#REF!/'4. NPV'!UDL$8,0)</f>
        <v>0</v>
      </c>
      <c r="UDL54" s="5">
        <f>-IFERROR('4. NPV'!#REF!/'4. NPV'!UDM$8,0)</f>
        <v>0</v>
      </c>
      <c r="UDM54" s="5">
        <f>-IFERROR('4. NPV'!#REF!/'4. NPV'!UDN$8,0)</f>
        <v>0</v>
      </c>
      <c r="UDN54" s="5">
        <f>-IFERROR('4. NPV'!#REF!/'4. NPV'!UDO$8,0)</f>
        <v>0</v>
      </c>
      <c r="UDO54" s="5">
        <f>-IFERROR('4. NPV'!#REF!/'4. NPV'!UDP$8,0)</f>
        <v>0</v>
      </c>
      <c r="UDP54" s="5">
        <f>-IFERROR('4. NPV'!#REF!/'4. NPV'!UDQ$8,0)</f>
        <v>0</v>
      </c>
      <c r="UDQ54" s="5">
        <f>-IFERROR('4. NPV'!#REF!/'4. NPV'!UDR$8,0)</f>
        <v>0</v>
      </c>
      <c r="UDR54" s="5">
        <f>-IFERROR('4. NPV'!#REF!/'4. NPV'!UDS$8,0)</f>
        <v>0</v>
      </c>
      <c r="UDS54" s="5">
        <f>-IFERROR('4. NPV'!#REF!/'4. NPV'!UDT$8,0)</f>
        <v>0</v>
      </c>
      <c r="UDT54" s="5">
        <f>-IFERROR('4. NPV'!#REF!/'4. NPV'!UDU$8,0)</f>
        <v>0</v>
      </c>
      <c r="UDU54" s="5">
        <f>-IFERROR('4. NPV'!#REF!/'4. NPV'!UDV$8,0)</f>
        <v>0</v>
      </c>
      <c r="UDV54" s="5">
        <f>-IFERROR('4. NPV'!#REF!/'4. NPV'!UDW$8,0)</f>
        <v>0</v>
      </c>
      <c r="UDW54" s="5">
        <f>-IFERROR('4. NPV'!#REF!/'4. NPV'!UDX$8,0)</f>
        <v>0</v>
      </c>
      <c r="UDX54" s="5">
        <f>-IFERROR('4. NPV'!#REF!/'4. NPV'!UDY$8,0)</f>
        <v>0</v>
      </c>
      <c r="UDY54" s="5">
        <f>-IFERROR('4. NPV'!#REF!/'4. NPV'!UDZ$8,0)</f>
        <v>0</v>
      </c>
      <c r="UDZ54" s="5">
        <f>-IFERROR('4. NPV'!#REF!/'4. NPV'!UEA$8,0)</f>
        <v>0</v>
      </c>
      <c r="UEA54" s="5">
        <f>-IFERROR('4. NPV'!#REF!/'4. NPV'!UEB$8,0)</f>
        <v>0</v>
      </c>
      <c r="UEB54" s="5">
        <f>-IFERROR('4. NPV'!#REF!/'4. NPV'!UEC$8,0)</f>
        <v>0</v>
      </c>
      <c r="UEC54" s="5">
        <f>-IFERROR('4. NPV'!#REF!/'4. NPV'!UED$8,0)</f>
        <v>0</v>
      </c>
      <c r="UED54" s="5">
        <f>-IFERROR('4. NPV'!#REF!/'4. NPV'!UEE$8,0)</f>
        <v>0</v>
      </c>
      <c r="UEE54" s="5">
        <f>-IFERROR('4. NPV'!#REF!/'4. NPV'!UEF$8,0)</f>
        <v>0</v>
      </c>
      <c r="UEF54" s="5">
        <f>-IFERROR('4. NPV'!#REF!/'4. NPV'!UEG$8,0)</f>
        <v>0</v>
      </c>
      <c r="UEG54" s="5">
        <f>-IFERROR('4. NPV'!#REF!/'4. NPV'!UEH$8,0)</f>
        <v>0</v>
      </c>
      <c r="UEH54" s="5">
        <f>-IFERROR('4. NPV'!#REF!/'4. NPV'!UEI$8,0)</f>
        <v>0</v>
      </c>
      <c r="UEI54" s="5">
        <f>-IFERROR('4. NPV'!#REF!/'4. NPV'!UEJ$8,0)</f>
        <v>0</v>
      </c>
      <c r="UEJ54" s="5">
        <f>-IFERROR('4. NPV'!#REF!/'4. NPV'!UEK$8,0)</f>
        <v>0</v>
      </c>
      <c r="UEK54" s="5">
        <f>-IFERROR('4. NPV'!#REF!/'4. NPV'!UEL$8,0)</f>
        <v>0</v>
      </c>
      <c r="UEL54" s="5">
        <f>-IFERROR('4. NPV'!#REF!/'4. NPV'!UEM$8,0)</f>
        <v>0</v>
      </c>
      <c r="UEM54" s="5">
        <f>-IFERROR('4. NPV'!#REF!/'4. NPV'!UEN$8,0)</f>
        <v>0</v>
      </c>
      <c r="UEN54" s="5">
        <f>-IFERROR('4. NPV'!#REF!/'4. NPV'!UEO$8,0)</f>
        <v>0</v>
      </c>
      <c r="UEO54" s="5">
        <f>-IFERROR('4. NPV'!#REF!/'4. NPV'!UEP$8,0)</f>
        <v>0</v>
      </c>
      <c r="UEP54" s="5">
        <f>-IFERROR('4. NPV'!#REF!/'4. NPV'!UEQ$8,0)</f>
        <v>0</v>
      </c>
      <c r="UEQ54" s="5">
        <f>-IFERROR('4. NPV'!#REF!/'4. NPV'!UER$8,0)</f>
        <v>0</v>
      </c>
      <c r="UER54" s="5">
        <f>-IFERROR('4. NPV'!#REF!/'4. NPV'!UES$8,0)</f>
        <v>0</v>
      </c>
      <c r="UES54" s="5">
        <f>-IFERROR('4. NPV'!#REF!/'4. NPV'!UET$8,0)</f>
        <v>0</v>
      </c>
      <c r="UET54" s="5">
        <f>-IFERROR('4. NPV'!#REF!/'4. NPV'!UEU$8,0)</f>
        <v>0</v>
      </c>
      <c r="UEU54" s="5">
        <f>-IFERROR('4. NPV'!#REF!/'4. NPV'!UEV$8,0)</f>
        <v>0</v>
      </c>
      <c r="UEV54" s="5">
        <f>-IFERROR('4. NPV'!#REF!/'4. NPV'!UEW$8,0)</f>
        <v>0</v>
      </c>
      <c r="UEW54" s="5">
        <f>-IFERROR('4. NPV'!#REF!/'4. NPV'!UEX$8,0)</f>
        <v>0</v>
      </c>
      <c r="UEX54" s="5">
        <f>-IFERROR('4. NPV'!#REF!/'4. NPV'!UEY$8,0)</f>
        <v>0</v>
      </c>
      <c r="UEY54" s="5">
        <f>-IFERROR('4. NPV'!#REF!/'4. NPV'!UEZ$8,0)</f>
        <v>0</v>
      </c>
      <c r="UEZ54" s="5">
        <f>-IFERROR('4. NPV'!#REF!/'4. NPV'!UFA$8,0)</f>
        <v>0</v>
      </c>
      <c r="UFA54" s="5">
        <f>-IFERROR('4. NPV'!#REF!/'4. NPV'!UFB$8,0)</f>
        <v>0</v>
      </c>
      <c r="UFB54" s="5">
        <f>-IFERROR('4. NPV'!#REF!/'4. NPV'!UFC$8,0)</f>
        <v>0</v>
      </c>
      <c r="UFC54" s="5">
        <f>-IFERROR('4. NPV'!#REF!/'4. NPV'!UFD$8,0)</f>
        <v>0</v>
      </c>
      <c r="UFD54" s="5">
        <f>-IFERROR('4. NPV'!#REF!/'4. NPV'!UFE$8,0)</f>
        <v>0</v>
      </c>
      <c r="UFE54" s="5">
        <f>-IFERROR('4. NPV'!#REF!/'4. NPV'!UFF$8,0)</f>
        <v>0</v>
      </c>
      <c r="UFF54" s="5">
        <f>-IFERROR('4. NPV'!#REF!/'4. NPV'!UFG$8,0)</f>
        <v>0</v>
      </c>
      <c r="UFG54" s="5">
        <f>-IFERROR('4. NPV'!#REF!/'4. NPV'!UFH$8,0)</f>
        <v>0</v>
      </c>
      <c r="UFH54" s="5">
        <f>-IFERROR('4. NPV'!#REF!/'4. NPV'!UFI$8,0)</f>
        <v>0</v>
      </c>
      <c r="UFI54" s="5">
        <f>-IFERROR('4. NPV'!#REF!/'4. NPV'!UFJ$8,0)</f>
        <v>0</v>
      </c>
      <c r="UFJ54" s="5">
        <f>-IFERROR('4. NPV'!#REF!/'4. NPV'!UFK$8,0)</f>
        <v>0</v>
      </c>
      <c r="UFK54" s="5">
        <f>-IFERROR('4. NPV'!#REF!/'4. NPV'!UFL$8,0)</f>
        <v>0</v>
      </c>
      <c r="UFL54" s="5">
        <f>-IFERROR('4. NPV'!#REF!/'4. NPV'!UFM$8,0)</f>
        <v>0</v>
      </c>
      <c r="UFM54" s="5">
        <f>-IFERROR('4. NPV'!#REF!/'4. NPV'!UFN$8,0)</f>
        <v>0</v>
      </c>
      <c r="UFN54" s="5">
        <f>-IFERROR('4. NPV'!#REF!/'4. NPV'!UFO$8,0)</f>
        <v>0</v>
      </c>
      <c r="UFO54" s="5">
        <f>-IFERROR('4. NPV'!#REF!/'4. NPV'!UFP$8,0)</f>
        <v>0</v>
      </c>
      <c r="UFP54" s="5">
        <f>-IFERROR('4. NPV'!#REF!/'4. NPV'!UFQ$8,0)</f>
        <v>0</v>
      </c>
      <c r="UFQ54" s="5">
        <f>-IFERROR('4. NPV'!#REF!/'4. NPV'!UFR$8,0)</f>
        <v>0</v>
      </c>
      <c r="UFR54" s="5">
        <f>-IFERROR('4. NPV'!#REF!/'4. NPV'!UFS$8,0)</f>
        <v>0</v>
      </c>
      <c r="UFS54" s="5">
        <f>-IFERROR('4. NPV'!#REF!/'4. NPV'!UFT$8,0)</f>
        <v>0</v>
      </c>
      <c r="UFT54" s="5">
        <f>-IFERROR('4. NPV'!#REF!/'4. NPV'!UFU$8,0)</f>
        <v>0</v>
      </c>
      <c r="UFU54" s="5">
        <f>-IFERROR('4. NPV'!#REF!/'4. NPV'!UFV$8,0)</f>
        <v>0</v>
      </c>
      <c r="UFV54" s="5">
        <f>-IFERROR('4. NPV'!#REF!/'4. NPV'!UFW$8,0)</f>
        <v>0</v>
      </c>
      <c r="UFW54" s="5">
        <f>-IFERROR('4. NPV'!#REF!/'4. NPV'!UFX$8,0)</f>
        <v>0</v>
      </c>
      <c r="UFX54" s="5">
        <f>-IFERROR('4. NPV'!#REF!/'4. NPV'!UFY$8,0)</f>
        <v>0</v>
      </c>
      <c r="UFY54" s="5">
        <f>-IFERROR('4. NPV'!#REF!/'4. NPV'!UFZ$8,0)</f>
        <v>0</v>
      </c>
      <c r="UFZ54" s="5">
        <f>-IFERROR('4. NPV'!#REF!/'4. NPV'!UGA$8,0)</f>
        <v>0</v>
      </c>
      <c r="UGA54" s="5">
        <f>-IFERROR('4. NPV'!#REF!/'4. NPV'!UGB$8,0)</f>
        <v>0</v>
      </c>
      <c r="UGB54" s="5">
        <f>-IFERROR('4. NPV'!#REF!/'4. NPV'!UGC$8,0)</f>
        <v>0</v>
      </c>
      <c r="UGC54" s="5">
        <f>-IFERROR('4. NPV'!#REF!/'4. NPV'!UGD$8,0)</f>
        <v>0</v>
      </c>
      <c r="UGD54" s="5">
        <f>-IFERROR('4. NPV'!#REF!/'4. NPV'!UGE$8,0)</f>
        <v>0</v>
      </c>
      <c r="UGE54" s="5">
        <f>-IFERROR('4. NPV'!#REF!/'4. NPV'!UGF$8,0)</f>
        <v>0</v>
      </c>
      <c r="UGF54" s="5">
        <f>-IFERROR('4. NPV'!#REF!/'4. NPV'!UGG$8,0)</f>
        <v>0</v>
      </c>
      <c r="UGG54" s="5">
        <f>-IFERROR('4. NPV'!#REF!/'4. NPV'!UGH$8,0)</f>
        <v>0</v>
      </c>
      <c r="UGH54" s="5">
        <f>-IFERROR('4. NPV'!#REF!/'4. NPV'!UGI$8,0)</f>
        <v>0</v>
      </c>
      <c r="UGI54" s="5">
        <f>-IFERROR('4. NPV'!#REF!/'4. NPV'!UGJ$8,0)</f>
        <v>0</v>
      </c>
      <c r="UGJ54" s="5">
        <f>-IFERROR('4. NPV'!#REF!/'4. NPV'!UGK$8,0)</f>
        <v>0</v>
      </c>
      <c r="UGK54" s="5">
        <f>-IFERROR('4. NPV'!#REF!/'4. NPV'!UGL$8,0)</f>
        <v>0</v>
      </c>
      <c r="UGL54" s="5">
        <f>-IFERROR('4. NPV'!#REF!/'4. NPV'!UGM$8,0)</f>
        <v>0</v>
      </c>
      <c r="UGM54" s="5">
        <f>-IFERROR('4. NPV'!#REF!/'4. NPV'!UGN$8,0)</f>
        <v>0</v>
      </c>
      <c r="UGN54" s="5">
        <f>-IFERROR('4. NPV'!#REF!/'4. NPV'!UGO$8,0)</f>
        <v>0</v>
      </c>
      <c r="UGO54" s="5">
        <f>-IFERROR('4. NPV'!#REF!/'4. NPV'!UGP$8,0)</f>
        <v>0</v>
      </c>
      <c r="UGP54" s="5">
        <f>-IFERROR('4. NPV'!#REF!/'4. NPV'!UGQ$8,0)</f>
        <v>0</v>
      </c>
      <c r="UGQ54" s="5">
        <f>-IFERROR('4. NPV'!#REF!/'4. NPV'!UGR$8,0)</f>
        <v>0</v>
      </c>
      <c r="UGR54" s="5">
        <f>-IFERROR('4. NPV'!#REF!/'4. NPV'!UGS$8,0)</f>
        <v>0</v>
      </c>
      <c r="UGS54" s="5">
        <f>-IFERROR('4. NPV'!#REF!/'4. NPV'!UGT$8,0)</f>
        <v>0</v>
      </c>
      <c r="UGT54" s="5">
        <f>-IFERROR('4. NPV'!#REF!/'4. NPV'!UGU$8,0)</f>
        <v>0</v>
      </c>
      <c r="UGU54" s="5">
        <f>-IFERROR('4. NPV'!#REF!/'4. NPV'!UGV$8,0)</f>
        <v>0</v>
      </c>
      <c r="UGV54" s="5">
        <f>-IFERROR('4. NPV'!#REF!/'4. NPV'!UGW$8,0)</f>
        <v>0</v>
      </c>
      <c r="UGW54" s="5">
        <f>-IFERROR('4. NPV'!#REF!/'4. NPV'!UGX$8,0)</f>
        <v>0</v>
      </c>
      <c r="UGX54" s="5">
        <f>-IFERROR('4. NPV'!#REF!/'4. NPV'!UGY$8,0)</f>
        <v>0</v>
      </c>
      <c r="UGY54" s="5">
        <f>-IFERROR('4. NPV'!#REF!/'4. NPV'!UGZ$8,0)</f>
        <v>0</v>
      </c>
      <c r="UGZ54" s="5">
        <f>-IFERROR('4. NPV'!#REF!/'4. NPV'!UHA$8,0)</f>
        <v>0</v>
      </c>
      <c r="UHA54" s="5">
        <f>-IFERROR('4. NPV'!#REF!/'4. NPV'!UHB$8,0)</f>
        <v>0</v>
      </c>
      <c r="UHB54" s="5">
        <f>-IFERROR('4. NPV'!#REF!/'4. NPV'!UHC$8,0)</f>
        <v>0</v>
      </c>
      <c r="UHC54" s="5">
        <f>-IFERROR('4. NPV'!#REF!/'4. NPV'!UHD$8,0)</f>
        <v>0</v>
      </c>
      <c r="UHD54" s="5">
        <f>-IFERROR('4. NPV'!#REF!/'4. NPV'!UHE$8,0)</f>
        <v>0</v>
      </c>
      <c r="UHE54" s="5">
        <f>-IFERROR('4. NPV'!#REF!/'4. NPV'!UHF$8,0)</f>
        <v>0</v>
      </c>
      <c r="UHF54" s="5">
        <f>-IFERROR('4. NPV'!#REF!/'4. NPV'!UHG$8,0)</f>
        <v>0</v>
      </c>
      <c r="UHG54" s="5">
        <f>-IFERROR('4. NPV'!#REF!/'4. NPV'!UHH$8,0)</f>
        <v>0</v>
      </c>
      <c r="UHH54" s="5">
        <f>-IFERROR('4. NPV'!#REF!/'4. NPV'!UHI$8,0)</f>
        <v>0</v>
      </c>
      <c r="UHI54" s="5">
        <f>-IFERROR('4. NPV'!#REF!/'4. NPV'!UHJ$8,0)</f>
        <v>0</v>
      </c>
      <c r="UHJ54" s="5">
        <f>-IFERROR('4. NPV'!#REF!/'4. NPV'!UHK$8,0)</f>
        <v>0</v>
      </c>
      <c r="UHK54" s="5">
        <f>-IFERROR('4. NPV'!#REF!/'4. NPV'!UHL$8,0)</f>
        <v>0</v>
      </c>
      <c r="UHL54" s="5">
        <f>-IFERROR('4. NPV'!#REF!/'4. NPV'!UHM$8,0)</f>
        <v>0</v>
      </c>
      <c r="UHM54" s="5">
        <f>-IFERROR('4. NPV'!#REF!/'4. NPV'!UHN$8,0)</f>
        <v>0</v>
      </c>
      <c r="UHN54" s="5">
        <f>-IFERROR('4. NPV'!#REF!/'4. NPV'!UHO$8,0)</f>
        <v>0</v>
      </c>
      <c r="UHO54" s="5">
        <f>-IFERROR('4. NPV'!#REF!/'4. NPV'!UHP$8,0)</f>
        <v>0</v>
      </c>
      <c r="UHP54" s="5">
        <f>-IFERROR('4. NPV'!#REF!/'4. NPV'!UHQ$8,0)</f>
        <v>0</v>
      </c>
      <c r="UHQ54" s="5">
        <f>-IFERROR('4. NPV'!#REF!/'4. NPV'!UHR$8,0)</f>
        <v>0</v>
      </c>
      <c r="UHR54" s="5">
        <f>-IFERROR('4. NPV'!#REF!/'4. NPV'!UHS$8,0)</f>
        <v>0</v>
      </c>
      <c r="UHS54" s="5">
        <f>-IFERROR('4. NPV'!#REF!/'4. NPV'!UHT$8,0)</f>
        <v>0</v>
      </c>
      <c r="UHT54" s="5">
        <f>-IFERROR('4. NPV'!#REF!/'4. NPV'!UHU$8,0)</f>
        <v>0</v>
      </c>
      <c r="UHU54" s="5">
        <f>-IFERROR('4. NPV'!#REF!/'4. NPV'!UHV$8,0)</f>
        <v>0</v>
      </c>
      <c r="UHV54" s="5">
        <f>-IFERROR('4. NPV'!#REF!/'4. NPV'!UHW$8,0)</f>
        <v>0</v>
      </c>
      <c r="UHW54" s="5">
        <f>-IFERROR('4. NPV'!#REF!/'4. NPV'!UHX$8,0)</f>
        <v>0</v>
      </c>
      <c r="UHX54" s="5">
        <f>-IFERROR('4. NPV'!#REF!/'4. NPV'!UHY$8,0)</f>
        <v>0</v>
      </c>
      <c r="UHY54" s="5">
        <f>-IFERROR('4. NPV'!#REF!/'4. NPV'!UHZ$8,0)</f>
        <v>0</v>
      </c>
      <c r="UHZ54" s="5">
        <f>-IFERROR('4. NPV'!#REF!/'4. NPV'!UIA$8,0)</f>
        <v>0</v>
      </c>
      <c r="UIA54" s="5">
        <f>-IFERROR('4. NPV'!#REF!/'4. NPV'!UIB$8,0)</f>
        <v>0</v>
      </c>
      <c r="UIB54" s="5">
        <f>-IFERROR('4. NPV'!#REF!/'4. NPV'!UIC$8,0)</f>
        <v>0</v>
      </c>
      <c r="UIC54" s="5">
        <f>-IFERROR('4. NPV'!#REF!/'4. NPV'!UID$8,0)</f>
        <v>0</v>
      </c>
      <c r="UID54" s="5">
        <f>-IFERROR('4. NPV'!#REF!/'4. NPV'!UIE$8,0)</f>
        <v>0</v>
      </c>
      <c r="UIE54" s="5">
        <f>-IFERROR('4. NPV'!#REF!/'4. NPV'!UIF$8,0)</f>
        <v>0</v>
      </c>
      <c r="UIF54" s="5">
        <f>-IFERROR('4. NPV'!#REF!/'4. NPV'!UIG$8,0)</f>
        <v>0</v>
      </c>
      <c r="UIG54" s="5">
        <f>-IFERROR('4. NPV'!#REF!/'4. NPV'!UIH$8,0)</f>
        <v>0</v>
      </c>
      <c r="UIH54" s="5">
        <f>-IFERROR('4. NPV'!#REF!/'4. NPV'!UII$8,0)</f>
        <v>0</v>
      </c>
      <c r="UII54" s="5">
        <f>-IFERROR('4. NPV'!#REF!/'4. NPV'!UIJ$8,0)</f>
        <v>0</v>
      </c>
      <c r="UIJ54" s="5">
        <f>-IFERROR('4. NPV'!#REF!/'4. NPV'!UIK$8,0)</f>
        <v>0</v>
      </c>
      <c r="UIK54" s="5">
        <f>-IFERROR('4. NPV'!#REF!/'4. NPV'!UIL$8,0)</f>
        <v>0</v>
      </c>
      <c r="UIL54" s="5">
        <f>-IFERROR('4. NPV'!#REF!/'4. NPV'!UIM$8,0)</f>
        <v>0</v>
      </c>
      <c r="UIM54" s="5">
        <f>-IFERROR('4. NPV'!#REF!/'4. NPV'!UIN$8,0)</f>
        <v>0</v>
      </c>
      <c r="UIN54" s="5">
        <f>-IFERROR('4. NPV'!#REF!/'4. NPV'!UIO$8,0)</f>
        <v>0</v>
      </c>
      <c r="UIO54" s="5">
        <f>-IFERROR('4. NPV'!#REF!/'4. NPV'!UIP$8,0)</f>
        <v>0</v>
      </c>
      <c r="UIP54" s="5">
        <f>-IFERROR('4. NPV'!#REF!/'4. NPV'!UIQ$8,0)</f>
        <v>0</v>
      </c>
      <c r="UIQ54" s="5">
        <f>-IFERROR('4. NPV'!#REF!/'4. NPV'!UIR$8,0)</f>
        <v>0</v>
      </c>
      <c r="UIR54" s="5">
        <f>-IFERROR('4. NPV'!#REF!/'4. NPV'!UIS$8,0)</f>
        <v>0</v>
      </c>
      <c r="UIS54" s="5">
        <f>-IFERROR('4. NPV'!#REF!/'4. NPV'!UIT$8,0)</f>
        <v>0</v>
      </c>
      <c r="UIT54" s="5">
        <f>-IFERROR('4. NPV'!#REF!/'4. NPV'!UIU$8,0)</f>
        <v>0</v>
      </c>
      <c r="UIU54" s="5">
        <f>-IFERROR('4. NPV'!#REF!/'4. NPV'!UIV$8,0)</f>
        <v>0</v>
      </c>
      <c r="UIV54" s="5">
        <f>-IFERROR('4. NPV'!#REF!/'4. NPV'!UIW$8,0)</f>
        <v>0</v>
      </c>
      <c r="UIW54" s="5">
        <f>-IFERROR('4. NPV'!#REF!/'4. NPV'!UIX$8,0)</f>
        <v>0</v>
      </c>
      <c r="UIX54" s="5">
        <f>-IFERROR('4. NPV'!#REF!/'4. NPV'!UIY$8,0)</f>
        <v>0</v>
      </c>
      <c r="UIY54" s="5">
        <f>-IFERROR('4. NPV'!#REF!/'4. NPV'!UIZ$8,0)</f>
        <v>0</v>
      </c>
      <c r="UIZ54" s="5">
        <f>-IFERROR('4. NPV'!#REF!/'4. NPV'!UJA$8,0)</f>
        <v>0</v>
      </c>
      <c r="UJA54" s="5">
        <f>-IFERROR('4. NPV'!#REF!/'4. NPV'!UJB$8,0)</f>
        <v>0</v>
      </c>
      <c r="UJB54" s="5">
        <f>-IFERROR('4. NPV'!#REF!/'4. NPV'!UJC$8,0)</f>
        <v>0</v>
      </c>
      <c r="UJC54" s="5">
        <f>-IFERROR('4. NPV'!#REF!/'4. NPV'!UJD$8,0)</f>
        <v>0</v>
      </c>
      <c r="UJD54" s="5">
        <f>-IFERROR('4. NPV'!#REF!/'4. NPV'!UJE$8,0)</f>
        <v>0</v>
      </c>
      <c r="UJE54" s="5">
        <f>-IFERROR('4. NPV'!#REF!/'4. NPV'!UJF$8,0)</f>
        <v>0</v>
      </c>
      <c r="UJF54" s="5">
        <f>-IFERROR('4. NPV'!#REF!/'4. NPV'!UJG$8,0)</f>
        <v>0</v>
      </c>
      <c r="UJG54" s="5">
        <f>-IFERROR('4. NPV'!#REF!/'4. NPV'!UJH$8,0)</f>
        <v>0</v>
      </c>
      <c r="UJH54" s="5">
        <f>-IFERROR('4. NPV'!#REF!/'4. NPV'!UJI$8,0)</f>
        <v>0</v>
      </c>
      <c r="UJI54" s="5">
        <f>-IFERROR('4. NPV'!#REF!/'4. NPV'!UJJ$8,0)</f>
        <v>0</v>
      </c>
      <c r="UJJ54" s="5">
        <f>-IFERROR('4. NPV'!#REF!/'4. NPV'!UJK$8,0)</f>
        <v>0</v>
      </c>
      <c r="UJK54" s="5">
        <f>-IFERROR('4. NPV'!#REF!/'4. NPV'!UJL$8,0)</f>
        <v>0</v>
      </c>
      <c r="UJL54" s="5">
        <f>-IFERROR('4. NPV'!#REF!/'4. NPV'!UJM$8,0)</f>
        <v>0</v>
      </c>
      <c r="UJM54" s="5">
        <f>-IFERROR('4. NPV'!#REF!/'4. NPV'!UJN$8,0)</f>
        <v>0</v>
      </c>
      <c r="UJN54" s="5">
        <f>-IFERROR('4. NPV'!#REF!/'4. NPV'!UJO$8,0)</f>
        <v>0</v>
      </c>
      <c r="UJO54" s="5">
        <f>-IFERROR('4. NPV'!#REF!/'4. NPV'!UJP$8,0)</f>
        <v>0</v>
      </c>
      <c r="UJP54" s="5">
        <f>-IFERROR('4. NPV'!#REF!/'4. NPV'!UJQ$8,0)</f>
        <v>0</v>
      </c>
      <c r="UJQ54" s="5">
        <f>-IFERROR('4. NPV'!#REF!/'4. NPV'!UJR$8,0)</f>
        <v>0</v>
      </c>
      <c r="UJR54" s="5">
        <f>-IFERROR('4. NPV'!#REF!/'4. NPV'!UJS$8,0)</f>
        <v>0</v>
      </c>
      <c r="UJS54" s="5">
        <f>-IFERROR('4. NPV'!#REF!/'4. NPV'!UJT$8,0)</f>
        <v>0</v>
      </c>
      <c r="UJT54" s="5">
        <f>-IFERROR('4. NPV'!#REF!/'4. NPV'!UJU$8,0)</f>
        <v>0</v>
      </c>
      <c r="UJU54" s="5">
        <f>-IFERROR('4. NPV'!#REF!/'4. NPV'!UJV$8,0)</f>
        <v>0</v>
      </c>
      <c r="UJV54" s="5">
        <f>-IFERROR('4. NPV'!#REF!/'4. NPV'!UJW$8,0)</f>
        <v>0</v>
      </c>
      <c r="UJW54" s="5">
        <f>-IFERROR('4. NPV'!#REF!/'4. NPV'!UJX$8,0)</f>
        <v>0</v>
      </c>
      <c r="UJX54" s="5">
        <f>-IFERROR('4. NPV'!#REF!/'4. NPV'!UJY$8,0)</f>
        <v>0</v>
      </c>
      <c r="UJY54" s="5">
        <f>-IFERROR('4. NPV'!#REF!/'4. NPV'!UJZ$8,0)</f>
        <v>0</v>
      </c>
      <c r="UJZ54" s="5">
        <f>-IFERROR('4. NPV'!#REF!/'4. NPV'!UKA$8,0)</f>
        <v>0</v>
      </c>
      <c r="UKA54" s="5">
        <f>-IFERROR('4. NPV'!#REF!/'4. NPV'!UKB$8,0)</f>
        <v>0</v>
      </c>
      <c r="UKB54" s="5">
        <f>-IFERROR('4. NPV'!#REF!/'4. NPV'!UKC$8,0)</f>
        <v>0</v>
      </c>
      <c r="UKC54" s="5">
        <f>-IFERROR('4. NPV'!#REF!/'4. NPV'!UKD$8,0)</f>
        <v>0</v>
      </c>
      <c r="UKD54" s="5">
        <f>-IFERROR('4. NPV'!#REF!/'4. NPV'!UKE$8,0)</f>
        <v>0</v>
      </c>
      <c r="UKE54" s="5">
        <f>-IFERROR('4. NPV'!#REF!/'4. NPV'!UKF$8,0)</f>
        <v>0</v>
      </c>
      <c r="UKF54" s="5">
        <f>-IFERROR('4. NPV'!#REF!/'4. NPV'!UKG$8,0)</f>
        <v>0</v>
      </c>
      <c r="UKG54" s="5">
        <f>-IFERROR('4. NPV'!#REF!/'4. NPV'!UKH$8,0)</f>
        <v>0</v>
      </c>
      <c r="UKH54" s="5">
        <f>-IFERROR('4. NPV'!#REF!/'4. NPV'!UKI$8,0)</f>
        <v>0</v>
      </c>
      <c r="UKI54" s="5">
        <f>-IFERROR('4. NPV'!#REF!/'4. NPV'!UKJ$8,0)</f>
        <v>0</v>
      </c>
      <c r="UKJ54" s="5">
        <f>-IFERROR('4. NPV'!#REF!/'4. NPV'!UKK$8,0)</f>
        <v>0</v>
      </c>
      <c r="UKK54" s="5">
        <f>-IFERROR('4. NPV'!#REF!/'4. NPV'!UKL$8,0)</f>
        <v>0</v>
      </c>
      <c r="UKL54" s="5">
        <f>-IFERROR('4. NPV'!#REF!/'4. NPV'!UKM$8,0)</f>
        <v>0</v>
      </c>
      <c r="UKM54" s="5">
        <f>-IFERROR('4. NPV'!#REF!/'4. NPV'!UKN$8,0)</f>
        <v>0</v>
      </c>
      <c r="UKN54" s="5">
        <f>-IFERROR('4. NPV'!#REF!/'4. NPV'!UKO$8,0)</f>
        <v>0</v>
      </c>
      <c r="UKO54" s="5">
        <f>-IFERROR('4. NPV'!#REF!/'4. NPV'!UKP$8,0)</f>
        <v>0</v>
      </c>
      <c r="UKP54" s="5">
        <f>-IFERROR('4. NPV'!#REF!/'4. NPV'!UKQ$8,0)</f>
        <v>0</v>
      </c>
      <c r="UKQ54" s="5">
        <f>-IFERROR('4. NPV'!#REF!/'4. NPV'!UKR$8,0)</f>
        <v>0</v>
      </c>
      <c r="UKR54" s="5">
        <f>-IFERROR('4. NPV'!#REF!/'4. NPV'!UKS$8,0)</f>
        <v>0</v>
      </c>
      <c r="UKS54" s="5">
        <f>-IFERROR('4. NPV'!#REF!/'4. NPV'!UKT$8,0)</f>
        <v>0</v>
      </c>
      <c r="UKT54" s="5">
        <f>-IFERROR('4. NPV'!#REF!/'4. NPV'!UKU$8,0)</f>
        <v>0</v>
      </c>
      <c r="UKU54" s="5">
        <f>-IFERROR('4. NPV'!#REF!/'4. NPV'!UKV$8,0)</f>
        <v>0</v>
      </c>
      <c r="UKV54" s="5">
        <f>-IFERROR('4. NPV'!#REF!/'4. NPV'!UKW$8,0)</f>
        <v>0</v>
      </c>
      <c r="UKW54" s="5">
        <f>-IFERROR('4. NPV'!#REF!/'4. NPV'!UKX$8,0)</f>
        <v>0</v>
      </c>
      <c r="UKX54" s="5">
        <f>-IFERROR('4. NPV'!#REF!/'4. NPV'!UKY$8,0)</f>
        <v>0</v>
      </c>
      <c r="UKY54" s="5">
        <f>-IFERROR('4. NPV'!#REF!/'4. NPV'!UKZ$8,0)</f>
        <v>0</v>
      </c>
      <c r="UKZ54" s="5">
        <f>-IFERROR('4. NPV'!#REF!/'4. NPV'!ULA$8,0)</f>
        <v>0</v>
      </c>
      <c r="ULA54" s="5">
        <f>-IFERROR('4. NPV'!#REF!/'4. NPV'!ULB$8,0)</f>
        <v>0</v>
      </c>
      <c r="ULB54" s="5">
        <f>-IFERROR('4. NPV'!#REF!/'4. NPV'!ULC$8,0)</f>
        <v>0</v>
      </c>
      <c r="ULC54" s="5">
        <f>-IFERROR('4. NPV'!#REF!/'4. NPV'!ULD$8,0)</f>
        <v>0</v>
      </c>
      <c r="ULD54" s="5">
        <f>-IFERROR('4. NPV'!#REF!/'4. NPV'!ULE$8,0)</f>
        <v>0</v>
      </c>
      <c r="ULE54" s="5">
        <f>-IFERROR('4. NPV'!#REF!/'4. NPV'!ULF$8,0)</f>
        <v>0</v>
      </c>
      <c r="ULF54" s="5">
        <f>-IFERROR('4. NPV'!#REF!/'4. NPV'!ULG$8,0)</f>
        <v>0</v>
      </c>
      <c r="ULG54" s="5">
        <f>-IFERROR('4. NPV'!#REF!/'4. NPV'!ULH$8,0)</f>
        <v>0</v>
      </c>
      <c r="ULH54" s="5">
        <f>-IFERROR('4. NPV'!#REF!/'4. NPV'!ULI$8,0)</f>
        <v>0</v>
      </c>
      <c r="ULI54" s="5">
        <f>-IFERROR('4. NPV'!#REF!/'4. NPV'!ULJ$8,0)</f>
        <v>0</v>
      </c>
      <c r="ULJ54" s="5">
        <f>-IFERROR('4. NPV'!#REF!/'4. NPV'!ULK$8,0)</f>
        <v>0</v>
      </c>
      <c r="ULK54" s="5">
        <f>-IFERROR('4. NPV'!#REF!/'4. NPV'!ULL$8,0)</f>
        <v>0</v>
      </c>
      <c r="ULL54" s="5">
        <f>-IFERROR('4. NPV'!#REF!/'4. NPV'!ULM$8,0)</f>
        <v>0</v>
      </c>
      <c r="ULM54" s="5">
        <f>-IFERROR('4. NPV'!#REF!/'4. NPV'!ULN$8,0)</f>
        <v>0</v>
      </c>
      <c r="ULN54" s="5">
        <f>-IFERROR('4. NPV'!#REF!/'4. NPV'!ULO$8,0)</f>
        <v>0</v>
      </c>
      <c r="ULO54" s="5">
        <f>-IFERROR('4. NPV'!#REF!/'4. NPV'!ULP$8,0)</f>
        <v>0</v>
      </c>
      <c r="ULP54" s="5">
        <f>-IFERROR('4. NPV'!#REF!/'4. NPV'!ULQ$8,0)</f>
        <v>0</v>
      </c>
      <c r="ULQ54" s="5">
        <f>-IFERROR('4. NPV'!#REF!/'4. NPV'!ULR$8,0)</f>
        <v>0</v>
      </c>
      <c r="ULR54" s="5">
        <f>-IFERROR('4. NPV'!#REF!/'4. NPV'!ULS$8,0)</f>
        <v>0</v>
      </c>
      <c r="ULS54" s="5">
        <f>-IFERROR('4. NPV'!#REF!/'4. NPV'!ULT$8,0)</f>
        <v>0</v>
      </c>
      <c r="ULT54" s="5">
        <f>-IFERROR('4. NPV'!#REF!/'4. NPV'!ULU$8,0)</f>
        <v>0</v>
      </c>
      <c r="ULU54" s="5">
        <f>-IFERROR('4. NPV'!#REF!/'4. NPV'!ULV$8,0)</f>
        <v>0</v>
      </c>
      <c r="ULV54" s="5">
        <f>-IFERROR('4. NPV'!#REF!/'4. NPV'!ULW$8,0)</f>
        <v>0</v>
      </c>
      <c r="ULW54" s="5">
        <f>-IFERROR('4. NPV'!#REF!/'4. NPV'!ULX$8,0)</f>
        <v>0</v>
      </c>
      <c r="ULX54" s="5">
        <f>-IFERROR('4. NPV'!#REF!/'4. NPV'!ULY$8,0)</f>
        <v>0</v>
      </c>
      <c r="ULY54" s="5">
        <f>-IFERROR('4. NPV'!#REF!/'4. NPV'!ULZ$8,0)</f>
        <v>0</v>
      </c>
      <c r="ULZ54" s="5">
        <f>-IFERROR('4. NPV'!#REF!/'4. NPV'!UMA$8,0)</f>
        <v>0</v>
      </c>
      <c r="UMA54" s="5">
        <f>-IFERROR('4. NPV'!#REF!/'4. NPV'!UMB$8,0)</f>
        <v>0</v>
      </c>
      <c r="UMB54" s="5">
        <f>-IFERROR('4. NPV'!#REF!/'4. NPV'!UMC$8,0)</f>
        <v>0</v>
      </c>
      <c r="UMC54" s="5">
        <f>-IFERROR('4. NPV'!#REF!/'4. NPV'!UMD$8,0)</f>
        <v>0</v>
      </c>
      <c r="UMD54" s="5">
        <f>-IFERROR('4. NPV'!#REF!/'4. NPV'!UME$8,0)</f>
        <v>0</v>
      </c>
      <c r="UME54" s="5">
        <f>-IFERROR('4. NPV'!#REF!/'4. NPV'!UMF$8,0)</f>
        <v>0</v>
      </c>
      <c r="UMF54" s="5">
        <f>-IFERROR('4. NPV'!#REF!/'4. NPV'!UMG$8,0)</f>
        <v>0</v>
      </c>
      <c r="UMG54" s="5">
        <f>-IFERROR('4. NPV'!#REF!/'4. NPV'!UMH$8,0)</f>
        <v>0</v>
      </c>
      <c r="UMH54" s="5">
        <f>-IFERROR('4. NPV'!#REF!/'4. NPV'!UMI$8,0)</f>
        <v>0</v>
      </c>
      <c r="UMI54" s="5">
        <f>-IFERROR('4. NPV'!#REF!/'4. NPV'!UMJ$8,0)</f>
        <v>0</v>
      </c>
      <c r="UMJ54" s="5">
        <f>-IFERROR('4. NPV'!#REF!/'4. NPV'!UMK$8,0)</f>
        <v>0</v>
      </c>
      <c r="UMK54" s="5">
        <f>-IFERROR('4. NPV'!#REF!/'4. NPV'!UML$8,0)</f>
        <v>0</v>
      </c>
      <c r="UML54" s="5">
        <f>-IFERROR('4. NPV'!#REF!/'4. NPV'!UMM$8,0)</f>
        <v>0</v>
      </c>
      <c r="UMM54" s="5">
        <f>-IFERROR('4. NPV'!#REF!/'4. NPV'!UMN$8,0)</f>
        <v>0</v>
      </c>
      <c r="UMN54" s="5">
        <f>-IFERROR('4. NPV'!#REF!/'4. NPV'!UMO$8,0)</f>
        <v>0</v>
      </c>
      <c r="UMO54" s="5">
        <f>-IFERROR('4. NPV'!#REF!/'4. NPV'!UMP$8,0)</f>
        <v>0</v>
      </c>
      <c r="UMP54" s="5">
        <f>-IFERROR('4. NPV'!#REF!/'4. NPV'!UMQ$8,0)</f>
        <v>0</v>
      </c>
      <c r="UMQ54" s="5">
        <f>-IFERROR('4. NPV'!#REF!/'4. NPV'!UMR$8,0)</f>
        <v>0</v>
      </c>
      <c r="UMR54" s="5">
        <f>-IFERROR('4. NPV'!#REF!/'4. NPV'!UMS$8,0)</f>
        <v>0</v>
      </c>
      <c r="UMS54" s="5">
        <f>-IFERROR('4. NPV'!#REF!/'4. NPV'!UMT$8,0)</f>
        <v>0</v>
      </c>
      <c r="UMT54" s="5">
        <f>-IFERROR('4. NPV'!#REF!/'4. NPV'!UMU$8,0)</f>
        <v>0</v>
      </c>
      <c r="UMU54" s="5">
        <f>-IFERROR('4. NPV'!#REF!/'4. NPV'!UMV$8,0)</f>
        <v>0</v>
      </c>
      <c r="UMV54" s="5">
        <f>-IFERROR('4. NPV'!#REF!/'4. NPV'!UMW$8,0)</f>
        <v>0</v>
      </c>
      <c r="UMW54" s="5">
        <f>-IFERROR('4. NPV'!#REF!/'4. NPV'!UMX$8,0)</f>
        <v>0</v>
      </c>
      <c r="UMX54" s="5">
        <f>-IFERROR('4. NPV'!#REF!/'4. NPV'!UMY$8,0)</f>
        <v>0</v>
      </c>
      <c r="UMY54" s="5">
        <f>-IFERROR('4. NPV'!#REF!/'4. NPV'!UMZ$8,0)</f>
        <v>0</v>
      </c>
      <c r="UMZ54" s="5">
        <f>-IFERROR('4. NPV'!#REF!/'4. NPV'!UNA$8,0)</f>
        <v>0</v>
      </c>
      <c r="UNA54" s="5">
        <f>-IFERROR('4. NPV'!#REF!/'4. NPV'!UNB$8,0)</f>
        <v>0</v>
      </c>
      <c r="UNB54" s="5">
        <f>-IFERROR('4. NPV'!#REF!/'4. NPV'!UNC$8,0)</f>
        <v>0</v>
      </c>
      <c r="UNC54" s="5">
        <f>-IFERROR('4. NPV'!#REF!/'4. NPV'!UND$8,0)</f>
        <v>0</v>
      </c>
      <c r="UND54" s="5">
        <f>-IFERROR('4. NPV'!#REF!/'4. NPV'!UNE$8,0)</f>
        <v>0</v>
      </c>
      <c r="UNE54" s="5">
        <f>-IFERROR('4. NPV'!#REF!/'4. NPV'!UNF$8,0)</f>
        <v>0</v>
      </c>
      <c r="UNF54" s="5">
        <f>-IFERROR('4. NPV'!#REF!/'4. NPV'!UNG$8,0)</f>
        <v>0</v>
      </c>
      <c r="UNG54" s="5">
        <f>-IFERROR('4. NPV'!#REF!/'4. NPV'!UNH$8,0)</f>
        <v>0</v>
      </c>
      <c r="UNH54" s="5">
        <f>-IFERROR('4. NPV'!#REF!/'4. NPV'!UNI$8,0)</f>
        <v>0</v>
      </c>
      <c r="UNI54" s="5">
        <f>-IFERROR('4. NPV'!#REF!/'4. NPV'!UNJ$8,0)</f>
        <v>0</v>
      </c>
      <c r="UNJ54" s="5">
        <f>-IFERROR('4. NPV'!#REF!/'4. NPV'!UNK$8,0)</f>
        <v>0</v>
      </c>
      <c r="UNK54" s="5">
        <f>-IFERROR('4. NPV'!#REF!/'4. NPV'!UNL$8,0)</f>
        <v>0</v>
      </c>
      <c r="UNL54" s="5">
        <f>-IFERROR('4. NPV'!#REF!/'4. NPV'!UNM$8,0)</f>
        <v>0</v>
      </c>
      <c r="UNM54" s="5">
        <f>-IFERROR('4. NPV'!#REF!/'4. NPV'!UNN$8,0)</f>
        <v>0</v>
      </c>
      <c r="UNN54" s="5">
        <f>-IFERROR('4. NPV'!#REF!/'4. NPV'!UNO$8,0)</f>
        <v>0</v>
      </c>
      <c r="UNO54" s="5">
        <f>-IFERROR('4. NPV'!#REF!/'4. NPV'!UNP$8,0)</f>
        <v>0</v>
      </c>
      <c r="UNP54" s="5">
        <f>-IFERROR('4. NPV'!#REF!/'4. NPV'!UNQ$8,0)</f>
        <v>0</v>
      </c>
      <c r="UNQ54" s="5">
        <f>-IFERROR('4. NPV'!#REF!/'4. NPV'!UNR$8,0)</f>
        <v>0</v>
      </c>
      <c r="UNR54" s="5">
        <f>-IFERROR('4. NPV'!#REF!/'4. NPV'!UNS$8,0)</f>
        <v>0</v>
      </c>
      <c r="UNS54" s="5">
        <f>-IFERROR('4. NPV'!#REF!/'4. NPV'!UNT$8,0)</f>
        <v>0</v>
      </c>
      <c r="UNT54" s="5">
        <f>-IFERROR('4. NPV'!#REF!/'4. NPV'!UNU$8,0)</f>
        <v>0</v>
      </c>
      <c r="UNU54" s="5">
        <f>-IFERROR('4. NPV'!#REF!/'4. NPV'!UNV$8,0)</f>
        <v>0</v>
      </c>
      <c r="UNV54" s="5">
        <f>-IFERROR('4. NPV'!#REF!/'4. NPV'!UNW$8,0)</f>
        <v>0</v>
      </c>
      <c r="UNW54" s="5">
        <f>-IFERROR('4. NPV'!#REF!/'4. NPV'!UNX$8,0)</f>
        <v>0</v>
      </c>
      <c r="UNX54" s="5">
        <f>-IFERROR('4. NPV'!#REF!/'4. NPV'!UNY$8,0)</f>
        <v>0</v>
      </c>
      <c r="UNY54" s="5">
        <f>-IFERROR('4. NPV'!#REF!/'4. NPV'!UNZ$8,0)</f>
        <v>0</v>
      </c>
      <c r="UNZ54" s="5">
        <f>-IFERROR('4. NPV'!#REF!/'4. NPV'!UOA$8,0)</f>
        <v>0</v>
      </c>
      <c r="UOA54" s="5">
        <f>-IFERROR('4. NPV'!#REF!/'4. NPV'!UOB$8,0)</f>
        <v>0</v>
      </c>
      <c r="UOB54" s="5">
        <f>-IFERROR('4. NPV'!#REF!/'4. NPV'!UOC$8,0)</f>
        <v>0</v>
      </c>
      <c r="UOC54" s="5">
        <f>-IFERROR('4. NPV'!#REF!/'4. NPV'!UOD$8,0)</f>
        <v>0</v>
      </c>
      <c r="UOD54" s="5">
        <f>-IFERROR('4. NPV'!#REF!/'4. NPV'!UOE$8,0)</f>
        <v>0</v>
      </c>
      <c r="UOE54" s="5">
        <f>-IFERROR('4. NPV'!#REF!/'4. NPV'!UOF$8,0)</f>
        <v>0</v>
      </c>
      <c r="UOF54" s="5">
        <f>-IFERROR('4. NPV'!#REF!/'4. NPV'!UOG$8,0)</f>
        <v>0</v>
      </c>
      <c r="UOG54" s="5">
        <f>-IFERROR('4. NPV'!#REF!/'4. NPV'!UOH$8,0)</f>
        <v>0</v>
      </c>
      <c r="UOH54" s="5">
        <f>-IFERROR('4. NPV'!#REF!/'4. NPV'!UOI$8,0)</f>
        <v>0</v>
      </c>
      <c r="UOI54" s="5">
        <f>-IFERROR('4. NPV'!#REF!/'4. NPV'!UOJ$8,0)</f>
        <v>0</v>
      </c>
      <c r="UOJ54" s="5">
        <f>-IFERROR('4. NPV'!#REF!/'4. NPV'!UOK$8,0)</f>
        <v>0</v>
      </c>
      <c r="UOK54" s="5">
        <f>-IFERROR('4. NPV'!#REF!/'4. NPV'!UOL$8,0)</f>
        <v>0</v>
      </c>
      <c r="UOL54" s="5">
        <f>-IFERROR('4. NPV'!#REF!/'4. NPV'!UOM$8,0)</f>
        <v>0</v>
      </c>
      <c r="UOM54" s="5">
        <f>-IFERROR('4. NPV'!#REF!/'4. NPV'!UON$8,0)</f>
        <v>0</v>
      </c>
      <c r="UON54" s="5">
        <f>-IFERROR('4. NPV'!#REF!/'4. NPV'!UOO$8,0)</f>
        <v>0</v>
      </c>
      <c r="UOO54" s="5">
        <f>-IFERROR('4. NPV'!#REF!/'4. NPV'!UOP$8,0)</f>
        <v>0</v>
      </c>
      <c r="UOP54" s="5">
        <f>-IFERROR('4. NPV'!#REF!/'4. NPV'!UOQ$8,0)</f>
        <v>0</v>
      </c>
      <c r="UOQ54" s="5">
        <f>-IFERROR('4. NPV'!#REF!/'4. NPV'!UOR$8,0)</f>
        <v>0</v>
      </c>
      <c r="UOR54" s="5">
        <f>-IFERROR('4. NPV'!#REF!/'4. NPV'!UOS$8,0)</f>
        <v>0</v>
      </c>
      <c r="UOS54" s="5">
        <f>-IFERROR('4. NPV'!#REF!/'4. NPV'!UOT$8,0)</f>
        <v>0</v>
      </c>
      <c r="UOT54" s="5">
        <f>-IFERROR('4. NPV'!#REF!/'4. NPV'!UOU$8,0)</f>
        <v>0</v>
      </c>
      <c r="UOU54" s="5">
        <f>-IFERROR('4. NPV'!#REF!/'4. NPV'!UOV$8,0)</f>
        <v>0</v>
      </c>
      <c r="UOV54" s="5">
        <f>-IFERROR('4. NPV'!#REF!/'4. NPV'!UOW$8,0)</f>
        <v>0</v>
      </c>
      <c r="UOW54" s="5">
        <f>-IFERROR('4. NPV'!#REF!/'4. NPV'!UOX$8,0)</f>
        <v>0</v>
      </c>
      <c r="UOX54" s="5">
        <f>-IFERROR('4. NPV'!#REF!/'4. NPV'!UOY$8,0)</f>
        <v>0</v>
      </c>
      <c r="UOY54" s="5">
        <f>-IFERROR('4. NPV'!#REF!/'4. NPV'!UOZ$8,0)</f>
        <v>0</v>
      </c>
      <c r="UOZ54" s="5">
        <f>-IFERROR('4. NPV'!#REF!/'4. NPV'!UPA$8,0)</f>
        <v>0</v>
      </c>
      <c r="UPA54" s="5">
        <f>-IFERROR('4. NPV'!#REF!/'4. NPV'!UPB$8,0)</f>
        <v>0</v>
      </c>
      <c r="UPB54" s="5">
        <f>-IFERROR('4. NPV'!#REF!/'4. NPV'!UPC$8,0)</f>
        <v>0</v>
      </c>
      <c r="UPC54" s="5">
        <f>-IFERROR('4. NPV'!#REF!/'4. NPV'!UPD$8,0)</f>
        <v>0</v>
      </c>
      <c r="UPD54" s="5">
        <f>-IFERROR('4. NPV'!#REF!/'4. NPV'!UPE$8,0)</f>
        <v>0</v>
      </c>
      <c r="UPE54" s="5">
        <f>-IFERROR('4. NPV'!#REF!/'4. NPV'!UPF$8,0)</f>
        <v>0</v>
      </c>
      <c r="UPF54" s="5">
        <f>-IFERROR('4. NPV'!#REF!/'4. NPV'!UPG$8,0)</f>
        <v>0</v>
      </c>
      <c r="UPG54" s="5">
        <f>-IFERROR('4. NPV'!#REF!/'4. NPV'!UPH$8,0)</f>
        <v>0</v>
      </c>
      <c r="UPH54" s="5">
        <f>-IFERROR('4. NPV'!#REF!/'4. NPV'!UPI$8,0)</f>
        <v>0</v>
      </c>
      <c r="UPI54" s="5">
        <f>-IFERROR('4. NPV'!#REF!/'4. NPV'!UPJ$8,0)</f>
        <v>0</v>
      </c>
      <c r="UPJ54" s="5">
        <f>-IFERROR('4. NPV'!#REF!/'4. NPV'!UPK$8,0)</f>
        <v>0</v>
      </c>
      <c r="UPK54" s="5">
        <f>-IFERROR('4. NPV'!#REF!/'4. NPV'!UPL$8,0)</f>
        <v>0</v>
      </c>
      <c r="UPL54" s="5">
        <f>-IFERROR('4. NPV'!#REF!/'4. NPV'!UPM$8,0)</f>
        <v>0</v>
      </c>
      <c r="UPM54" s="5">
        <f>-IFERROR('4. NPV'!#REF!/'4. NPV'!UPN$8,0)</f>
        <v>0</v>
      </c>
      <c r="UPN54" s="5">
        <f>-IFERROR('4. NPV'!#REF!/'4. NPV'!UPO$8,0)</f>
        <v>0</v>
      </c>
      <c r="UPO54" s="5">
        <f>-IFERROR('4. NPV'!#REF!/'4. NPV'!UPP$8,0)</f>
        <v>0</v>
      </c>
      <c r="UPP54" s="5">
        <f>-IFERROR('4. NPV'!#REF!/'4. NPV'!UPQ$8,0)</f>
        <v>0</v>
      </c>
      <c r="UPQ54" s="5">
        <f>-IFERROR('4. NPV'!#REF!/'4. NPV'!UPR$8,0)</f>
        <v>0</v>
      </c>
      <c r="UPR54" s="5">
        <f>-IFERROR('4. NPV'!#REF!/'4. NPV'!UPS$8,0)</f>
        <v>0</v>
      </c>
      <c r="UPS54" s="5">
        <f>-IFERROR('4. NPV'!#REF!/'4. NPV'!UPT$8,0)</f>
        <v>0</v>
      </c>
      <c r="UPT54" s="5">
        <f>-IFERROR('4. NPV'!#REF!/'4. NPV'!UPU$8,0)</f>
        <v>0</v>
      </c>
      <c r="UPU54" s="5">
        <f>-IFERROR('4. NPV'!#REF!/'4. NPV'!UPV$8,0)</f>
        <v>0</v>
      </c>
      <c r="UPV54" s="5">
        <f>-IFERROR('4. NPV'!#REF!/'4. NPV'!UPW$8,0)</f>
        <v>0</v>
      </c>
      <c r="UPW54" s="5">
        <f>-IFERROR('4. NPV'!#REF!/'4. NPV'!UPX$8,0)</f>
        <v>0</v>
      </c>
      <c r="UPX54" s="5">
        <f>-IFERROR('4. NPV'!#REF!/'4. NPV'!UPY$8,0)</f>
        <v>0</v>
      </c>
      <c r="UPY54" s="5">
        <f>-IFERROR('4. NPV'!#REF!/'4. NPV'!UPZ$8,0)</f>
        <v>0</v>
      </c>
      <c r="UPZ54" s="5">
        <f>-IFERROR('4. NPV'!#REF!/'4. NPV'!UQA$8,0)</f>
        <v>0</v>
      </c>
      <c r="UQA54" s="5">
        <f>-IFERROR('4. NPV'!#REF!/'4. NPV'!UQB$8,0)</f>
        <v>0</v>
      </c>
      <c r="UQB54" s="5">
        <f>-IFERROR('4. NPV'!#REF!/'4. NPV'!UQC$8,0)</f>
        <v>0</v>
      </c>
      <c r="UQC54" s="5">
        <f>-IFERROR('4. NPV'!#REF!/'4. NPV'!UQD$8,0)</f>
        <v>0</v>
      </c>
      <c r="UQD54" s="5">
        <f>-IFERROR('4. NPV'!#REF!/'4. NPV'!UQE$8,0)</f>
        <v>0</v>
      </c>
      <c r="UQE54" s="5">
        <f>-IFERROR('4. NPV'!#REF!/'4. NPV'!UQF$8,0)</f>
        <v>0</v>
      </c>
      <c r="UQF54" s="5">
        <f>-IFERROR('4. NPV'!#REF!/'4. NPV'!UQG$8,0)</f>
        <v>0</v>
      </c>
      <c r="UQG54" s="5">
        <f>-IFERROR('4. NPV'!#REF!/'4. NPV'!UQH$8,0)</f>
        <v>0</v>
      </c>
      <c r="UQH54" s="5">
        <f>-IFERROR('4. NPV'!#REF!/'4. NPV'!UQI$8,0)</f>
        <v>0</v>
      </c>
      <c r="UQI54" s="5">
        <f>-IFERROR('4. NPV'!#REF!/'4. NPV'!UQJ$8,0)</f>
        <v>0</v>
      </c>
      <c r="UQJ54" s="5">
        <f>-IFERROR('4. NPV'!#REF!/'4. NPV'!UQK$8,0)</f>
        <v>0</v>
      </c>
      <c r="UQK54" s="5">
        <f>-IFERROR('4. NPV'!#REF!/'4. NPV'!UQL$8,0)</f>
        <v>0</v>
      </c>
      <c r="UQL54" s="5">
        <f>-IFERROR('4. NPV'!#REF!/'4. NPV'!UQM$8,0)</f>
        <v>0</v>
      </c>
      <c r="UQM54" s="5">
        <f>-IFERROR('4. NPV'!#REF!/'4. NPV'!UQN$8,0)</f>
        <v>0</v>
      </c>
      <c r="UQN54" s="5">
        <f>-IFERROR('4. NPV'!#REF!/'4. NPV'!UQO$8,0)</f>
        <v>0</v>
      </c>
      <c r="UQO54" s="5">
        <f>-IFERROR('4. NPV'!#REF!/'4. NPV'!UQP$8,0)</f>
        <v>0</v>
      </c>
      <c r="UQP54" s="5">
        <f>-IFERROR('4. NPV'!#REF!/'4. NPV'!UQQ$8,0)</f>
        <v>0</v>
      </c>
      <c r="UQQ54" s="5">
        <f>-IFERROR('4. NPV'!#REF!/'4. NPV'!UQR$8,0)</f>
        <v>0</v>
      </c>
      <c r="UQR54" s="5">
        <f>-IFERROR('4. NPV'!#REF!/'4. NPV'!UQS$8,0)</f>
        <v>0</v>
      </c>
      <c r="UQS54" s="5">
        <f>-IFERROR('4. NPV'!#REF!/'4. NPV'!UQT$8,0)</f>
        <v>0</v>
      </c>
      <c r="UQT54" s="5">
        <f>-IFERROR('4. NPV'!#REF!/'4. NPV'!UQU$8,0)</f>
        <v>0</v>
      </c>
      <c r="UQU54" s="5">
        <f>-IFERROR('4. NPV'!#REF!/'4. NPV'!UQV$8,0)</f>
        <v>0</v>
      </c>
      <c r="UQV54" s="5">
        <f>-IFERROR('4. NPV'!#REF!/'4. NPV'!UQW$8,0)</f>
        <v>0</v>
      </c>
      <c r="UQW54" s="5">
        <f>-IFERROR('4. NPV'!#REF!/'4. NPV'!UQX$8,0)</f>
        <v>0</v>
      </c>
      <c r="UQX54" s="5">
        <f>-IFERROR('4. NPV'!#REF!/'4. NPV'!UQY$8,0)</f>
        <v>0</v>
      </c>
      <c r="UQY54" s="5">
        <f>-IFERROR('4. NPV'!#REF!/'4. NPV'!UQZ$8,0)</f>
        <v>0</v>
      </c>
      <c r="UQZ54" s="5">
        <f>-IFERROR('4. NPV'!#REF!/'4. NPV'!URA$8,0)</f>
        <v>0</v>
      </c>
      <c r="URA54" s="5">
        <f>-IFERROR('4. NPV'!#REF!/'4. NPV'!URB$8,0)</f>
        <v>0</v>
      </c>
      <c r="URB54" s="5">
        <f>-IFERROR('4. NPV'!#REF!/'4. NPV'!URC$8,0)</f>
        <v>0</v>
      </c>
      <c r="URC54" s="5">
        <f>-IFERROR('4. NPV'!#REF!/'4. NPV'!URD$8,0)</f>
        <v>0</v>
      </c>
      <c r="URD54" s="5">
        <f>-IFERROR('4. NPV'!#REF!/'4. NPV'!URE$8,0)</f>
        <v>0</v>
      </c>
      <c r="URE54" s="5">
        <f>-IFERROR('4. NPV'!#REF!/'4. NPV'!URF$8,0)</f>
        <v>0</v>
      </c>
      <c r="URF54" s="5">
        <f>-IFERROR('4. NPV'!#REF!/'4. NPV'!URG$8,0)</f>
        <v>0</v>
      </c>
      <c r="URG54" s="5">
        <f>-IFERROR('4. NPV'!#REF!/'4. NPV'!URH$8,0)</f>
        <v>0</v>
      </c>
      <c r="URH54" s="5">
        <f>-IFERROR('4. NPV'!#REF!/'4. NPV'!URI$8,0)</f>
        <v>0</v>
      </c>
      <c r="URI54" s="5">
        <f>-IFERROR('4. NPV'!#REF!/'4. NPV'!URJ$8,0)</f>
        <v>0</v>
      </c>
      <c r="URJ54" s="5">
        <f>-IFERROR('4. NPV'!#REF!/'4. NPV'!URK$8,0)</f>
        <v>0</v>
      </c>
      <c r="URK54" s="5">
        <f>-IFERROR('4. NPV'!#REF!/'4. NPV'!URL$8,0)</f>
        <v>0</v>
      </c>
      <c r="URL54" s="5">
        <f>-IFERROR('4. NPV'!#REF!/'4. NPV'!URM$8,0)</f>
        <v>0</v>
      </c>
      <c r="URM54" s="5">
        <f>-IFERROR('4. NPV'!#REF!/'4. NPV'!URN$8,0)</f>
        <v>0</v>
      </c>
      <c r="URN54" s="5">
        <f>-IFERROR('4. NPV'!#REF!/'4. NPV'!URO$8,0)</f>
        <v>0</v>
      </c>
      <c r="URO54" s="5">
        <f>-IFERROR('4. NPV'!#REF!/'4. NPV'!URP$8,0)</f>
        <v>0</v>
      </c>
      <c r="URP54" s="5">
        <f>-IFERROR('4. NPV'!#REF!/'4. NPV'!URQ$8,0)</f>
        <v>0</v>
      </c>
      <c r="URQ54" s="5">
        <f>-IFERROR('4. NPV'!#REF!/'4. NPV'!URR$8,0)</f>
        <v>0</v>
      </c>
      <c r="URR54" s="5">
        <f>-IFERROR('4. NPV'!#REF!/'4. NPV'!URS$8,0)</f>
        <v>0</v>
      </c>
      <c r="URS54" s="5">
        <f>-IFERROR('4. NPV'!#REF!/'4. NPV'!URT$8,0)</f>
        <v>0</v>
      </c>
      <c r="URT54" s="5">
        <f>-IFERROR('4. NPV'!#REF!/'4. NPV'!URU$8,0)</f>
        <v>0</v>
      </c>
      <c r="URU54" s="5">
        <f>-IFERROR('4. NPV'!#REF!/'4. NPV'!URV$8,0)</f>
        <v>0</v>
      </c>
      <c r="URV54" s="5">
        <f>-IFERROR('4. NPV'!#REF!/'4. NPV'!URW$8,0)</f>
        <v>0</v>
      </c>
      <c r="URW54" s="5">
        <f>-IFERROR('4. NPV'!#REF!/'4. NPV'!URX$8,0)</f>
        <v>0</v>
      </c>
      <c r="URX54" s="5">
        <f>-IFERROR('4. NPV'!#REF!/'4. NPV'!URY$8,0)</f>
        <v>0</v>
      </c>
      <c r="URY54" s="5">
        <f>-IFERROR('4. NPV'!#REF!/'4. NPV'!URZ$8,0)</f>
        <v>0</v>
      </c>
      <c r="URZ54" s="5">
        <f>-IFERROR('4. NPV'!#REF!/'4. NPV'!USA$8,0)</f>
        <v>0</v>
      </c>
      <c r="USA54" s="5">
        <f>-IFERROR('4. NPV'!#REF!/'4. NPV'!USB$8,0)</f>
        <v>0</v>
      </c>
      <c r="USB54" s="5">
        <f>-IFERROR('4. NPV'!#REF!/'4. NPV'!USC$8,0)</f>
        <v>0</v>
      </c>
      <c r="USC54" s="5">
        <f>-IFERROR('4. NPV'!#REF!/'4. NPV'!USD$8,0)</f>
        <v>0</v>
      </c>
      <c r="USD54" s="5">
        <f>-IFERROR('4. NPV'!#REF!/'4. NPV'!USE$8,0)</f>
        <v>0</v>
      </c>
      <c r="USE54" s="5">
        <f>-IFERROR('4. NPV'!#REF!/'4. NPV'!USF$8,0)</f>
        <v>0</v>
      </c>
      <c r="USF54" s="5">
        <f>-IFERROR('4. NPV'!#REF!/'4. NPV'!USG$8,0)</f>
        <v>0</v>
      </c>
      <c r="USG54" s="5">
        <f>-IFERROR('4. NPV'!#REF!/'4. NPV'!USH$8,0)</f>
        <v>0</v>
      </c>
      <c r="USH54" s="5">
        <f>-IFERROR('4. NPV'!#REF!/'4. NPV'!USI$8,0)</f>
        <v>0</v>
      </c>
      <c r="USI54" s="5">
        <f>-IFERROR('4. NPV'!#REF!/'4. NPV'!USJ$8,0)</f>
        <v>0</v>
      </c>
      <c r="USJ54" s="5">
        <f>-IFERROR('4. NPV'!#REF!/'4. NPV'!USK$8,0)</f>
        <v>0</v>
      </c>
      <c r="USK54" s="5">
        <f>-IFERROR('4. NPV'!#REF!/'4. NPV'!USL$8,0)</f>
        <v>0</v>
      </c>
      <c r="USL54" s="5">
        <f>-IFERROR('4. NPV'!#REF!/'4. NPV'!USM$8,0)</f>
        <v>0</v>
      </c>
      <c r="USM54" s="5">
        <f>-IFERROR('4. NPV'!#REF!/'4. NPV'!USN$8,0)</f>
        <v>0</v>
      </c>
      <c r="USN54" s="5">
        <f>-IFERROR('4. NPV'!#REF!/'4. NPV'!USO$8,0)</f>
        <v>0</v>
      </c>
      <c r="USO54" s="5">
        <f>-IFERROR('4. NPV'!#REF!/'4. NPV'!USP$8,0)</f>
        <v>0</v>
      </c>
      <c r="USP54" s="5">
        <f>-IFERROR('4. NPV'!#REF!/'4. NPV'!USQ$8,0)</f>
        <v>0</v>
      </c>
      <c r="USQ54" s="5">
        <f>-IFERROR('4. NPV'!#REF!/'4. NPV'!USR$8,0)</f>
        <v>0</v>
      </c>
      <c r="USR54" s="5">
        <f>-IFERROR('4. NPV'!#REF!/'4. NPV'!USS$8,0)</f>
        <v>0</v>
      </c>
      <c r="USS54" s="5">
        <f>-IFERROR('4. NPV'!#REF!/'4. NPV'!UST$8,0)</f>
        <v>0</v>
      </c>
      <c r="UST54" s="5">
        <f>-IFERROR('4. NPV'!#REF!/'4. NPV'!USU$8,0)</f>
        <v>0</v>
      </c>
      <c r="USU54" s="5">
        <f>-IFERROR('4. NPV'!#REF!/'4. NPV'!USV$8,0)</f>
        <v>0</v>
      </c>
      <c r="USV54" s="5">
        <f>-IFERROR('4. NPV'!#REF!/'4. NPV'!USW$8,0)</f>
        <v>0</v>
      </c>
      <c r="USW54" s="5">
        <f>-IFERROR('4. NPV'!#REF!/'4. NPV'!USX$8,0)</f>
        <v>0</v>
      </c>
      <c r="USX54" s="5">
        <f>-IFERROR('4. NPV'!#REF!/'4. NPV'!USY$8,0)</f>
        <v>0</v>
      </c>
      <c r="USY54" s="5">
        <f>-IFERROR('4. NPV'!#REF!/'4. NPV'!USZ$8,0)</f>
        <v>0</v>
      </c>
      <c r="USZ54" s="5">
        <f>-IFERROR('4. NPV'!#REF!/'4. NPV'!UTA$8,0)</f>
        <v>0</v>
      </c>
      <c r="UTA54" s="5">
        <f>-IFERROR('4. NPV'!#REF!/'4. NPV'!UTB$8,0)</f>
        <v>0</v>
      </c>
      <c r="UTB54" s="5">
        <f>-IFERROR('4. NPV'!#REF!/'4. NPV'!UTC$8,0)</f>
        <v>0</v>
      </c>
      <c r="UTC54" s="5">
        <f>-IFERROR('4. NPV'!#REF!/'4. NPV'!UTD$8,0)</f>
        <v>0</v>
      </c>
      <c r="UTD54" s="5">
        <f>-IFERROR('4. NPV'!#REF!/'4. NPV'!UTE$8,0)</f>
        <v>0</v>
      </c>
      <c r="UTE54" s="5">
        <f>-IFERROR('4. NPV'!#REF!/'4. NPV'!UTF$8,0)</f>
        <v>0</v>
      </c>
      <c r="UTF54" s="5">
        <f>-IFERROR('4. NPV'!#REF!/'4. NPV'!UTG$8,0)</f>
        <v>0</v>
      </c>
      <c r="UTG54" s="5">
        <f>-IFERROR('4. NPV'!#REF!/'4. NPV'!UTH$8,0)</f>
        <v>0</v>
      </c>
      <c r="UTH54" s="5">
        <f>-IFERROR('4. NPV'!#REF!/'4. NPV'!UTI$8,0)</f>
        <v>0</v>
      </c>
      <c r="UTI54" s="5">
        <f>-IFERROR('4. NPV'!#REF!/'4. NPV'!UTJ$8,0)</f>
        <v>0</v>
      </c>
      <c r="UTJ54" s="5">
        <f>-IFERROR('4. NPV'!#REF!/'4. NPV'!UTK$8,0)</f>
        <v>0</v>
      </c>
      <c r="UTK54" s="5">
        <f>-IFERROR('4. NPV'!#REF!/'4. NPV'!UTL$8,0)</f>
        <v>0</v>
      </c>
      <c r="UTL54" s="5">
        <f>-IFERROR('4. NPV'!#REF!/'4. NPV'!UTM$8,0)</f>
        <v>0</v>
      </c>
      <c r="UTM54" s="5">
        <f>-IFERROR('4. NPV'!#REF!/'4. NPV'!UTN$8,0)</f>
        <v>0</v>
      </c>
      <c r="UTN54" s="5">
        <f>-IFERROR('4. NPV'!#REF!/'4. NPV'!UTO$8,0)</f>
        <v>0</v>
      </c>
      <c r="UTO54" s="5">
        <f>-IFERROR('4. NPV'!#REF!/'4. NPV'!UTP$8,0)</f>
        <v>0</v>
      </c>
      <c r="UTP54" s="5">
        <f>-IFERROR('4. NPV'!#REF!/'4. NPV'!UTQ$8,0)</f>
        <v>0</v>
      </c>
      <c r="UTQ54" s="5">
        <f>-IFERROR('4. NPV'!#REF!/'4. NPV'!UTR$8,0)</f>
        <v>0</v>
      </c>
      <c r="UTR54" s="5">
        <f>-IFERROR('4. NPV'!#REF!/'4. NPV'!UTS$8,0)</f>
        <v>0</v>
      </c>
      <c r="UTS54" s="5">
        <f>-IFERROR('4. NPV'!#REF!/'4. NPV'!UTT$8,0)</f>
        <v>0</v>
      </c>
      <c r="UTT54" s="5">
        <f>-IFERROR('4. NPV'!#REF!/'4. NPV'!UTU$8,0)</f>
        <v>0</v>
      </c>
      <c r="UTU54" s="5">
        <f>-IFERROR('4. NPV'!#REF!/'4. NPV'!UTV$8,0)</f>
        <v>0</v>
      </c>
      <c r="UTV54" s="5">
        <f>-IFERROR('4. NPV'!#REF!/'4. NPV'!UTW$8,0)</f>
        <v>0</v>
      </c>
      <c r="UTW54" s="5">
        <f>-IFERROR('4. NPV'!#REF!/'4. NPV'!UTX$8,0)</f>
        <v>0</v>
      </c>
      <c r="UTX54" s="5">
        <f>-IFERROR('4. NPV'!#REF!/'4. NPV'!UTY$8,0)</f>
        <v>0</v>
      </c>
      <c r="UTY54" s="5">
        <f>-IFERROR('4. NPV'!#REF!/'4. NPV'!UTZ$8,0)</f>
        <v>0</v>
      </c>
      <c r="UTZ54" s="5">
        <f>-IFERROR('4. NPV'!#REF!/'4. NPV'!UUA$8,0)</f>
        <v>0</v>
      </c>
      <c r="UUA54" s="5">
        <f>-IFERROR('4. NPV'!#REF!/'4. NPV'!UUB$8,0)</f>
        <v>0</v>
      </c>
      <c r="UUB54" s="5">
        <f>-IFERROR('4. NPV'!#REF!/'4. NPV'!UUC$8,0)</f>
        <v>0</v>
      </c>
      <c r="UUC54" s="5">
        <f>-IFERROR('4. NPV'!#REF!/'4. NPV'!UUD$8,0)</f>
        <v>0</v>
      </c>
      <c r="UUD54" s="5">
        <f>-IFERROR('4. NPV'!#REF!/'4. NPV'!UUE$8,0)</f>
        <v>0</v>
      </c>
      <c r="UUE54" s="5">
        <f>-IFERROR('4. NPV'!#REF!/'4. NPV'!UUF$8,0)</f>
        <v>0</v>
      </c>
      <c r="UUF54" s="5">
        <f>-IFERROR('4. NPV'!#REF!/'4. NPV'!UUG$8,0)</f>
        <v>0</v>
      </c>
      <c r="UUG54" s="5">
        <f>-IFERROR('4. NPV'!#REF!/'4. NPV'!UUH$8,0)</f>
        <v>0</v>
      </c>
      <c r="UUH54" s="5">
        <f>-IFERROR('4. NPV'!#REF!/'4. NPV'!UUI$8,0)</f>
        <v>0</v>
      </c>
      <c r="UUI54" s="5">
        <f>-IFERROR('4. NPV'!#REF!/'4. NPV'!UUJ$8,0)</f>
        <v>0</v>
      </c>
      <c r="UUJ54" s="5">
        <f>-IFERROR('4. NPV'!#REF!/'4. NPV'!UUK$8,0)</f>
        <v>0</v>
      </c>
      <c r="UUK54" s="5">
        <f>-IFERROR('4. NPV'!#REF!/'4. NPV'!UUL$8,0)</f>
        <v>0</v>
      </c>
      <c r="UUL54" s="5">
        <f>-IFERROR('4. NPV'!#REF!/'4. NPV'!UUM$8,0)</f>
        <v>0</v>
      </c>
      <c r="UUM54" s="5">
        <f>-IFERROR('4. NPV'!#REF!/'4. NPV'!UUN$8,0)</f>
        <v>0</v>
      </c>
      <c r="UUN54" s="5">
        <f>-IFERROR('4. NPV'!#REF!/'4. NPV'!UUO$8,0)</f>
        <v>0</v>
      </c>
      <c r="UUO54" s="5">
        <f>-IFERROR('4. NPV'!#REF!/'4. NPV'!UUP$8,0)</f>
        <v>0</v>
      </c>
      <c r="UUP54" s="5">
        <f>-IFERROR('4. NPV'!#REF!/'4. NPV'!UUQ$8,0)</f>
        <v>0</v>
      </c>
      <c r="UUQ54" s="5">
        <f>-IFERROR('4. NPV'!#REF!/'4. NPV'!UUR$8,0)</f>
        <v>0</v>
      </c>
      <c r="UUR54" s="5">
        <f>-IFERROR('4. NPV'!#REF!/'4. NPV'!UUS$8,0)</f>
        <v>0</v>
      </c>
      <c r="UUS54" s="5">
        <f>-IFERROR('4. NPV'!#REF!/'4. NPV'!UUT$8,0)</f>
        <v>0</v>
      </c>
      <c r="UUT54" s="5">
        <f>-IFERROR('4. NPV'!#REF!/'4. NPV'!UUU$8,0)</f>
        <v>0</v>
      </c>
      <c r="UUU54" s="5">
        <f>-IFERROR('4. NPV'!#REF!/'4. NPV'!UUV$8,0)</f>
        <v>0</v>
      </c>
      <c r="UUV54" s="5">
        <f>-IFERROR('4. NPV'!#REF!/'4. NPV'!UUW$8,0)</f>
        <v>0</v>
      </c>
      <c r="UUW54" s="5">
        <f>-IFERROR('4. NPV'!#REF!/'4. NPV'!UUX$8,0)</f>
        <v>0</v>
      </c>
      <c r="UUX54" s="5">
        <f>-IFERROR('4. NPV'!#REF!/'4. NPV'!UUY$8,0)</f>
        <v>0</v>
      </c>
      <c r="UUY54" s="5">
        <f>-IFERROR('4. NPV'!#REF!/'4. NPV'!UUZ$8,0)</f>
        <v>0</v>
      </c>
      <c r="UUZ54" s="5">
        <f>-IFERROR('4. NPV'!#REF!/'4. NPV'!UVA$8,0)</f>
        <v>0</v>
      </c>
      <c r="UVA54" s="5">
        <f>-IFERROR('4. NPV'!#REF!/'4. NPV'!UVB$8,0)</f>
        <v>0</v>
      </c>
      <c r="UVB54" s="5">
        <f>-IFERROR('4. NPV'!#REF!/'4. NPV'!UVC$8,0)</f>
        <v>0</v>
      </c>
      <c r="UVC54" s="5">
        <f>-IFERROR('4. NPV'!#REF!/'4. NPV'!UVD$8,0)</f>
        <v>0</v>
      </c>
      <c r="UVD54" s="5">
        <f>-IFERROR('4. NPV'!#REF!/'4. NPV'!UVE$8,0)</f>
        <v>0</v>
      </c>
      <c r="UVE54" s="5">
        <f>-IFERROR('4. NPV'!#REF!/'4. NPV'!UVF$8,0)</f>
        <v>0</v>
      </c>
      <c r="UVF54" s="5">
        <f>-IFERROR('4. NPV'!#REF!/'4. NPV'!UVG$8,0)</f>
        <v>0</v>
      </c>
      <c r="UVG54" s="5">
        <f>-IFERROR('4. NPV'!#REF!/'4. NPV'!UVH$8,0)</f>
        <v>0</v>
      </c>
      <c r="UVH54" s="5">
        <f>-IFERROR('4. NPV'!#REF!/'4. NPV'!UVI$8,0)</f>
        <v>0</v>
      </c>
      <c r="UVI54" s="5">
        <f>-IFERROR('4. NPV'!#REF!/'4. NPV'!UVJ$8,0)</f>
        <v>0</v>
      </c>
      <c r="UVJ54" s="5">
        <f>-IFERROR('4. NPV'!#REF!/'4. NPV'!UVK$8,0)</f>
        <v>0</v>
      </c>
      <c r="UVK54" s="5">
        <f>-IFERROR('4. NPV'!#REF!/'4. NPV'!UVL$8,0)</f>
        <v>0</v>
      </c>
      <c r="UVL54" s="5">
        <f>-IFERROR('4. NPV'!#REF!/'4. NPV'!UVM$8,0)</f>
        <v>0</v>
      </c>
      <c r="UVM54" s="5">
        <f>-IFERROR('4. NPV'!#REF!/'4. NPV'!UVN$8,0)</f>
        <v>0</v>
      </c>
      <c r="UVN54" s="5">
        <f>-IFERROR('4. NPV'!#REF!/'4. NPV'!UVO$8,0)</f>
        <v>0</v>
      </c>
      <c r="UVO54" s="5">
        <f>-IFERROR('4. NPV'!#REF!/'4. NPV'!UVP$8,0)</f>
        <v>0</v>
      </c>
      <c r="UVP54" s="5">
        <f>-IFERROR('4. NPV'!#REF!/'4. NPV'!UVQ$8,0)</f>
        <v>0</v>
      </c>
      <c r="UVQ54" s="5">
        <f>-IFERROR('4. NPV'!#REF!/'4. NPV'!UVR$8,0)</f>
        <v>0</v>
      </c>
      <c r="UVR54" s="5">
        <f>-IFERROR('4. NPV'!#REF!/'4. NPV'!UVS$8,0)</f>
        <v>0</v>
      </c>
      <c r="UVS54" s="5">
        <f>-IFERROR('4. NPV'!#REF!/'4. NPV'!UVT$8,0)</f>
        <v>0</v>
      </c>
      <c r="UVT54" s="5">
        <f>-IFERROR('4. NPV'!#REF!/'4. NPV'!UVU$8,0)</f>
        <v>0</v>
      </c>
      <c r="UVU54" s="5">
        <f>-IFERROR('4. NPV'!#REF!/'4. NPV'!UVV$8,0)</f>
        <v>0</v>
      </c>
      <c r="UVV54" s="5">
        <f>-IFERROR('4. NPV'!#REF!/'4. NPV'!UVW$8,0)</f>
        <v>0</v>
      </c>
      <c r="UVW54" s="5">
        <f>-IFERROR('4. NPV'!#REF!/'4. NPV'!UVX$8,0)</f>
        <v>0</v>
      </c>
      <c r="UVX54" s="5">
        <f>-IFERROR('4. NPV'!#REF!/'4. NPV'!UVY$8,0)</f>
        <v>0</v>
      </c>
      <c r="UVY54" s="5">
        <f>-IFERROR('4. NPV'!#REF!/'4. NPV'!UVZ$8,0)</f>
        <v>0</v>
      </c>
      <c r="UVZ54" s="5">
        <f>-IFERROR('4. NPV'!#REF!/'4. NPV'!UWA$8,0)</f>
        <v>0</v>
      </c>
      <c r="UWA54" s="5">
        <f>-IFERROR('4. NPV'!#REF!/'4. NPV'!UWB$8,0)</f>
        <v>0</v>
      </c>
      <c r="UWB54" s="5">
        <f>-IFERROR('4. NPV'!#REF!/'4. NPV'!UWC$8,0)</f>
        <v>0</v>
      </c>
      <c r="UWC54" s="5">
        <f>-IFERROR('4. NPV'!#REF!/'4. NPV'!UWD$8,0)</f>
        <v>0</v>
      </c>
      <c r="UWD54" s="5">
        <f>-IFERROR('4. NPV'!#REF!/'4. NPV'!UWE$8,0)</f>
        <v>0</v>
      </c>
      <c r="UWE54" s="5">
        <f>-IFERROR('4. NPV'!#REF!/'4. NPV'!UWF$8,0)</f>
        <v>0</v>
      </c>
      <c r="UWF54" s="5">
        <f>-IFERROR('4. NPV'!#REF!/'4. NPV'!UWG$8,0)</f>
        <v>0</v>
      </c>
      <c r="UWG54" s="5">
        <f>-IFERROR('4. NPV'!#REF!/'4. NPV'!UWH$8,0)</f>
        <v>0</v>
      </c>
      <c r="UWH54" s="5">
        <f>-IFERROR('4. NPV'!#REF!/'4. NPV'!UWI$8,0)</f>
        <v>0</v>
      </c>
      <c r="UWI54" s="5">
        <f>-IFERROR('4. NPV'!#REF!/'4. NPV'!UWJ$8,0)</f>
        <v>0</v>
      </c>
      <c r="UWJ54" s="5">
        <f>-IFERROR('4. NPV'!#REF!/'4. NPV'!UWK$8,0)</f>
        <v>0</v>
      </c>
      <c r="UWK54" s="5">
        <f>-IFERROR('4. NPV'!#REF!/'4. NPV'!UWL$8,0)</f>
        <v>0</v>
      </c>
      <c r="UWL54" s="5">
        <f>-IFERROR('4. NPV'!#REF!/'4. NPV'!UWM$8,0)</f>
        <v>0</v>
      </c>
      <c r="UWM54" s="5">
        <f>-IFERROR('4. NPV'!#REF!/'4. NPV'!UWN$8,0)</f>
        <v>0</v>
      </c>
      <c r="UWN54" s="5">
        <f>-IFERROR('4. NPV'!#REF!/'4. NPV'!UWO$8,0)</f>
        <v>0</v>
      </c>
      <c r="UWO54" s="5">
        <f>-IFERROR('4. NPV'!#REF!/'4. NPV'!UWP$8,0)</f>
        <v>0</v>
      </c>
      <c r="UWP54" s="5">
        <f>-IFERROR('4. NPV'!#REF!/'4. NPV'!UWQ$8,0)</f>
        <v>0</v>
      </c>
      <c r="UWQ54" s="5">
        <f>-IFERROR('4. NPV'!#REF!/'4. NPV'!UWR$8,0)</f>
        <v>0</v>
      </c>
      <c r="UWR54" s="5">
        <f>-IFERROR('4. NPV'!#REF!/'4. NPV'!UWS$8,0)</f>
        <v>0</v>
      </c>
      <c r="UWS54" s="5">
        <f>-IFERROR('4. NPV'!#REF!/'4. NPV'!UWT$8,0)</f>
        <v>0</v>
      </c>
      <c r="UWT54" s="5">
        <f>-IFERROR('4. NPV'!#REF!/'4. NPV'!UWU$8,0)</f>
        <v>0</v>
      </c>
      <c r="UWU54" s="5">
        <f>-IFERROR('4. NPV'!#REF!/'4. NPV'!UWV$8,0)</f>
        <v>0</v>
      </c>
      <c r="UWV54" s="5">
        <f>-IFERROR('4. NPV'!#REF!/'4. NPV'!UWW$8,0)</f>
        <v>0</v>
      </c>
      <c r="UWW54" s="5">
        <f>-IFERROR('4. NPV'!#REF!/'4. NPV'!UWX$8,0)</f>
        <v>0</v>
      </c>
      <c r="UWX54" s="5">
        <f>-IFERROR('4. NPV'!#REF!/'4. NPV'!UWY$8,0)</f>
        <v>0</v>
      </c>
      <c r="UWY54" s="5">
        <f>-IFERROR('4. NPV'!#REF!/'4. NPV'!UWZ$8,0)</f>
        <v>0</v>
      </c>
      <c r="UWZ54" s="5">
        <f>-IFERROR('4. NPV'!#REF!/'4. NPV'!UXA$8,0)</f>
        <v>0</v>
      </c>
      <c r="UXA54" s="5">
        <f>-IFERROR('4. NPV'!#REF!/'4. NPV'!UXB$8,0)</f>
        <v>0</v>
      </c>
      <c r="UXB54" s="5">
        <f>-IFERROR('4. NPV'!#REF!/'4. NPV'!UXC$8,0)</f>
        <v>0</v>
      </c>
      <c r="UXC54" s="5">
        <f>-IFERROR('4. NPV'!#REF!/'4. NPV'!UXD$8,0)</f>
        <v>0</v>
      </c>
      <c r="UXD54" s="5">
        <f>-IFERROR('4. NPV'!#REF!/'4. NPV'!UXE$8,0)</f>
        <v>0</v>
      </c>
      <c r="UXE54" s="5">
        <f>-IFERROR('4. NPV'!#REF!/'4. NPV'!UXF$8,0)</f>
        <v>0</v>
      </c>
      <c r="UXF54" s="5">
        <f>-IFERROR('4. NPV'!#REF!/'4. NPV'!UXG$8,0)</f>
        <v>0</v>
      </c>
      <c r="UXG54" s="5">
        <f>-IFERROR('4. NPV'!#REF!/'4. NPV'!UXH$8,0)</f>
        <v>0</v>
      </c>
      <c r="UXH54" s="5">
        <f>-IFERROR('4. NPV'!#REF!/'4. NPV'!UXI$8,0)</f>
        <v>0</v>
      </c>
      <c r="UXI54" s="5">
        <f>-IFERROR('4. NPV'!#REF!/'4. NPV'!UXJ$8,0)</f>
        <v>0</v>
      </c>
      <c r="UXJ54" s="5">
        <f>-IFERROR('4. NPV'!#REF!/'4. NPV'!UXK$8,0)</f>
        <v>0</v>
      </c>
      <c r="UXK54" s="5">
        <f>-IFERROR('4. NPV'!#REF!/'4. NPV'!UXL$8,0)</f>
        <v>0</v>
      </c>
      <c r="UXL54" s="5">
        <f>-IFERROR('4. NPV'!#REF!/'4. NPV'!UXM$8,0)</f>
        <v>0</v>
      </c>
      <c r="UXM54" s="5">
        <f>-IFERROR('4. NPV'!#REF!/'4. NPV'!UXN$8,0)</f>
        <v>0</v>
      </c>
      <c r="UXN54" s="5">
        <f>-IFERROR('4. NPV'!#REF!/'4. NPV'!UXO$8,0)</f>
        <v>0</v>
      </c>
      <c r="UXO54" s="5">
        <f>-IFERROR('4. NPV'!#REF!/'4. NPV'!UXP$8,0)</f>
        <v>0</v>
      </c>
      <c r="UXP54" s="5">
        <f>-IFERROR('4. NPV'!#REF!/'4. NPV'!UXQ$8,0)</f>
        <v>0</v>
      </c>
      <c r="UXQ54" s="5">
        <f>-IFERROR('4. NPV'!#REF!/'4. NPV'!UXR$8,0)</f>
        <v>0</v>
      </c>
      <c r="UXR54" s="5">
        <f>-IFERROR('4. NPV'!#REF!/'4. NPV'!UXS$8,0)</f>
        <v>0</v>
      </c>
      <c r="UXS54" s="5">
        <f>-IFERROR('4. NPV'!#REF!/'4. NPV'!UXT$8,0)</f>
        <v>0</v>
      </c>
      <c r="UXT54" s="5">
        <f>-IFERROR('4. NPV'!#REF!/'4. NPV'!UXU$8,0)</f>
        <v>0</v>
      </c>
      <c r="UXU54" s="5">
        <f>-IFERROR('4. NPV'!#REF!/'4. NPV'!UXV$8,0)</f>
        <v>0</v>
      </c>
      <c r="UXV54" s="5">
        <f>-IFERROR('4. NPV'!#REF!/'4. NPV'!UXW$8,0)</f>
        <v>0</v>
      </c>
      <c r="UXW54" s="5">
        <f>-IFERROR('4. NPV'!#REF!/'4. NPV'!UXX$8,0)</f>
        <v>0</v>
      </c>
      <c r="UXX54" s="5">
        <f>-IFERROR('4. NPV'!#REF!/'4. NPV'!UXY$8,0)</f>
        <v>0</v>
      </c>
      <c r="UXY54" s="5">
        <f>-IFERROR('4. NPV'!#REF!/'4. NPV'!UXZ$8,0)</f>
        <v>0</v>
      </c>
      <c r="UXZ54" s="5">
        <f>-IFERROR('4. NPV'!#REF!/'4. NPV'!UYA$8,0)</f>
        <v>0</v>
      </c>
      <c r="UYA54" s="5">
        <f>-IFERROR('4. NPV'!#REF!/'4. NPV'!UYB$8,0)</f>
        <v>0</v>
      </c>
      <c r="UYB54" s="5">
        <f>-IFERROR('4. NPV'!#REF!/'4. NPV'!UYC$8,0)</f>
        <v>0</v>
      </c>
      <c r="UYC54" s="5">
        <f>-IFERROR('4. NPV'!#REF!/'4. NPV'!UYD$8,0)</f>
        <v>0</v>
      </c>
      <c r="UYD54" s="5">
        <f>-IFERROR('4. NPV'!#REF!/'4. NPV'!UYE$8,0)</f>
        <v>0</v>
      </c>
      <c r="UYE54" s="5">
        <f>-IFERROR('4. NPV'!#REF!/'4. NPV'!UYF$8,0)</f>
        <v>0</v>
      </c>
      <c r="UYF54" s="5">
        <f>-IFERROR('4. NPV'!#REF!/'4. NPV'!UYG$8,0)</f>
        <v>0</v>
      </c>
      <c r="UYG54" s="5">
        <f>-IFERROR('4. NPV'!#REF!/'4. NPV'!UYH$8,0)</f>
        <v>0</v>
      </c>
      <c r="UYH54" s="5">
        <f>-IFERROR('4. NPV'!#REF!/'4. NPV'!UYI$8,0)</f>
        <v>0</v>
      </c>
      <c r="UYI54" s="5">
        <f>-IFERROR('4. NPV'!#REF!/'4. NPV'!UYJ$8,0)</f>
        <v>0</v>
      </c>
      <c r="UYJ54" s="5">
        <f>-IFERROR('4. NPV'!#REF!/'4. NPV'!UYK$8,0)</f>
        <v>0</v>
      </c>
      <c r="UYK54" s="5">
        <f>-IFERROR('4. NPV'!#REF!/'4. NPV'!UYL$8,0)</f>
        <v>0</v>
      </c>
      <c r="UYL54" s="5">
        <f>-IFERROR('4. NPV'!#REF!/'4. NPV'!UYM$8,0)</f>
        <v>0</v>
      </c>
      <c r="UYM54" s="5">
        <f>-IFERROR('4. NPV'!#REF!/'4. NPV'!UYN$8,0)</f>
        <v>0</v>
      </c>
      <c r="UYN54" s="5">
        <f>-IFERROR('4. NPV'!#REF!/'4. NPV'!UYO$8,0)</f>
        <v>0</v>
      </c>
      <c r="UYO54" s="5">
        <f>-IFERROR('4. NPV'!#REF!/'4. NPV'!UYP$8,0)</f>
        <v>0</v>
      </c>
      <c r="UYP54" s="5">
        <f>-IFERROR('4. NPV'!#REF!/'4. NPV'!UYQ$8,0)</f>
        <v>0</v>
      </c>
      <c r="UYQ54" s="5">
        <f>-IFERROR('4. NPV'!#REF!/'4. NPV'!UYR$8,0)</f>
        <v>0</v>
      </c>
      <c r="UYR54" s="5">
        <f>-IFERROR('4. NPV'!#REF!/'4. NPV'!UYS$8,0)</f>
        <v>0</v>
      </c>
      <c r="UYS54" s="5">
        <f>-IFERROR('4. NPV'!#REF!/'4. NPV'!UYT$8,0)</f>
        <v>0</v>
      </c>
      <c r="UYT54" s="5">
        <f>-IFERROR('4. NPV'!#REF!/'4. NPV'!UYU$8,0)</f>
        <v>0</v>
      </c>
      <c r="UYU54" s="5">
        <f>-IFERROR('4. NPV'!#REF!/'4. NPV'!UYV$8,0)</f>
        <v>0</v>
      </c>
      <c r="UYV54" s="5">
        <f>-IFERROR('4. NPV'!#REF!/'4. NPV'!UYW$8,0)</f>
        <v>0</v>
      </c>
      <c r="UYW54" s="5">
        <f>-IFERROR('4. NPV'!#REF!/'4. NPV'!UYX$8,0)</f>
        <v>0</v>
      </c>
      <c r="UYX54" s="5">
        <f>-IFERROR('4. NPV'!#REF!/'4. NPV'!UYY$8,0)</f>
        <v>0</v>
      </c>
      <c r="UYY54" s="5">
        <f>-IFERROR('4. NPV'!#REF!/'4. NPV'!UYZ$8,0)</f>
        <v>0</v>
      </c>
      <c r="UYZ54" s="5">
        <f>-IFERROR('4. NPV'!#REF!/'4. NPV'!UZA$8,0)</f>
        <v>0</v>
      </c>
      <c r="UZA54" s="5">
        <f>-IFERROR('4. NPV'!#REF!/'4. NPV'!UZB$8,0)</f>
        <v>0</v>
      </c>
      <c r="UZB54" s="5">
        <f>-IFERROR('4. NPV'!#REF!/'4. NPV'!UZC$8,0)</f>
        <v>0</v>
      </c>
      <c r="UZC54" s="5">
        <f>-IFERROR('4. NPV'!#REF!/'4. NPV'!UZD$8,0)</f>
        <v>0</v>
      </c>
      <c r="UZD54" s="5">
        <f>-IFERROR('4. NPV'!#REF!/'4. NPV'!UZE$8,0)</f>
        <v>0</v>
      </c>
      <c r="UZE54" s="5">
        <f>-IFERROR('4. NPV'!#REF!/'4. NPV'!UZF$8,0)</f>
        <v>0</v>
      </c>
      <c r="UZF54" s="5">
        <f>-IFERROR('4. NPV'!#REF!/'4. NPV'!UZG$8,0)</f>
        <v>0</v>
      </c>
      <c r="UZG54" s="5">
        <f>-IFERROR('4. NPV'!#REF!/'4. NPV'!UZH$8,0)</f>
        <v>0</v>
      </c>
      <c r="UZH54" s="5">
        <f>-IFERROR('4. NPV'!#REF!/'4. NPV'!UZI$8,0)</f>
        <v>0</v>
      </c>
      <c r="UZI54" s="5">
        <f>-IFERROR('4. NPV'!#REF!/'4. NPV'!UZJ$8,0)</f>
        <v>0</v>
      </c>
      <c r="UZJ54" s="5">
        <f>-IFERROR('4. NPV'!#REF!/'4. NPV'!UZK$8,0)</f>
        <v>0</v>
      </c>
      <c r="UZK54" s="5">
        <f>-IFERROR('4. NPV'!#REF!/'4. NPV'!UZL$8,0)</f>
        <v>0</v>
      </c>
      <c r="UZL54" s="5">
        <f>-IFERROR('4. NPV'!#REF!/'4. NPV'!UZM$8,0)</f>
        <v>0</v>
      </c>
      <c r="UZM54" s="5">
        <f>-IFERROR('4. NPV'!#REF!/'4. NPV'!UZN$8,0)</f>
        <v>0</v>
      </c>
      <c r="UZN54" s="5">
        <f>-IFERROR('4. NPV'!#REF!/'4. NPV'!UZO$8,0)</f>
        <v>0</v>
      </c>
      <c r="UZO54" s="5">
        <f>-IFERROR('4. NPV'!#REF!/'4. NPV'!UZP$8,0)</f>
        <v>0</v>
      </c>
      <c r="UZP54" s="5">
        <f>-IFERROR('4. NPV'!#REF!/'4. NPV'!UZQ$8,0)</f>
        <v>0</v>
      </c>
      <c r="UZQ54" s="5">
        <f>-IFERROR('4. NPV'!#REF!/'4. NPV'!UZR$8,0)</f>
        <v>0</v>
      </c>
      <c r="UZR54" s="5">
        <f>-IFERROR('4. NPV'!#REF!/'4. NPV'!UZS$8,0)</f>
        <v>0</v>
      </c>
      <c r="UZS54" s="5">
        <f>-IFERROR('4. NPV'!#REF!/'4. NPV'!UZT$8,0)</f>
        <v>0</v>
      </c>
      <c r="UZT54" s="5">
        <f>-IFERROR('4. NPV'!#REF!/'4. NPV'!UZU$8,0)</f>
        <v>0</v>
      </c>
      <c r="UZU54" s="5">
        <f>-IFERROR('4. NPV'!#REF!/'4. NPV'!UZV$8,0)</f>
        <v>0</v>
      </c>
      <c r="UZV54" s="5">
        <f>-IFERROR('4. NPV'!#REF!/'4. NPV'!UZW$8,0)</f>
        <v>0</v>
      </c>
      <c r="UZW54" s="5">
        <f>-IFERROR('4. NPV'!#REF!/'4. NPV'!UZX$8,0)</f>
        <v>0</v>
      </c>
      <c r="UZX54" s="5">
        <f>-IFERROR('4. NPV'!#REF!/'4. NPV'!UZY$8,0)</f>
        <v>0</v>
      </c>
      <c r="UZY54" s="5">
        <f>-IFERROR('4. NPV'!#REF!/'4. NPV'!UZZ$8,0)</f>
        <v>0</v>
      </c>
      <c r="UZZ54" s="5">
        <f>-IFERROR('4. NPV'!#REF!/'4. NPV'!VAA$8,0)</f>
        <v>0</v>
      </c>
      <c r="VAA54" s="5">
        <f>-IFERROR('4. NPV'!#REF!/'4. NPV'!VAB$8,0)</f>
        <v>0</v>
      </c>
      <c r="VAB54" s="5">
        <f>-IFERROR('4. NPV'!#REF!/'4. NPV'!VAC$8,0)</f>
        <v>0</v>
      </c>
      <c r="VAC54" s="5">
        <f>-IFERROR('4. NPV'!#REF!/'4. NPV'!VAD$8,0)</f>
        <v>0</v>
      </c>
      <c r="VAD54" s="5">
        <f>-IFERROR('4. NPV'!#REF!/'4. NPV'!VAE$8,0)</f>
        <v>0</v>
      </c>
      <c r="VAE54" s="5">
        <f>-IFERROR('4. NPV'!#REF!/'4. NPV'!VAF$8,0)</f>
        <v>0</v>
      </c>
      <c r="VAF54" s="5">
        <f>-IFERROR('4. NPV'!#REF!/'4. NPV'!VAG$8,0)</f>
        <v>0</v>
      </c>
      <c r="VAG54" s="5">
        <f>-IFERROR('4. NPV'!#REF!/'4. NPV'!VAH$8,0)</f>
        <v>0</v>
      </c>
      <c r="VAH54" s="5">
        <f>-IFERROR('4. NPV'!#REF!/'4. NPV'!VAI$8,0)</f>
        <v>0</v>
      </c>
      <c r="VAI54" s="5">
        <f>-IFERROR('4. NPV'!#REF!/'4. NPV'!VAJ$8,0)</f>
        <v>0</v>
      </c>
      <c r="VAJ54" s="5">
        <f>-IFERROR('4. NPV'!#REF!/'4. NPV'!VAK$8,0)</f>
        <v>0</v>
      </c>
      <c r="VAK54" s="5">
        <f>-IFERROR('4. NPV'!#REF!/'4. NPV'!VAL$8,0)</f>
        <v>0</v>
      </c>
      <c r="VAL54" s="5">
        <f>-IFERROR('4. NPV'!#REF!/'4. NPV'!VAM$8,0)</f>
        <v>0</v>
      </c>
      <c r="VAM54" s="5">
        <f>-IFERROR('4. NPV'!#REF!/'4. NPV'!VAN$8,0)</f>
        <v>0</v>
      </c>
      <c r="VAN54" s="5">
        <f>-IFERROR('4. NPV'!#REF!/'4. NPV'!VAO$8,0)</f>
        <v>0</v>
      </c>
      <c r="VAO54" s="5">
        <f>-IFERROR('4. NPV'!#REF!/'4. NPV'!VAP$8,0)</f>
        <v>0</v>
      </c>
      <c r="VAP54" s="5">
        <f>-IFERROR('4. NPV'!#REF!/'4. NPV'!VAQ$8,0)</f>
        <v>0</v>
      </c>
      <c r="VAQ54" s="5">
        <f>-IFERROR('4. NPV'!#REF!/'4. NPV'!VAR$8,0)</f>
        <v>0</v>
      </c>
      <c r="VAR54" s="5">
        <f>-IFERROR('4. NPV'!#REF!/'4. NPV'!VAS$8,0)</f>
        <v>0</v>
      </c>
      <c r="VAS54" s="5">
        <f>-IFERROR('4. NPV'!#REF!/'4. NPV'!VAT$8,0)</f>
        <v>0</v>
      </c>
      <c r="VAT54" s="5">
        <f>-IFERROR('4. NPV'!#REF!/'4. NPV'!VAU$8,0)</f>
        <v>0</v>
      </c>
      <c r="VAU54" s="5">
        <f>-IFERROR('4. NPV'!#REF!/'4. NPV'!VAV$8,0)</f>
        <v>0</v>
      </c>
      <c r="VAV54" s="5">
        <f>-IFERROR('4. NPV'!#REF!/'4. NPV'!VAW$8,0)</f>
        <v>0</v>
      </c>
      <c r="VAW54" s="5">
        <f>-IFERROR('4. NPV'!#REF!/'4. NPV'!VAX$8,0)</f>
        <v>0</v>
      </c>
      <c r="VAX54" s="5">
        <f>-IFERROR('4. NPV'!#REF!/'4. NPV'!VAY$8,0)</f>
        <v>0</v>
      </c>
      <c r="VAY54" s="5">
        <f>-IFERROR('4. NPV'!#REF!/'4. NPV'!VAZ$8,0)</f>
        <v>0</v>
      </c>
      <c r="VAZ54" s="5">
        <f>-IFERROR('4. NPV'!#REF!/'4. NPV'!VBA$8,0)</f>
        <v>0</v>
      </c>
      <c r="VBA54" s="5">
        <f>-IFERROR('4. NPV'!#REF!/'4. NPV'!VBB$8,0)</f>
        <v>0</v>
      </c>
      <c r="VBB54" s="5">
        <f>-IFERROR('4. NPV'!#REF!/'4. NPV'!VBC$8,0)</f>
        <v>0</v>
      </c>
      <c r="VBC54" s="5">
        <f>-IFERROR('4. NPV'!#REF!/'4. NPV'!VBD$8,0)</f>
        <v>0</v>
      </c>
      <c r="VBD54" s="5">
        <f>-IFERROR('4. NPV'!#REF!/'4. NPV'!VBE$8,0)</f>
        <v>0</v>
      </c>
      <c r="VBE54" s="5">
        <f>-IFERROR('4. NPV'!#REF!/'4. NPV'!VBF$8,0)</f>
        <v>0</v>
      </c>
      <c r="VBF54" s="5">
        <f>-IFERROR('4. NPV'!#REF!/'4. NPV'!VBG$8,0)</f>
        <v>0</v>
      </c>
      <c r="VBG54" s="5">
        <f>-IFERROR('4. NPV'!#REF!/'4. NPV'!VBH$8,0)</f>
        <v>0</v>
      </c>
      <c r="VBH54" s="5">
        <f>-IFERROR('4. NPV'!#REF!/'4. NPV'!VBI$8,0)</f>
        <v>0</v>
      </c>
      <c r="VBI54" s="5">
        <f>-IFERROR('4. NPV'!#REF!/'4. NPV'!VBJ$8,0)</f>
        <v>0</v>
      </c>
      <c r="VBJ54" s="5">
        <f>-IFERROR('4. NPV'!#REF!/'4. NPV'!VBK$8,0)</f>
        <v>0</v>
      </c>
      <c r="VBK54" s="5">
        <f>-IFERROR('4. NPV'!#REF!/'4. NPV'!VBL$8,0)</f>
        <v>0</v>
      </c>
      <c r="VBL54" s="5">
        <f>-IFERROR('4. NPV'!#REF!/'4. NPV'!VBM$8,0)</f>
        <v>0</v>
      </c>
      <c r="VBM54" s="5">
        <f>-IFERROR('4. NPV'!#REF!/'4. NPV'!VBN$8,0)</f>
        <v>0</v>
      </c>
      <c r="VBN54" s="5">
        <f>-IFERROR('4. NPV'!#REF!/'4. NPV'!VBO$8,0)</f>
        <v>0</v>
      </c>
      <c r="VBO54" s="5">
        <f>-IFERROR('4. NPV'!#REF!/'4. NPV'!VBP$8,0)</f>
        <v>0</v>
      </c>
      <c r="VBP54" s="5">
        <f>-IFERROR('4. NPV'!#REF!/'4. NPV'!VBQ$8,0)</f>
        <v>0</v>
      </c>
      <c r="VBQ54" s="5">
        <f>-IFERROR('4. NPV'!#REF!/'4. NPV'!VBR$8,0)</f>
        <v>0</v>
      </c>
      <c r="VBR54" s="5">
        <f>-IFERROR('4. NPV'!#REF!/'4. NPV'!VBS$8,0)</f>
        <v>0</v>
      </c>
      <c r="VBS54" s="5">
        <f>-IFERROR('4. NPV'!#REF!/'4. NPV'!VBT$8,0)</f>
        <v>0</v>
      </c>
      <c r="VBT54" s="5">
        <f>-IFERROR('4. NPV'!#REF!/'4. NPV'!VBU$8,0)</f>
        <v>0</v>
      </c>
      <c r="VBU54" s="5">
        <f>-IFERROR('4. NPV'!#REF!/'4. NPV'!VBV$8,0)</f>
        <v>0</v>
      </c>
      <c r="VBV54" s="5">
        <f>-IFERROR('4. NPV'!#REF!/'4. NPV'!VBW$8,0)</f>
        <v>0</v>
      </c>
      <c r="VBW54" s="5">
        <f>-IFERROR('4. NPV'!#REF!/'4. NPV'!VBX$8,0)</f>
        <v>0</v>
      </c>
      <c r="VBX54" s="5">
        <f>-IFERROR('4. NPV'!#REF!/'4. NPV'!VBY$8,0)</f>
        <v>0</v>
      </c>
      <c r="VBY54" s="5">
        <f>-IFERROR('4. NPV'!#REF!/'4. NPV'!VBZ$8,0)</f>
        <v>0</v>
      </c>
      <c r="VBZ54" s="5">
        <f>-IFERROR('4. NPV'!#REF!/'4. NPV'!VCA$8,0)</f>
        <v>0</v>
      </c>
      <c r="VCA54" s="5">
        <f>-IFERROR('4. NPV'!#REF!/'4. NPV'!VCB$8,0)</f>
        <v>0</v>
      </c>
      <c r="VCB54" s="5">
        <f>-IFERROR('4. NPV'!#REF!/'4. NPV'!VCC$8,0)</f>
        <v>0</v>
      </c>
      <c r="VCC54" s="5">
        <f>-IFERROR('4. NPV'!#REF!/'4. NPV'!VCD$8,0)</f>
        <v>0</v>
      </c>
      <c r="VCD54" s="5">
        <f>-IFERROR('4. NPV'!#REF!/'4. NPV'!VCE$8,0)</f>
        <v>0</v>
      </c>
      <c r="VCE54" s="5">
        <f>-IFERROR('4. NPV'!#REF!/'4. NPV'!VCF$8,0)</f>
        <v>0</v>
      </c>
      <c r="VCF54" s="5">
        <f>-IFERROR('4. NPV'!#REF!/'4. NPV'!VCG$8,0)</f>
        <v>0</v>
      </c>
      <c r="VCG54" s="5">
        <f>-IFERROR('4. NPV'!#REF!/'4. NPV'!VCH$8,0)</f>
        <v>0</v>
      </c>
      <c r="VCH54" s="5">
        <f>-IFERROR('4. NPV'!#REF!/'4. NPV'!VCI$8,0)</f>
        <v>0</v>
      </c>
      <c r="VCI54" s="5">
        <f>-IFERROR('4. NPV'!#REF!/'4. NPV'!VCJ$8,0)</f>
        <v>0</v>
      </c>
      <c r="VCJ54" s="5">
        <f>-IFERROR('4. NPV'!#REF!/'4. NPV'!VCK$8,0)</f>
        <v>0</v>
      </c>
      <c r="VCK54" s="5">
        <f>-IFERROR('4. NPV'!#REF!/'4. NPV'!VCL$8,0)</f>
        <v>0</v>
      </c>
      <c r="VCL54" s="5">
        <f>-IFERROR('4. NPV'!#REF!/'4. NPV'!VCM$8,0)</f>
        <v>0</v>
      </c>
      <c r="VCM54" s="5">
        <f>-IFERROR('4. NPV'!#REF!/'4. NPV'!VCN$8,0)</f>
        <v>0</v>
      </c>
      <c r="VCN54" s="5">
        <f>-IFERROR('4. NPV'!#REF!/'4. NPV'!VCO$8,0)</f>
        <v>0</v>
      </c>
      <c r="VCO54" s="5">
        <f>-IFERROR('4. NPV'!#REF!/'4. NPV'!VCP$8,0)</f>
        <v>0</v>
      </c>
      <c r="VCP54" s="5">
        <f>-IFERROR('4. NPV'!#REF!/'4. NPV'!VCQ$8,0)</f>
        <v>0</v>
      </c>
      <c r="VCQ54" s="5">
        <f>-IFERROR('4. NPV'!#REF!/'4. NPV'!VCR$8,0)</f>
        <v>0</v>
      </c>
      <c r="VCR54" s="5">
        <f>-IFERROR('4. NPV'!#REF!/'4. NPV'!VCS$8,0)</f>
        <v>0</v>
      </c>
      <c r="VCS54" s="5">
        <f>-IFERROR('4. NPV'!#REF!/'4. NPV'!VCT$8,0)</f>
        <v>0</v>
      </c>
      <c r="VCT54" s="5">
        <f>-IFERROR('4. NPV'!#REF!/'4. NPV'!VCU$8,0)</f>
        <v>0</v>
      </c>
      <c r="VCU54" s="5">
        <f>-IFERROR('4. NPV'!#REF!/'4. NPV'!VCV$8,0)</f>
        <v>0</v>
      </c>
      <c r="VCV54" s="5">
        <f>-IFERROR('4. NPV'!#REF!/'4. NPV'!VCW$8,0)</f>
        <v>0</v>
      </c>
      <c r="VCW54" s="5">
        <f>-IFERROR('4. NPV'!#REF!/'4. NPV'!VCX$8,0)</f>
        <v>0</v>
      </c>
      <c r="VCX54" s="5">
        <f>-IFERROR('4. NPV'!#REF!/'4. NPV'!VCY$8,0)</f>
        <v>0</v>
      </c>
      <c r="VCY54" s="5">
        <f>-IFERROR('4. NPV'!#REF!/'4. NPV'!VCZ$8,0)</f>
        <v>0</v>
      </c>
      <c r="VCZ54" s="5">
        <f>-IFERROR('4. NPV'!#REF!/'4. NPV'!VDA$8,0)</f>
        <v>0</v>
      </c>
      <c r="VDA54" s="5">
        <f>-IFERROR('4. NPV'!#REF!/'4. NPV'!VDB$8,0)</f>
        <v>0</v>
      </c>
      <c r="VDB54" s="5">
        <f>-IFERROR('4. NPV'!#REF!/'4. NPV'!VDC$8,0)</f>
        <v>0</v>
      </c>
      <c r="VDC54" s="5">
        <f>-IFERROR('4. NPV'!#REF!/'4. NPV'!VDD$8,0)</f>
        <v>0</v>
      </c>
      <c r="VDD54" s="5">
        <f>-IFERROR('4. NPV'!#REF!/'4. NPV'!VDE$8,0)</f>
        <v>0</v>
      </c>
      <c r="VDE54" s="5">
        <f>-IFERROR('4. NPV'!#REF!/'4. NPV'!VDF$8,0)</f>
        <v>0</v>
      </c>
      <c r="VDF54" s="5">
        <f>-IFERROR('4. NPV'!#REF!/'4. NPV'!VDG$8,0)</f>
        <v>0</v>
      </c>
      <c r="VDG54" s="5">
        <f>-IFERROR('4. NPV'!#REF!/'4. NPV'!VDH$8,0)</f>
        <v>0</v>
      </c>
      <c r="VDH54" s="5">
        <f>-IFERROR('4. NPV'!#REF!/'4. NPV'!VDI$8,0)</f>
        <v>0</v>
      </c>
      <c r="VDI54" s="5">
        <f>-IFERROR('4. NPV'!#REF!/'4. NPV'!VDJ$8,0)</f>
        <v>0</v>
      </c>
      <c r="VDJ54" s="5">
        <f>-IFERROR('4. NPV'!#REF!/'4. NPV'!VDK$8,0)</f>
        <v>0</v>
      </c>
      <c r="VDK54" s="5">
        <f>-IFERROR('4. NPV'!#REF!/'4. NPV'!VDL$8,0)</f>
        <v>0</v>
      </c>
      <c r="VDL54" s="5">
        <f>-IFERROR('4. NPV'!#REF!/'4. NPV'!VDM$8,0)</f>
        <v>0</v>
      </c>
      <c r="VDM54" s="5">
        <f>-IFERROR('4. NPV'!#REF!/'4. NPV'!VDN$8,0)</f>
        <v>0</v>
      </c>
      <c r="VDN54" s="5">
        <f>-IFERROR('4. NPV'!#REF!/'4. NPV'!VDO$8,0)</f>
        <v>0</v>
      </c>
      <c r="VDO54" s="5">
        <f>-IFERROR('4. NPV'!#REF!/'4. NPV'!VDP$8,0)</f>
        <v>0</v>
      </c>
      <c r="VDP54" s="5">
        <f>-IFERROR('4. NPV'!#REF!/'4. NPV'!VDQ$8,0)</f>
        <v>0</v>
      </c>
      <c r="VDQ54" s="5">
        <f>-IFERROR('4. NPV'!#REF!/'4. NPV'!VDR$8,0)</f>
        <v>0</v>
      </c>
      <c r="VDR54" s="5">
        <f>-IFERROR('4. NPV'!#REF!/'4. NPV'!VDS$8,0)</f>
        <v>0</v>
      </c>
      <c r="VDS54" s="5">
        <f>-IFERROR('4. NPV'!#REF!/'4. NPV'!VDT$8,0)</f>
        <v>0</v>
      </c>
      <c r="VDT54" s="5">
        <f>-IFERROR('4. NPV'!#REF!/'4. NPV'!VDU$8,0)</f>
        <v>0</v>
      </c>
      <c r="VDU54" s="5">
        <f>-IFERROR('4. NPV'!#REF!/'4. NPV'!VDV$8,0)</f>
        <v>0</v>
      </c>
      <c r="VDV54" s="5">
        <f>-IFERROR('4. NPV'!#REF!/'4. NPV'!VDW$8,0)</f>
        <v>0</v>
      </c>
      <c r="VDW54" s="5">
        <f>-IFERROR('4. NPV'!#REF!/'4. NPV'!VDX$8,0)</f>
        <v>0</v>
      </c>
      <c r="VDX54" s="5">
        <f>-IFERROR('4. NPV'!#REF!/'4. NPV'!VDY$8,0)</f>
        <v>0</v>
      </c>
      <c r="VDY54" s="5">
        <f>-IFERROR('4. NPV'!#REF!/'4. NPV'!VDZ$8,0)</f>
        <v>0</v>
      </c>
      <c r="VDZ54" s="5">
        <f>-IFERROR('4. NPV'!#REF!/'4. NPV'!VEA$8,0)</f>
        <v>0</v>
      </c>
      <c r="VEA54" s="5">
        <f>-IFERROR('4. NPV'!#REF!/'4. NPV'!VEB$8,0)</f>
        <v>0</v>
      </c>
      <c r="VEB54" s="5">
        <f>-IFERROR('4. NPV'!#REF!/'4. NPV'!VEC$8,0)</f>
        <v>0</v>
      </c>
      <c r="VEC54" s="5">
        <f>-IFERROR('4. NPV'!#REF!/'4. NPV'!VED$8,0)</f>
        <v>0</v>
      </c>
      <c r="VED54" s="5">
        <f>-IFERROR('4. NPV'!#REF!/'4. NPV'!VEE$8,0)</f>
        <v>0</v>
      </c>
      <c r="VEE54" s="5">
        <f>-IFERROR('4. NPV'!#REF!/'4. NPV'!VEF$8,0)</f>
        <v>0</v>
      </c>
      <c r="VEF54" s="5">
        <f>-IFERROR('4. NPV'!#REF!/'4. NPV'!VEG$8,0)</f>
        <v>0</v>
      </c>
      <c r="VEG54" s="5">
        <f>-IFERROR('4. NPV'!#REF!/'4. NPV'!VEH$8,0)</f>
        <v>0</v>
      </c>
      <c r="VEH54" s="5">
        <f>-IFERROR('4. NPV'!#REF!/'4. NPV'!VEI$8,0)</f>
        <v>0</v>
      </c>
      <c r="VEI54" s="5">
        <f>-IFERROR('4. NPV'!#REF!/'4. NPV'!VEJ$8,0)</f>
        <v>0</v>
      </c>
      <c r="VEJ54" s="5">
        <f>-IFERROR('4. NPV'!#REF!/'4. NPV'!VEK$8,0)</f>
        <v>0</v>
      </c>
      <c r="VEK54" s="5">
        <f>-IFERROR('4. NPV'!#REF!/'4. NPV'!VEL$8,0)</f>
        <v>0</v>
      </c>
      <c r="VEL54" s="5">
        <f>-IFERROR('4. NPV'!#REF!/'4. NPV'!VEM$8,0)</f>
        <v>0</v>
      </c>
      <c r="VEM54" s="5">
        <f>-IFERROR('4. NPV'!#REF!/'4. NPV'!VEN$8,0)</f>
        <v>0</v>
      </c>
      <c r="VEN54" s="5">
        <f>-IFERROR('4. NPV'!#REF!/'4. NPV'!VEO$8,0)</f>
        <v>0</v>
      </c>
      <c r="VEO54" s="5">
        <f>-IFERROR('4. NPV'!#REF!/'4. NPV'!VEP$8,0)</f>
        <v>0</v>
      </c>
      <c r="VEP54" s="5">
        <f>-IFERROR('4. NPV'!#REF!/'4. NPV'!VEQ$8,0)</f>
        <v>0</v>
      </c>
      <c r="VEQ54" s="5">
        <f>-IFERROR('4. NPV'!#REF!/'4. NPV'!VER$8,0)</f>
        <v>0</v>
      </c>
      <c r="VER54" s="5">
        <f>-IFERROR('4. NPV'!#REF!/'4. NPV'!VES$8,0)</f>
        <v>0</v>
      </c>
      <c r="VES54" s="5">
        <f>-IFERROR('4. NPV'!#REF!/'4. NPV'!VET$8,0)</f>
        <v>0</v>
      </c>
      <c r="VET54" s="5">
        <f>-IFERROR('4. NPV'!#REF!/'4. NPV'!VEU$8,0)</f>
        <v>0</v>
      </c>
      <c r="VEU54" s="5">
        <f>-IFERROR('4. NPV'!#REF!/'4. NPV'!VEV$8,0)</f>
        <v>0</v>
      </c>
      <c r="VEV54" s="5">
        <f>-IFERROR('4. NPV'!#REF!/'4. NPV'!VEW$8,0)</f>
        <v>0</v>
      </c>
      <c r="VEW54" s="5">
        <f>-IFERROR('4. NPV'!#REF!/'4. NPV'!VEX$8,0)</f>
        <v>0</v>
      </c>
      <c r="VEX54" s="5">
        <f>-IFERROR('4. NPV'!#REF!/'4. NPV'!VEY$8,0)</f>
        <v>0</v>
      </c>
      <c r="VEY54" s="5">
        <f>-IFERROR('4. NPV'!#REF!/'4. NPV'!VEZ$8,0)</f>
        <v>0</v>
      </c>
      <c r="VEZ54" s="5">
        <f>-IFERROR('4. NPV'!#REF!/'4. NPV'!VFA$8,0)</f>
        <v>0</v>
      </c>
      <c r="VFA54" s="5">
        <f>-IFERROR('4. NPV'!#REF!/'4. NPV'!VFB$8,0)</f>
        <v>0</v>
      </c>
      <c r="VFB54" s="5">
        <f>-IFERROR('4. NPV'!#REF!/'4. NPV'!VFC$8,0)</f>
        <v>0</v>
      </c>
      <c r="VFC54" s="5">
        <f>-IFERROR('4. NPV'!#REF!/'4. NPV'!VFD$8,0)</f>
        <v>0</v>
      </c>
      <c r="VFD54" s="5">
        <f>-IFERROR('4. NPV'!#REF!/'4. NPV'!VFE$8,0)</f>
        <v>0</v>
      </c>
      <c r="VFE54" s="5">
        <f>-IFERROR('4. NPV'!#REF!/'4. NPV'!VFF$8,0)</f>
        <v>0</v>
      </c>
      <c r="VFF54" s="5">
        <f>-IFERROR('4. NPV'!#REF!/'4. NPV'!VFG$8,0)</f>
        <v>0</v>
      </c>
      <c r="VFG54" s="5">
        <f>-IFERROR('4. NPV'!#REF!/'4. NPV'!VFH$8,0)</f>
        <v>0</v>
      </c>
      <c r="VFH54" s="5">
        <f>-IFERROR('4. NPV'!#REF!/'4. NPV'!VFI$8,0)</f>
        <v>0</v>
      </c>
      <c r="VFI54" s="5">
        <f>-IFERROR('4. NPV'!#REF!/'4. NPV'!VFJ$8,0)</f>
        <v>0</v>
      </c>
      <c r="VFJ54" s="5">
        <f>-IFERROR('4. NPV'!#REF!/'4. NPV'!VFK$8,0)</f>
        <v>0</v>
      </c>
      <c r="VFK54" s="5">
        <f>-IFERROR('4. NPV'!#REF!/'4. NPV'!VFL$8,0)</f>
        <v>0</v>
      </c>
      <c r="VFL54" s="5">
        <f>-IFERROR('4. NPV'!#REF!/'4. NPV'!VFM$8,0)</f>
        <v>0</v>
      </c>
      <c r="VFM54" s="5">
        <f>-IFERROR('4. NPV'!#REF!/'4. NPV'!VFN$8,0)</f>
        <v>0</v>
      </c>
      <c r="VFN54" s="5">
        <f>-IFERROR('4. NPV'!#REF!/'4. NPV'!VFO$8,0)</f>
        <v>0</v>
      </c>
      <c r="VFO54" s="5">
        <f>-IFERROR('4. NPV'!#REF!/'4. NPV'!VFP$8,0)</f>
        <v>0</v>
      </c>
      <c r="VFP54" s="5">
        <f>-IFERROR('4. NPV'!#REF!/'4. NPV'!VFQ$8,0)</f>
        <v>0</v>
      </c>
      <c r="VFQ54" s="5">
        <f>-IFERROR('4. NPV'!#REF!/'4. NPV'!VFR$8,0)</f>
        <v>0</v>
      </c>
      <c r="VFR54" s="5">
        <f>-IFERROR('4. NPV'!#REF!/'4. NPV'!VFS$8,0)</f>
        <v>0</v>
      </c>
      <c r="VFS54" s="5">
        <f>-IFERROR('4. NPV'!#REF!/'4. NPV'!VFT$8,0)</f>
        <v>0</v>
      </c>
      <c r="VFT54" s="5">
        <f>-IFERROR('4. NPV'!#REF!/'4. NPV'!VFU$8,0)</f>
        <v>0</v>
      </c>
      <c r="VFU54" s="5">
        <f>-IFERROR('4. NPV'!#REF!/'4. NPV'!VFV$8,0)</f>
        <v>0</v>
      </c>
      <c r="VFV54" s="5">
        <f>-IFERROR('4. NPV'!#REF!/'4. NPV'!VFW$8,0)</f>
        <v>0</v>
      </c>
      <c r="VFW54" s="5">
        <f>-IFERROR('4. NPV'!#REF!/'4. NPV'!VFX$8,0)</f>
        <v>0</v>
      </c>
      <c r="VFX54" s="5">
        <f>-IFERROR('4. NPV'!#REF!/'4. NPV'!VFY$8,0)</f>
        <v>0</v>
      </c>
      <c r="VFY54" s="5">
        <f>-IFERROR('4. NPV'!#REF!/'4. NPV'!VFZ$8,0)</f>
        <v>0</v>
      </c>
      <c r="VFZ54" s="5">
        <f>-IFERROR('4. NPV'!#REF!/'4. NPV'!VGA$8,0)</f>
        <v>0</v>
      </c>
      <c r="VGA54" s="5">
        <f>-IFERROR('4. NPV'!#REF!/'4. NPV'!VGB$8,0)</f>
        <v>0</v>
      </c>
      <c r="VGB54" s="5">
        <f>-IFERROR('4. NPV'!#REF!/'4. NPV'!VGC$8,0)</f>
        <v>0</v>
      </c>
      <c r="VGC54" s="5">
        <f>-IFERROR('4. NPV'!#REF!/'4. NPV'!VGD$8,0)</f>
        <v>0</v>
      </c>
      <c r="VGD54" s="5">
        <f>-IFERROR('4. NPV'!#REF!/'4. NPV'!VGE$8,0)</f>
        <v>0</v>
      </c>
      <c r="VGE54" s="5">
        <f>-IFERROR('4. NPV'!#REF!/'4. NPV'!VGF$8,0)</f>
        <v>0</v>
      </c>
      <c r="VGF54" s="5">
        <f>-IFERROR('4. NPV'!#REF!/'4. NPV'!VGG$8,0)</f>
        <v>0</v>
      </c>
      <c r="VGG54" s="5">
        <f>-IFERROR('4. NPV'!#REF!/'4. NPV'!VGH$8,0)</f>
        <v>0</v>
      </c>
      <c r="VGH54" s="5">
        <f>-IFERROR('4. NPV'!#REF!/'4. NPV'!VGI$8,0)</f>
        <v>0</v>
      </c>
      <c r="VGI54" s="5">
        <f>-IFERROR('4. NPV'!#REF!/'4. NPV'!VGJ$8,0)</f>
        <v>0</v>
      </c>
      <c r="VGJ54" s="5">
        <f>-IFERROR('4. NPV'!#REF!/'4. NPV'!VGK$8,0)</f>
        <v>0</v>
      </c>
      <c r="VGK54" s="5">
        <f>-IFERROR('4. NPV'!#REF!/'4. NPV'!VGL$8,0)</f>
        <v>0</v>
      </c>
      <c r="VGL54" s="5">
        <f>-IFERROR('4. NPV'!#REF!/'4. NPV'!VGM$8,0)</f>
        <v>0</v>
      </c>
      <c r="VGM54" s="5">
        <f>-IFERROR('4. NPV'!#REF!/'4. NPV'!VGN$8,0)</f>
        <v>0</v>
      </c>
      <c r="VGN54" s="5">
        <f>-IFERROR('4. NPV'!#REF!/'4. NPV'!VGO$8,0)</f>
        <v>0</v>
      </c>
      <c r="VGO54" s="5">
        <f>-IFERROR('4. NPV'!#REF!/'4. NPV'!VGP$8,0)</f>
        <v>0</v>
      </c>
      <c r="VGP54" s="5">
        <f>-IFERROR('4. NPV'!#REF!/'4. NPV'!VGQ$8,0)</f>
        <v>0</v>
      </c>
      <c r="VGQ54" s="5">
        <f>-IFERROR('4. NPV'!#REF!/'4. NPV'!VGR$8,0)</f>
        <v>0</v>
      </c>
      <c r="VGR54" s="5">
        <f>-IFERROR('4. NPV'!#REF!/'4. NPV'!VGS$8,0)</f>
        <v>0</v>
      </c>
      <c r="VGS54" s="5">
        <f>-IFERROR('4. NPV'!#REF!/'4. NPV'!VGT$8,0)</f>
        <v>0</v>
      </c>
      <c r="VGT54" s="5">
        <f>-IFERROR('4. NPV'!#REF!/'4. NPV'!VGU$8,0)</f>
        <v>0</v>
      </c>
      <c r="VGU54" s="5">
        <f>-IFERROR('4. NPV'!#REF!/'4. NPV'!VGV$8,0)</f>
        <v>0</v>
      </c>
      <c r="VGV54" s="5">
        <f>-IFERROR('4. NPV'!#REF!/'4. NPV'!VGW$8,0)</f>
        <v>0</v>
      </c>
      <c r="VGW54" s="5">
        <f>-IFERROR('4. NPV'!#REF!/'4. NPV'!VGX$8,0)</f>
        <v>0</v>
      </c>
      <c r="VGX54" s="5">
        <f>-IFERROR('4. NPV'!#REF!/'4. NPV'!VGY$8,0)</f>
        <v>0</v>
      </c>
      <c r="VGY54" s="5">
        <f>-IFERROR('4. NPV'!#REF!/'4. NPV'!VGZ$8,0)</f>
        <v>0</v>
      </c>
      <c r="VGZ54" s="5">
        <f>-IFERROR('4. NPV'!#REF!/'4. NPV'!VHA$8,0)</f>
        <v>0</v>
      </c>
      <c r="VHA54" s="5">
        <f>-IFERROR('4. NPV'!#REF!/'4. NPV'!VHB$8,0)</f>
        <v>0</v>
      </c>
      <c r="VHB54" s="5">
        <f>-IFERROR('4. NPV'!#REF!/'4. NPV'!VHC$8,0)</f>
        <v>0</v>
      </c>
      <c r="VHC54" s="5">
        <f>-IFERROR('4. NPV'!#REF!/'4. NPV'!VHD$8,0)</f>
        <v>0</v>
      </c>
      <c r="VHD54" s="5">
        <f>-IFERROR('4. NPV'!#REF!/'4. NPV'!VHE$8,0)</f>
        <v>0</v>
      </c>
      <c r="VHE54" s="5">
        <f>-IFERROR('4. NPV'!#REF!/'4. NPV'!VHF$8,0)</f>
        <v>0</v>
      </c>
      <c r="VHF54" s="5">
        <f>-IFERROR('4. NPV'!#REF!/'4. NPV'!VHG$8,0)</f>
        <v>0</v>
      </c>
      <c r="VHG54" s="5">
        <f>-IFERROR('4. NPV'!#REF!/'4. NPV'!VHH$8,0)</f>
        <v>0</v>
      </c>
      <c r="VHH54" s="5">
        <f>-IFERROR('4. NPV'!#REF!/'4. NPV'!VHI$8,0)</f>
        <v>0</v>
      </c>
      <c r="VHI54" s="5">
        <f>-IFERROR('4. NPV'!#REF!/'4. NPV'!VHJ$8,0)</f>
        <v>0</v>
      </c>
      <c r="VHJ54" s="5">
        <f>-IFERROR('4. NPV'!#REF!/'4. NPV'!VHK$8,0)</f>
        <v>0</v>
      </c>
      <c r="VHK54" s="5">
        <f>-IFERROR('4. NPV'!#REF!/'4. NPV'!VHL$8,0)</f>
        <v>0</v>
      </c>
      <c r="VHL54" s="5">
        <f>-IFERROR('4. NPV'!#REF!/'4. NPV'!VHM$8,0)</f>
        <v>0</v>
      </c>
      <c r="VHM54" s="5">
        <f>-IFERROR('4. NPV'!#REF!/'4. NPV'!VHN$8,0)</f>
        <v>0</v>
      </c>
      <c r="VHN54" s="5">
        <f>-IFERROR('4. NPV'!#REF!/'4. NPV'!VHO$8,0)</f>
        <v>0</v>
      </c>
      <c r="VHO54" s="5">
        <f>-IFERROR('4. NPV'!#REF!/'4. NPV'!VHP$8,0)</f>
        <v>0</v>
      </c>
      <c r="VHP54" s="5">
        <f>-IFERROR('4. NPV'!#REF!/'4. NPV'!VHQ$8,0)</f>
        <v>0</v>
      </c>
      <c r="VHQ54" s="5">
        <f>-IFERROR('4. NPV'!#REF!/'4. NPV'!VHR$8,0)</f>
        <v>0</v>
      </c>
      <c r="VHR54" s="5">
        <f>-IFERROR('4. NPV'!#REF!/'4. NPV'!VHS$8,0)</f>
        <v>0</v>
      </c>
      <c r="VHS54" s="5">
        <f>-IFERROR('4. NPV'!#REF!/'4. NPV'!VHT$8,0)</f>
        <v>0</v>
      </c>
      <c r="VHT54" s="5">
        <f>-IFERROR('4. NPV'!#REF!/'4. NPV'!VHU$8,0)</f>
        <v>0</v>
      </c>
      <c r="VHU54" s="5">
        <f>-IFERROR('4. NPV'!#REF!/'4. NPV'!VHV$8,0)</f>
        <v>0</v>
      </c>
      <c r="VHV54" s="5">
        <f>-IFERROR('4. NPV'!#REF!/'4. NPV'!VHW$8,0)</f>
        <v>0</v>
      </c>
      <c r="VHW54" s="5">
        <f>-IFERROR('4. NPV'!#REF!/'4. NPV'!VHX$8,0)</f>
        <v>0</v>
      </c>
      <c r="VHX54" s="5">
        <f>-IFERROR('4. NPV'!#REF!/'4. NPV'!VHY$8,0)</f>
        <v>0</v>
      </c>
      <c r="VHY54" s="5">
        <f>-IFERROR('4. NPV'!#REF!/'4. NPV'!VHZ$8,0)</f>
        <v>0</v>
      </c>
      <c r="VHZ54" s="5">
        <f>-IFERROR('4. NPV'!#REF!/'4. NPV'!VIA$8,0)</f>
        <v>0</v>
      </c>
      <c r="VIA54" s="5">
        <f>-IFERROR('4. NPV'!#REF!/'4. NPV'!VIB$8,0)</f>
        <v>0</v>
      </c>
      <c r="VIB54" s="5">
        <f>-IFERROR('4. NPV'!#REF!/'4. NPV'!VIC$8,0)</f>
        <v>0</v>
      </c>
      <c r="VIC54" s="5">
        <f>-IFERROR('4. NPV'!#REF!/'4. NPV'!VID$8,0)</f>
        <v>0</v>
      </c>
      <c r="VID54" s="5">
        <f>-IFERROR('4. NPV'!#REF!/'4. NPV'!VIE$8,0)</f>
        <v>0</v>
      </c>
      <c r="VIE54" s="5">
        <f>-IFERROR('4. NPV'!#REF!/'4. NPV'!VIF$8,0)</f>
        <v>0</v>
      </c>
      <c r="VIF54" s="5">
        <f>-IFERROR('4. NPV'!#REF!/'4. NPV'!VIG$8,0)</f>
        <v>0</v>
      </c>
      <c r="VIG54" s="5">
        <f>-IFERROR('4. NPV'!#REF!/'4. NPV'!VIH$8,0)</f>
        <v>0</v>
      </c>
      <c r="VIH54" s="5">
        <f>-IFERROR('4. NPV'!#REF!/'4. NPV'!VII$8,0)</f>
        <v>0</v>
      </c>
      <c r="VII54" s="5">
        <f>-IFERROR('4. NPV'!#REF!/'4. NPV'!VIJ$8,0)</f>
        <v>0</v>
      </c>
      <c r="VIJ54" s="5">
        <f>-IFERROR('4. NPV'!#REF!/'4. NPV'!VIK$8,0)</f>
        <v>0</v>
      </c>
      <c r="VIK54" s="5">
        <f>-IFERROR('4. NPV'!#REF!/'4. NPV'!VIL$8,0)</f>
        <v>0</v>
      </c>
      <c r="VIL54" s="5">
        <f>-IFERROR('4. NPV'!#REF!/'4. NPV'!VIM$8,0)</f>
        <v>0</v>
      </c>
      <c r="VIM54" s="5">
        <f>-IFERROR('4. NPV'!#REF!/'4. NPV'!VIN$8,0)</f>
        <v>0</v>
      </c>
      <c r="VIN54" s="5">
        <f>-IFERROR('4. NPV'!#REF!/'4. NPV'!VIO$8,0)</f>
        <v>0</v>
      </c>
      <c r="VIO54" s="5">
        <f>-IFERROR('4. NPV'!#REF!/'4. NPV'!VIP$8,0)</f>
        <v>0</v>
      </c>
      <c r="VIP54" s="5">
        <f>-IFERROR('4. NPV'!#REF!/'4. NPV'!VIQ$8,0)</f>
        <v>0</v>
      </c>
      <c r="VIQ54" s="5">
        <f>-IFERROR('4. NPV'!#REF!/'4. NPV'!VIR$8,0)</f>
        <v>0</v>
      </c>
      <c r="VIR54" s="5">
        <f>-IFERROR('4. NPV'!#REF!/'4. NPV'!VIS$8,0)</f>
        <v>0</v>
      </c>
      <c r="VIS54" s="5">
        <f>-IFERROR('4. NPV'!#REF!/'4. NPV'!VIT$8,0)</f>
        <v>0</v>
      </c>
      <c r="VIT54" s="5">
        <f>-IFERROR('4. NPV'!#REF!/'4. NPV'!VIU$8,0)</f>
        <v>0</v>
      </c>
      <c r="VIU54" s="5">
        <f>-IFERROR('4. NPV'!#REF!/'4. NPV'!VIV$8,0)</f>
        <v>0</v>
      </c>
      <c r="VIV54" s="5">
        <f>-IFERROR('4. NPV'!#REF!/'4. NPV'!VIW$8,0)</f>
        <v>0</v>
      </c>
      <c r="VIW54" s="5">
        <f>-IFERROR('4. NPV'!#REF!/'4. NPV'!VIX$8,0)</f>
        <v>0</v>
      </c>
      <c r="VIX54" s="5">
        <f>-IFERROR('4. NPV'!#REF!/'4. NPV'!VIY$8,0)</f>
        <v>0</v>
      </c>
      <c r="VIY54" s="5">
        <f>-IFERROR('4. NPV'!#REF!/'4. NPV'!VIZ$8,0)</f>
        <v>0</v>
      </c>
      <c r="VIZ54" s="5">
        <f>-IFERROR('4. NPV'!#REF!/'4. NPV'!VJA$8,0)</f>
        <v>0</v>
      </c>
      <c r="VJA54" s="5">
        <f>-IFERROR('4. NPV'!#REF!/'4. NPV'!VJB$8,0)</f>
        <v>0</v>
      </c>
      <c r="VJB54" s="5">
        <f>-IFERROR('4. NPV'!#REF!/'4. NPV'!VJC$8,0)</f>
        <v>0</v>
      </c>
      <c r="VJC54" s="5">
        <f>-IFERROR('4. NPV'!#REF!/'4. NPV'!VJD$8,0)</f>
        <v>0</v>
      </c>
      <c r="VJD54" s="5">
        <f>-IFERROR('4. NPV'!#REF!/'4. NPV'!VJE$8,0)</f>
        <v>0</v>
      </c>
      <c r="VJE54" s="5">
        <f>-IFERROR('4. NPV'!#REF!/'4. NPV'!VJF$8,0)</f>
        <v>0</v>
      </c>
      <c r="VJF54" s="5">
        <f>-IFERROR('4. NPV'!#REF!/'4. NPV'!VJG$8,0)</f>
        <v>0</v>
      </c>
      <c r="VJG54" s="5">
        <f>-IFERROR('4. NPV'!#REF!/'4. NPV'!VJH$8,0)</f>
        <v>0</v>
      </c>
      <c r="VJH54" s="5">
        <f>-IFERROR('4. NPV'!#REF!/'4. NPV'!VJI$8,0)</f>
        <v>0</v>
      </c>
      <c r="VJI54" s="5">
        <f>-IFERROR('4. NPV'!#REF!/'4. NPV'!VJJ$8,0)</f>
        <v>0</v>
      </c>
      <c r="VJJ54" s="5">
        <f>-IFERROR('4. NPV'!#REF!/'4. NPV'!VJK$8,0)</f>
        <v>0</v>
      </c>
      <c r="VJK54" s="5">
        <f>-IFERROR('4. NPV'!#REF!/'4. NPV'!VJL$8,0)</f>
        <v>0</v>
      </c>
      <c r="VJL54" s="5">
        <f>-IFERROR('4. NPV'!#REF!/'4. NPV'!VJM$8,0)</f>
        <v>0</v>
      </c>
      <c r="VJM54" s="5">
        <f>-IFERROR('4. NPV'!#REF!/'4. NPV'!VJN$8,0)</f>
        <v>0</v>
      </c>
      <c r="VJN54" s="5">
        <f>-IFERROR('4. NPV'!#REF!/'4. NPV'!VJO$8,0)</f>
        <v>0</v>
      </c>
      <c r="VJO54" s="5">
        <f>-IFERROR('4. NPV'!#REF!/'4. NPV'!VJP$8,0)</f>
        <v>0</v>
      </c>
      <c r="VJP54" s="5">
        <f>-IFERROR('4. NPV'!#REF!/'4. NPV'!VJQ$8,0)</f>
        <v>0</v>
      </c>
      <c r="VJQ54" s="5">
        <f>-IFERROR('4. NPV'!#REF!/'4. NPV'!VJR$8,0)</f>
        <v>0</v>
      </c>
      <c r="VJR54" s="5">
        <f>-IFERROR('4. NPV'!#REF!/'4. NPV'!VJS$8,0)</f>
        <v>0</v>
      </c>
      <c r="VJS54" s="5">
        <f>-IFERROR('4. NPV'!#REF!/'4. NPV'!VJT$8,0)</f>
        <v>0</v>
      </c>
      <c r="VJT54" s="5">
        <f>-IFERROR('4. NPV'!#REF!/'4. NPV'!VJU$8,0)</f>
        <v>0</v>
      </c>
      <c r="VJU54" s="5">
        <f>-IFERROR('4. NPV'!#REF!/'4. NPV'!VJV$8,0)</f>
        <v>0</v>
      </c>
      <c r="VJV54" s="5">
        <f>-IFERROR('4. NPV'!#REF!/'4. NPV'!VJW$8,0)</f>
        <v>0</v>
      </c>
      <c r="VJW54" s="5">
        <f>-IFERROR('4. NPV'!#REF!/'4. NPV'!VJX$8,0)</f>
        <v>0</v>
      </c>
      <c r="VJX54" s="5">
        <f>-IFERROR('4. NPV'!#REF!/'4. NPV'!VJY$8,0)</f>
        <v>0</v>
      </c>
      <c r="VJY54" s="5">
        <f>-IFERROR('4. NPV'!#REF!/'4. NPV'!VJZ$8,0)</f>
        <v>0</v>
      </c>
      <c r="VJZ54" s="5">
        <f>-IFERROR('4. NPV'!#REF!/'4. NPV'!VKA$8,0)</f>
        <v>0</v>
      </c>
      <c r="VKA54" s="5">
        <f>-IFERROR('4. NPV'!#REF!/'4. NPV'!VKB$8,0)</f>
        <v>0</v>
      </c>
      <c r="VKB54" s="5">
        <f>-IFERROR('4. NPV'!#REF!/'4. NPV'!VKC$8,0)</f>
        <v>0</v>
      </c>
      <c r="VKC54" s="5">
        <f>-IFERROR('4. NPV'!#REF!/'4. NPV'!VKD$8,0)</f>
        <v>0</v>
      </c>
      <c r="VKD54" s="5">
        <f>-IFERROR('4. NPV'!#REF!/'4. NPV'!VKE$8,0)</f>
        <v>0</v>
      </c>
      <c r="VKE54" s="5">
        <f>-IFERROR('4. NPV'!#REF!/'4. NPV'!VKF$8,0)</f>
        <v>0</v>
      </c>
      <c r="VKF54" s="5">
        <f>-IFERROR('4. NPV'!#REF!/'4. NPV'!VKG$8,0)</f>
        <v>0</v>
      </c>
      <c r="VKG54" s="5">
        <f>-IFERROR('4. NPV'!#REF!/'4. NPV'!VKH$8,0)</f>
        <v>0</v>
      </c>
      <c r="VKH54" s="5">
        <f>-IFERROR('4. NPV'!#REF!/'4. NPV'!VKI$8,0)</f>
        <v>0</v>
      </c>
      <c r="VKI54" s="5">
        <f>-IFERROR('4. NPV'!#REF!/'4. NPV'!VKJ$8,0)</f>
        <v>0</v>
      </c>
      <c r="VKJ54" s="5">
        <f>-IFERROR('4. NPV'!#REF!/'4. NPV'!VKK$8,0)</f>
        <v>0</v>
      </c>
      <c r="VKK54" s="5">
        <f>-IFERROR('4. NPV'!#REF!/'4. NPV'!VKL$8,0)</f>
        <v>0</v>
      </c>
      <c r="VKL54" s="5">
        <f>-IFERROR('4. NPV'!#REF!/'4. NPV'!VKM$8,0)</f>
        <v>0</v>
      </c>
      <c r="VKM54" s="5">
        <f>-IFERROR('4. NPV'!#REF!/'4. NPV'!VKN$8,0)</f>
        <v>0</v>
      </c>
      <c r="VKN54" s="5">
        <f>-IFERROR('4. NPV'!#REF!/'4. NPV'!VKO$8,0)</f>
        <v>0</v>
      </c>
      <c r="VKO54" s="5">
        <f>-IFERROR('4. NPV'!#REF!/'4. NPV'!VKP$8,0)</f>
        <v>0</v>
      </c>
      <c r="VKP54" s="5">
        <f>-IFERROR('4. NPV'!#REF!/'4. NPV'!VKQ$8,0)</f>
        <v>0</v>
      </c>
      <c r="VKQ54" s="5">
        <f>-IFERROR('4. NPV'!#REF!/'4. NPV'!VKR$8,0)</f>
        <v>0</v>
      </c>
      <c r="VKR54" s="5">
        <f>-IFERROR('4. NPV'!#REF!/'4. NPV'!VKS$8,0)</f>
        <v>0</v>
      </c>
      <c r="VKS54" s="5">
        <f>-IFERROR('4. NPV'!#REF!/'4. NPV'!VKT$8,0)</f>
        <v>0</v>
      </c>
      <c r="VKT54" s="5">
        <f>-IFERROR('4. NPV'!#REF!/'4. NPV'!VKU$8,0)</f>
        <v>0</v>
      </c>
      <c r="VKU54" s="5">
        <f>-IFERROR('4. NPV'!#REF!/'4. NPV'!VKV$8,0)</f>
        <v>0</v>
      </c>
      <c r="VKV54" s="5">
        <f>-IFERROR('4. NPV'!#REF!/'4. NPV'!VKW$8,0)</f>
        <v>0</v>
      </c>
      <c r="VKW54" s="5">
        <f>-IFERROR('4. NPV'!#REF!/'4. NPV'!VKX$8,0)</f>
        <v>0</v>
      </c>
      <c r="VKX54" s="5">
        <f>-IFERROR('4. NPV'!#REF!/'4. NPV'!VKY$8,0)</f>
        <v>0</v>
      </c>
      <c r="VKY54" s="5">
        <f>-IFERROR('4. NPV'!#REF!/'4. NPV'!VKZ$8,0)</f>
        <v>0</v>
      </c>
      <c r="VKZ54" s="5">
        <f>-IFERROR('4. NPV'!#REF!/'4. NPV'!VLA$8,0)</f>
        <v>0</v>
      </c>
      <c r="VLA54" s="5">
        <f>-IFERROR('4. NPV'!#REF!/'4. NPV'!VLB$8,0)</f>
        <v>0</v>
      </c>
      <c r="VLB54" s="5">
        <f>-IFERROR('4. NPV'!#REF!/'4. NPV'!VLC$8,0)</f>
        <v>0</v>
      </c>
      <c r="VLC54" s="5">
        <f>-IFERROR('4. NPV'!#REF!/'4. NPV'!VLD$8,0)</f>
        <v>0</v>
      </c>
      <c r="VLD54" s="5">
        <f>-IFERROR('4. NPV'!#REF!/'4. NPV'!VLE$8,0)</f>
        <v>0</v>
      </c>
      <c r="VLE54" s="5">
        <f>-IFERROR('4. NPV'!#REF!/'4. NPV'!VLF$8,0)</f>
        <v>0</v>
      </c>
      <c r="VLF54" s="5">
        <f>-IFERROR('4. NPV'!#REF!/'4. NPV'!VLG$8,0)</f>
        <v>0</v>
      </c>
      <c r="VLG54" s="5">
        <f>-IFERROR('4. NPV'!#REF!/'4. NPV'!VLH$8,0)</f>
        <v>0</v>
      </c>
      <c r="VLH54" s="5">
        <f>-IFERROR('4. NPV'!#REF!/'4. NPV'!VLI$8,0)</f>
        <v>0</v>
      </c>
      <c r="VLI54" s="5">
        <f>-IFERROR('4. NPV'!#REF!/'4. NPV'!VLJ$8,0)</f>
        <v>0</v>
      </c>
      <c r="VLJ54" s="5">
        <f>-IFERROR('4. NPV'!#REF!/'4. NPV'!VLK$8,0)</f>
        <v>0</v>
      </c>
      <c r="VLK54" s="5">
        <f>-IFERROR('4. NPV'!#REF!/'4. NPV'!VLL$8,0)</f>
        <v>0</v>
      </c>
      <c r="VLL54" s="5">
        <f>-IFERROR('4. NPV'!#REF!/'4. NPV'!VLM$8,0)</f>
        <v>0</v>
      </c>
      <c r="VLM54" s="5">
        <f>-IFERROR('4. NPV'!#REF!/'4. NPV'!VLN$8,0)</f>
        <v>0</v>
      </c>
      <c r="VLN54" s="5">
        <f>-IFERROR('4. NPV'!#REF!/'4. NPV'!VLO$8,0)</f>
        <v>0</v>
      </c>
      <c r="VLO54" s="5">
        <f>-IFERROR('4. NPV'!#REF!/'4. NPV'!VLP$8,0)</f>
        <v>0</v>
      </c>
      <c r="VLP54" s="5">
        <f>-IFERROR('4. NPV'!#REF!/'4. NPV'!VLQ$8,0)</f>
        <v>0</v>
      </c>
      <c r="VLQ54" s="5">
        <f>-IFERROR('4. NPV'!#REF!/'4. NPV'!VLR$8,0)</f>
        <v>0</v>
      </c>
      <c r="VLR54" s="5">
        <f>-IFERROR('4. NPV'!#REF!/'4. NPV'!VLS$8,0)</f>
        <v>0</v>
      </c>
      <c r="VLS54" s="5">
        <f>-IFERROR('4. NPV'!#REF!/'4. NPV'!VLT$8,0)</f>
        <v>0</v>
      </c>
      <c r="VLT54" s="5">
        <f>-IFERROR('4. NPV'!#REF!/'4. NPV'!VLU$8,0)</f>
        <v>0</v>
      </c>
      <c r="VLU54" s="5">
        <f>-IFERROR('4. NPV'!#REF!/'4. NPV'!VLV$8,0)</f>
        <v>0</v>
      </c>
      <c r="VLV54" s="5">
        <f>-IFERROR('4. NPV'!#REF!/'4. NPV'!VLW$8,0)</f>
        <v>0</v>
      </c>
      <c r="VLW54" s="5">
        <f>-IFERROR('4. NPV'!#REF!/'4. NPV'!VLX$8,0)</f>
        <v>0</v>
      </c>
      <c r="VLX54" s="5">
        <f>-IFERROR('4. NPV'!#REF!/'4. NPV'!VLY$8,0)</f>
        <v>0</v>
      </c>
      <c r="VLY54" s="5">
        <f>-IFERROR('4. NPV'!#REF!/'4. NPV'!VLZ$8,0)</f>
        <v>0</v>
      </c>
      <c r="VLZ54" s="5">
        <f>-IFERROR('4. NPV'!#REF!/'4. NPV'!VMA$8,0)</f>
        <v>0</v>
      </c>
      <c r="VMA54" s="5">
        <f>-IFERROR('4. NPV'!#REF!/'4. NPV'!VMB$8,0)</f>
        <v>0</v>
      </c>
      <c r="VMB54" s="5">
        <f>-IFERROR('4. NPV'!#REF!/'4. NPV'!VMC$8,0)</f>
        <v>0</v>
      </c>
      <c r="VMC54" s="5">
        <f>-IFERROR('4. NPV'!#REF!/'4. NPV'!VMD$8,0)</f>
        <v>0</v>
      </c>
      <c r="VMD54" s="5">
        <f>-IFERROR('4. NPV'!#REF!/'4. NPV'!VME$8,0)</f>
        <v>0</v>
      </c>
      <c r="VME54" s="5">
        <f>-IFERROR('4. NPV'!#REF!/'4. NPV'!VMF$8,0)</f>
        <v>0</v>
      </c>
      <c r="VMF54" s="5">
        <f>-IFERROR('4. NPV'!#REF!/'4. NPV'!VMG$8,0)</f>
        <v>0</v>
      </c>
      <c r="VMG54" s="5">
        <f>-IFERROR('4. NPV'!#REF!/'4. NPV'!VMH$8,0)</f>
        <v>0</v>
      </c>
      <c r="VMH54" s="5">
        <f>-IFERROR('4. NPV'!#REF!/'4. NPV'!VMI$8,0)</f>
        <v>0</v>
      </c>
      <c r="VMI54" s="5">
        <f>-IFERROR('4. NPV'!#REF!/'4. NPV'!VMJ$8,0)</f>
        <v>0</v>
      </c>
      <c r="VMJ54" s="5">
        <f>-IFERROR('4. NPV'!#REF!/'4. NPV'!VMK$8,0)</f>
        <v>0</v>
      </c>
      <c r="VMK54" s="5">
        <f>-IFERROR('4. NPV'!#REF!/'4. NPV'!VML$8,0)</f>
        <v>0</v>
      </c>
      <c r="VML54" s="5">
        <f>-IFERROR('4. NPV'!#REF!/'4. NPV'!VMM$8,0)</f>
        <v>0</v>
      </c>
      <c r="VMM54" s="5">
        <f>-IFERROR('4. NPV'!#REF!/'4. NPV'!VMN$8,0)</f>
        <v>0</v>
      </c>
      <c r="VMN54" s="5">
        <f>-IFERROR('4. NPV'!#REF!/'4. NPV'!VMO$8,0)</f>
        <v>0</v>
      </c>
      <c r="VMO54" s="5">
        <f>-IFERROR('4. NPV'!#REF!/'4. NPV'!VMP$8,0)</f>
        <v>0</v>
      </c>
      <c r="VMP54" s="5">
        <f>-IFERROR('4. NPV'!#REF!/'4. NPV'!VMQ$8,0)</f>
        <v>0</v>
      </c>
      <c r="VMQ54" s="5">
        <f>-IFERROR('4. NPV'!#REF!/'4. NPV'!VMR$8,0)</f>
        <v>0</v>
      </c>
      <c r="VMR54" s="5">
        <f>-IFERROR('4. NPV'!#REF!/'4. NPV'!VMS$8,0)</f>
        <v>0</v>
      </c>
      <c r="VMS54" s="5">
        <f>-IFERROR('4. NPV'!#REF!/'4. NPV'!VMT$8,0)</f>
        <v>0</v>
      </c>
      <c r="VMT54" s="5">
        <f>-IFERROR('4. NPV'!#REF!/'4. NPV'!VMU$8,0)</f>
        <v>0</v>
      </c>
      <c r="VMU54" s="5">
        <f>-IFERROR('4. NPV'!#REF!/'4. NPV'!VMV$8,0)</f>
        <v>0</v>
      </c>
      <c r="VMV54" s="5">
        <f>-IFERROR('4. NPV'!#REF!/'4. NPV'!VMW$8,0)</f>
        <v>0</v>
      </c>
      <c r="VMW54" s="5">
        <f>-IFERROR('4. NPV'!#REF!/'4. NPV'!VMX$8,0)</f>
        <v>0</v>
      </c>
      <c r="VMX54" s="5">
        <f>-IFERROR('4. NPV'!#REF!/'4. NPV'!VMY$8,0)</f>
        <v>0</v>
      </c>
      <c r="VMY54" s="5">
        <f>-IFERROR('4. NPV'!#REF!/'4. NPV'!VMZ$8,0)</f>
        <v>0</v>
      </c>
      <c r="VMZ54" s="5">
        <f>-IFERROR('4. NPV'!#REF!/'4. NPV'!VNA$8,0)</f>
        <v>0</v>
      </c>
      <c r="VNA54" s="5">
        <f>-IFERROR('4. NPV'!#REF!/'4. NPV'!VNB$8,0)</f>
        <v>0</v>
      </c>
      <c r="VNB54" s="5">
        <f>-IFERROR('4. NPV'!#REF!/'4. NPV'!VNC$8,0)</f>
        <v>0</v>
      </c>
      <c r="VNC54" s="5">
        <f>-IFERROR('4. NPV'!#REF!/'4. NPV'!VND$8,0)</f>
        <v>0</v>
      </c>
      <c r="VND54" s="5">
        <f>-IFERROR('4. NPV'!#REF!/'4. NPV'!VNE$8,0)</f>
        <v>0</v>
      </c>
      <c r="VNE54" s="5">
        <f>-IFERROR('4. NPV'!#REF!/'4. NPV'!VNF$8,0)</f>
        <v>0</v>
      </c>
      <c r="VNF54" s="5">
        <f>-IFERROR('4. NPV'!#REF!/'4. NPV'!VNG$8,0)</f>
        <v>0</v>
      </c>
      <c r="VNG54" s="5">
        <f>-IFERROR('4. NPV'!#REF!/'4. NPV'!VNH$8,0)</f>
        <v>0</v>
      </c>
      <c r="VNH54" s="5">
        <f>-IFERROR('4. NPV'!#REF!/'4. NPV'!VNI$8,0)</f>
        <v>0</v>
      </c>
      <c r="VNI54" s="5">
        <f>-IFERROR('4. NPV'!#REF!/'4. NPV'!VNJ$8,0)</f>
        <v>0</v>
      </c>
      <c r="VNJ54" s="5">
        <f>-IFERROR('4. NPV'!#REF!/'4. NPV'!VNK$8,0)</f>
        <v>0</v>
      </c>
      <c r="VNK54" s="5">
        <f>-IFERROR('4. NPV'!#REF!/'4. NPV'!VNL$8,0)</f>
        <v>0</v>
      </c>
      <c r="VNL54" s="5">
        <f>-IFERROR('4. NPV'!#REF!/'4. NPV'!VNM$8,0)</f>
        <v>0</v>
      </c>
      <c r="VNM54" s="5">
        <f>-IFERROR('4. NPV'!#REF!/'4. NPV'!VNN$8,0)</f>
        <v>0</v>
      </c>
      <c r="VNN54" s="5">
        <f>-IFERROR('4. NPV'!#REF!/'4. NPV'!VNO$8,0)</f>
        <v>0</v>
      </c>
      <c r="VNO54" s="5">
        <f>-IFERROR('4. NPV'!#REF!/'4. NPV'!VNP$8,0)</f>
        <v>0</v>
      </c>
      <c r="VNP54" s="5">
        <f>-IFERROR('4. NPV'!#REF!/'4. NPV'!VNQ$8,0)</f>
        <v>0</v>
      </c>
      <c r="VNQ54" s="5">
        <f>-IFERROR('4. NPV'!#REF!/'4. NPV'!VNR$8,0)</f>
        <v>0</v>
      </c>
      <c r="VNR54" s="5">
        <f>-IFERROR('4. NPV'!#REF!/'4. NPV'!VNS$8,0)</f>
        <v>0</v>
      </c>
      <c r="VNS54" s="5">
        <f>-IFERROR('4. NPV'!#REF!/'4. NPV'!VNT$8,0)</f>
        <v>0</v>
      </c>
      <c r="VNT54" s="5">
        <f>-IFERROR('4. NPV'!#REF!/'4. NPV'!VNU$8,0)</f>
        <v>0</v>
      </c>
      <c r="VNU54" s="5">
        <f>-IFERROR('4. NPV'!#REF!/'4. NPV'!VNV$8,0)</f>
        <v>0</v>
      </c>
      <c r="VNV54" s="5">
        <f>-IFERROR('4. NPV'!#REF!/'4. NPV'!VNW$8,0)</f>
        <v>0</v>
      </c>
      <c r="VNW54" s="5">
        <f>-IFERROR('4. NPV'!#REF!/'4. NPV'!VNX$8,0)</f>
        <v>0</v>
      </c>
      <c r="VNX54" s="5">
        <f>-IFERROR('4. NPV'!#REF!/'4. NPV'!VNY$8,0)</f>
        <v>0</v>
      </c>
      <c r="VNY54" s="5">
        <f>-IFERROR('4. NPV'!#REF!/'4. NPV'!VNZ$8,0)</f>
        <v>0</v>
      </c>
      <c r="VNZ54" s="5">
        <f>-IFERROR('4. NPV'!#REF!/'4. NPV'!VOA$8,0)</f>
        <v>0</v>
      </c>
      <c r="VOA54" s="5">
        <f>-IFERROR('4. NPV'!#REF!/'4. NPV'!VOB$8,0)</f>
        <v>0</v>
      </c>
      <c r="VOB54" s="5">
        <f>-IFERROR('4. NPV'!#REF!/'4. NPV'!VOC$8,0)</f>
        <v>0</v>
      </c>
      <c r="VOC54" s="5">
        <f>-IFERROR('4. NPV'!#REF!/'4. NPV'!VOD$8,0)</f>
        <v>0</v>
      </c>
      <c r="VOD54" s="5">
        <f>-IFERROR('4. NPV'!#REF!/'4. NPV'!VOE$8,0)</f>
        <v>0</v>
      </c>
      <c r="VOE54" s="5">
        <f>-IFERROR('4. NPV'!#REF!/'4. NPV'!VOF$8,0)</f>
        <v>0</v>
      </c>
      <c r="VOF54" s="5">
        <f>-IFERROR('4. NPV'!#REF!/'4. NPV'!VOG$8,0)</f>
        <v>0</v>
      </c>
      <c r="VOG54" s="5">
        <f>-IFERROR('4. NPV'!#REF!/'4. NPV'!VOH$8,0)</f>
        <v>0</v>
      </c>
      <c r="VOH54" s="5">
        <f>-IFERROR('4. NPV'!#REF!/'4. NPV'!VOI$8,0)</f>
        <v>0</v>
      </c>
      <c r="VOI54" s="5">
        <f>-IFERROR('4. NPV'!#REF!/'4. NPV'!VOJ$8,0)</f>
        <v>0</v>
      </c>
      <c r="VOJ54" s="5">
        <f>-IFERROR('4. NPV'!#REF!/'4. NPV'!VOK$8,0)</f>
        <v>0</v>
      </c>
      <c r="VOK54" s="5">
        <f>-IFERROR('4. NPV'!#REF!/'4. NPV'!VOL$8,0)</f>
        <v>0</v>
      </c>
      <c r="VOL54" s="5">
        <f>-IFERROR('4. NPV'!#REF!/'4. NPV'!VOM$8,0)</f>
        <v>0</v>
      </c>
      <c r="VOM54" s="5">
        <f>-IFERROR('4. NPV'!#REF!/'4. NPV'!VON$8,0)</f>
        <v>0</v>
      </c>
      <c r="VON54" s="5">
        <f>-IFERROR('4. NPV'!#REF!/'4. NPV'!VOO$8,0)</f>
        <v>0</v>
      </c>
      <c r="VOO54" s="5">
        <f>-IFERROR('4. NPV'!#REF!/'4. NPV'!VOP$8,0)</f>
        <v>0</v>
      </c>
      <c r="VOP54" s="5">
        <f>-IFERROR('4. NPV'!#REF!/'4. NPV'!VOQ$8,0)</f>
        <v>0</v>
      </c>
      <c r="VOQ54" s="5">
        <f>-IFERROR('4. NPV'!#REF!/'4. NPV'!VOR$8,0)</f>
        <v>0</v>
      </c>
      <c r="VOR54" s="5">
        <f>-IFERROR('4. NPV'!#REF!/'4. NPV'!VOS$8,0)</f>
        <v>0</v>
      </c>
      <c r="VOS54" s="5">
        <f>-IFERROR('4. NPV'!#REF!/'4. NPV'!VOT$8,0)</f>
        <v>0</v>
      </c>
      <c r="VOT54" s="5">
        <f>-IFERROR('4. NPV'!#REF!/'4. NPV'!VOU$8,0)</f>
        <v>0</v>
      </c>
      <c r="VOU54" s="5">
        <f>-IFERROR('4. NPV'!#REF!/'4. NPV'!VOV$8,0)</f>
        <v>0</v>
      </c>
      <c r="VOV54" s="5">
        <f>-IFERROR('4. NPV'!#REF!/'4. NPV'!VOW$8,0)</f>
        <v>0</v>
      </c>
      <c r="VOW54" s="5">
        <f>-IFERROR('4. NPV'!#REF!/'4. NPV'!VOX$8,0)</f>
        <v>0</v>
      </c>
      <c r="VOX54" s="5">
        <f>-IFERROR('4. NPV'!#REF!/'4. NPV'!VOY$8,0)</f>
        <v>0</v>
      </c>
      <c r="VOY54" s="5">
        <f>-IFERROR('4. NPV'!#REF!/'4. NPV'!VOZ$8,0)</f>
        <v>0</v>
      </c>
      <c r="VOZ54" s="5">
        <f>-IFERROR('4. NPV'!#REF!/'4. NPV'!VPA$8,0)</f>
        <v>0</v>
      </c>
      <c r="VPA54" s="5">
        <f>-IFERROR('4. NPV'!#REF!/'4. NPV'!VPB$8,0)</f>
        <v>0</v>
      </c>
      <c r="VPB54" s="5">
        <f>-IFERROR('4. NPV'!#REF!/'4. NPV'!VPC$8,0)</f>
        <v>0</v>
      </c>
      <c r="VPC54" s="5">
        <f>-IFERROR('4. NPV'!#REF!/'4. NPV'!VPD$8,0)</f>
        <v>0</v>
      </c>
      <c r="VPD54" s="5">
        <f>-IFERROR('4. NPV'!#REF!/'4. NPV'!VPE$8,0)</f>
        <v>0</v>
      </c>
      <c r="VPE54" s="5">
        <f>-IFERROR('4. NPV'!#REF!/'4. NPV'!VPF$8,0)</f>
        <v>0</v>
      </c>
      <c r="VPF54" s="5">
        <f>-IFERROR('4. NPV'!#REF!/'4. NPV'!VPG$8,0)</f>
        <v>0</v>
      </c>
      <c r="VPG54" s="5">
        <f>-IFERROR('4. NPV'!#REF!/'4. NPV'!VPH$8,0)</f>
        <v>0</v>
      </c>
      <c r="VPH54" s="5">
        <f>-IFERROR('4. NPV'!#REF!/'4. NPV'!VPI$8,0)</f>
        <v>0</v>
      </c>
      <c r="VPI54" s="5">
        <f>-IFERROR('4. NPV'!#REF!/'4. NPV'!VPJ$8,0)</f>
        <v>0</v>
      </c>
      <c r="VPJ54" s="5">
        <f>-IFERROR('4. NPV'!#REF!/'4. NPV'!VPK$8,0)</f>
        <v>0</v>
      </c>
      <c r="VPK54" s="5">
        <f>-IFERROR('4. NPV'!#REF!/'4. NPV'!VPL$8,0)</f>
        <v>0</v>
      </c>
      <c r="VPL54" s="5">
        <f>-IFERROR('4. NPV'!#REF!/'4. NPV'!VPM$8,0)</f>
        <v>0</v>
      </c>
      <c r="VPM54" s="5">
        <f>-IFERROR('4. NPV'!#REF!/'4. NPV'!VPN$8,0)</f>
        <v>0</v>
      </c>
      <c r="VPN54" s="5">
        <f>-IFERROR('4. NPV'!#REF!/'4. NPV'!VPO$8,0)</f>
        <v>0</v>
      </c>
      <c r="VPO54" s="5">
        <f>-IFERROR('4. NPV'!#REF!/'4. NPV'!VPP$8,0)</f>
        <v>0</v>
      </c>
      <c r="VPP54" s="5">
        <f>-IFERROR('4. NPV'!#REF!/'4. NPV'!VPQ$8,0)</f>
        <v>0</v>
      </c>
      <c r="VPQ54" s="5">
        <f>-IFERROR('4. NPV'!#REF!/'4. NPV'!VPR$8,0)</f>
        <v>0</v>
      </c>
      <c r="VPR54" s="5">
        <f>-IFERROR('4. NPV'!#REF!/'4. NPV'!VPS$8,0)</f>
        <v>0</v>
      </c>
      <c r="VPS54" s="5">
        <f>-IFERROR('4. NPV'!#REF!/'4. NPV'!VPT$8,0)</f>
        <v>0</v>
      </c>
      <c r="VPT54" s="5">
        <f>-IFERROR('4. NPV'!#REF!/'4. NPV'!VPU$8,0)</f>
        <v>0</v>
      </c>
      <c r="VPU54" s="5">
        <f>-IFERROR('4. NPV'!#REF!/'4. NPV'!VPV$8,0)</f>
        <v>0</v>
      </c>
      <c r="VPV54" s="5">
        <f>-IFERROR('4. NPV'!#REF!/'4. NPV'!VPW$8,0)</f>
        <v>0</v>
      </c>
      <c r="VPW54" s="5">
        <f>-IFERROR('4. NPV'!#REF!/'4. NPV'!VPX$8,0)</f>
        <v>0</v>
      </c>
      <c r="VPX54" s="5">
        <f>-IFERROR('4. NPV'!#REF!/'4. NPV'!VPY$8,0)</f>
        <v>0</v>
      </c>
      <c r="VPY54" s="5">
        <f>-IFERROR('4. NPV'!#REF!/'4. NPV'!VPZ$8,0)</f>
        <v>0</v>
      </c>
      <c r="VPZ54" s="5">
        <f>-IFERROR('4. NPV'!#REF!/'4. NPV'!VQA$8,0)</f>
        <v>0</v>
      </c>
      <c r="VQA54" s="5">
        <f>-IFERROR('4. NPV'!#REF!/'4. NPV'!VQB$8,0)</f>
        <v>0</v>
      </c>
      <c r="VQB54" s="5">
        <f>-IFERROR('4. NPV'!#REF!/'4. NPV'!VQC$8,0)</f>
        <v>0</v>
      </c>
      <c r="VQC54" s="5">
        <f>-IFERROR('4. NPV'!#REF!/'4. NPV'!VQD$8,0)</f>
        <v>0</v>
      </c>
      <c r="VQD54" s="5">
        <f>-IFERROR('4. NPV'!#REF!/'4. NPV'!VQE$8,0)</f>
        <v>0</v>
      </c>
      <c r="VQE54" s="5">
        <f>-IFERROR('4. NPV'!#REF!/'4. NPV'!VQF$8,0)</f>
        <v>0</v>
      </c>
      <c r="VQF54" s="5">
        <f>-IFERROR('4. NPV'!#REF!/'4. NPV'!VQG$8,0)</f>
        <v>0</v>
      </c>
      <c r="VQG54" s="5">
        <f>-IFERROR('4. NPV'!#REF!/'4. NPV'!VQH$8,0)</f>
        <v>0</v>
      </c>
      <c r="VQH54" s="5">
        <f>-IFERROR('4. NPV'!#REF!/'4. NPV'!VQI$8,0)</f>
        <v>0</v>
      </c>
      <c r="VQI54" s="5">
        <f>-IFERROR('4. NPV'!#REF!/'4. NPV'!VQJ$8,0)</f>
        <v>0</v>
      </c>
      <c r="VQJ54" s="5">
        <f>-IFERROR('4. NPV'!#REF!/'4. NPV'!VQK$8,0)</f>
        <v>0</v>
      </c>
      <c r="VQK54" s="5">
        <f>-IFERROR('4. NPV'!#REF!/'4. NPV'!VQL$8,0)</f>
        <v>0</v>
      </c>
      <c r="VQL54" s="5">
        <f>-IFERROR('4. NPV'!#REF!/'4. NPV'!VQM$8,0)</f>
        <v>0</v>
      </c>
      <c r="VQM54" s="5">
        <f>-IFERROR('4. NPV'!#REF!/'4. NPV'!VQN$8,0)</f>
        <v>0</v>
      </c>
      <c r="VQN54" s="5">
        <f>-IFERROR('4. NPV'!#REF!/'4. NPV'!VQO$8,0)</f>
        <v>0</v>
      </c>
      <c r="VQO54" s="5">
        <f>-IFERROR('4. NPV'!#REF!/'4. NPV'!VQP$8,0)</f>
        <v>0</v>
      </c>
      <c r="VQP54" s="5">
        <f>-IFERROR('4. NPV'!#REF!/'4. NPV'!VQQ$8,0)</f>
        <v>0</v>
      </c>
      <c r="VQQ54" s="5">
        <f>-IFERROR('4. NPV'!#REF!/'4. NPV'!VQR$8,0)</f>
        <v>0</v>
      </c>
      <c r="VQR54" s="5">
        <f>-IFERROR('4. NPV'!#REF!/'4. NPV'!VQS$8,0)</f>
        <v>0</v>
      </c>
      <c r="VQS54" s="5">
        <f>-IFERROR('4. NPV'!#REF!/'4. NPV'!VQT$8,0)</f>
        <v>0</v>
      </c>
      <c r="VQT54" s="5">
        <f>-IFERROR('4. NPV'!#REF!/'4. NPV'!VQU$8,0)</f>
        <v>0</v>
      </c>
      <c r="VQU54" s="5">
        <f>-IFERROR('4. NPV'!#REF!/'4. NPV'!VQV$8,0)</f>
        <v>0</v>
      </c>
      <c r="VQV54" s="5">
        <f>-IFERROR('4. NPV'!#REF!/'4. NPV'!VQW$8,0)</f>
        <v>0</v>
      </c>
      <c r="VQW54" s="5">
        <f>-IFERROR('4. NPV'!#REF!/'4. NPV'!VQX$8,0)</f>
        <v>0</v>
      </c>
      <c r="VQX54" s="5">
        <f>-IFERROR('4. NPV'!#REF!/'4. NPV'!VQY$8,0)</f>
        <v>0</v>
      </c>
      <c r="VQY54" s="5">
        <f>-IFERROR('4. NPV'!#REF!/'4. NPV'!VQZ$8,0)</f>
        <v>0</v>
      </c>
      <c r="VQZ54" s="5">
        <f>-IFERROR('4. NPV'!#REF!/'4. NPV'!VRA$8,0)</f>
        <v>0</v>
      </c>
      <c r="VRA54" s="5">
        <f>-IFERROR('4. NPV'!#REF!/'4. NPV'!VRB$8,0)</f>
        <v>0</v>
      </c>
      <c r="VRB54" s="5">
        <f>-IFERROR('4. NPV'!#REF!/'4. NPV'!VRC$8,0)</f>
        <v>0</v>
      </c>
      <c r="VRC54" s="5">
        <f>-IFERROR('4. NPV'!#REF!/'4. NPV'!VRD$8,0)</f>
        <v>0</v>
      </c>
      <c r="VRD54" s="5">
        <f>-IFERROR('4. NPV'!#REF!/'4. NPV'!VRE$8,0)</f>
        <v>0</v>
      </c>
      <c r="VRE54" s="5">
        <f>-IFERROR('4. NPV'!#REF!/'4. NPV'!VRF$8,0)</f>
        <v>0</v>
      </c>
      <c r="VRF54" s="5">
        <f>-IFERROR('4. NPV'!#REF!/'4. NPV'!VRG$8,0)</f>
        <v>0</v>
      </c>
      <c r="VRG54" s="5">
        <f>-IFERROR('4. NPV'!#REF!/'4. NPV'!VRH$8,0)</f>
        <v>0</v>
      </c>
      <c r="VRH54" s="5">
        <f>-IFERROR('4. NPV'!#REF!/'4. NPV'!VRI$8,0)</f>
        <v>0</v>
      </c>
      <c r="VRI54" s="5">
        <f>-IFERROR('4. NPV'!#REF!/'4. NPV'!VRJ$8,0)</f>
        <v>0</v>
      </c>
      <c r="VRJ54" s="5">
        <f>-IFERROR('4. NPV'!#REF!/'4. NPV'!VRK$8,0)</f>
        <v>0</v>
      </c>
      <c r="VRK54" s="5">
        <f>-IFERROR('4. NPV'!#REF!/'4. NPV'!VRL$8,0)</f>
        <v>0</v>
      </c>
      <c r="VRL54" s="5">
        <f>-IFERROR('4. NPV'!#REF!/'4. NPV'!VRM$8,0)</f>
        <v>0</v>
      </c>
      <c r="VRM54" s="5">
        <f>-IFERROR('4. NPV'!#REF!/'4. NPV'!VRN$8,0)</f>
        <v>0</v>
      </c>
      <c r="VRN54" s="5">
        <f>-IFERROR('4. NPV'!#REF!/'4. NPV'!VRO$8,0)</f>
        <v>0</v>
      </c>
      <c r="VRO54" s="5">
        <f>-IFERROR('4. NPV'!#REF!/'4. NPV'!VRP$8,0)</f>
        <v>0</v>
      </c>
      <c r="VRP54" s="5">
        <f>-IFERROR('4. NPV'!#REF!/'4. NPV'!VRQ$8,0)</f>
        <v>0</v>
      </c>
      <c r="VRQ54" s="5">
        <f>-IFERROR('4. NPV'!#REF!/'4. NPV'!VRR$8,0)</f>
        <v>0</v>
      </c>
      <c r="VRR54" s="5">
        <f>-IFERROR('4. NPV'!#REF!/'4. NPV'!VRS$8,0)</f>
        <v>0</v>
      </c>
      <c r="VRS54" s="5">
        <f>-IFERROR('4. NPV'!#REF!/'4. NPV'!VRT$8,0)</f>
        <v>0</v>
      </c>
      <c r="VRT54" s="5">
        <f>-IFERROR('4. NPV'!#REF!/'4. NPV'!VRU$8,0)</f>
        <v>0</v>
      </c>
      <c r="VRU54" s="5">
        <f>-IFERROR('4. NPV'!#REF!/'4. NPV'!VRV$8,0)</f>
        <v>0</v>
      </c>
      <c r="VRV54" s="5">
        <f>-IFERROR('4. NPV'!#REF!/'4. NPV'!VRW$8,0)</f>
        <v>0</v>
      </c>
      <c r="VRW54" s="5">
        <f>-IFERROR('4. NPV'!#REF!/'4. NPV'!VRX$8,0)</f>
        <v>0</v>
      </c>
      <c r="VRX54" s="5">
        <f>-IFERROR('4. NPV'!#REF!/'4. NPV'!VRY$8,0)</f>
        <v>0</v>
      </c>
      <c r="VRY54" s="5">
        <f>-IFERROR('4. NPV'!#REF!/'4. NPV'!VRZ$8,0)</f>
        <v>0</v>
      </c>
      <c r="VRZ54" s="5">
        <f>-IFERROR('4. NPV'!#REF!/'4. NPV'!VSA$8,0)</f>
        <v>0</v>
      </c>
      <c r="VSA54" s="5">
        <f>-IFERROR('4. NPV'!#REF!/'4. NPV'!VSB$8,0)</f>
        <v>0</v>
      </c>
      <c r="VSB54" s="5">
        <f>-IFERROR('4. NPV'!#REF!/'4. NPV'!VSC$8,0)</f>
        <v>0</v>
      </c>
      <c r="VSC54" s="5">
        <f>-IFERROR('4. NPV'!#REF!/'4. NPV'!VSD$8,0)</f>
        <v>0</v>
      </c>
      <c r="VSD54" s="5">
        <f>-IFERROR('4. NPV'!#REF!/'4. NPV'!VSE$8,0)</f>
        <v>0</v>
      </c>
      <c r="VSE54" s="5">
        <f>-IFERROR('4. NPV'!#REF!/'4. NPV'!VSF$8,0)</f>
        <v>0</v>
      </c>
      <c r="VSF54" s="5">
        <f>-IFERROR('4. NPV'!#REF!/'4. NPV'!VSG$8,0)</f>
        <v>0</v>
      </c>
      <c r="VSG54" s="5">
        <f>-IFERROR('4. NPV'!#REF!/'4. NPV'!VSH$8,0)</f>
        <v>0</v>
      </c>
      <c r="VSH54" s="5">
        <f>-IFERROR('4. NPV'!#REF!/'4. NPV'!VSI$8,0)</f>
        <v>0</v>
      </c>
      <c r="VSI54" s="5">
        <f>-IFERROR('4. NPV'!#REF!/'4. NPV'!VSJ$8,0)</f>
        <v>0</v>
      </c>
      <c r="VSJ54" s="5">
        <f>-IFERROR('4. NPV'!#REF!/'4. NPV'!VSK$8,0)</f>
        <v>0</v>
      </c>
      <c r="VSK54" s="5">
        <f>-IFERROR('4. NPV'!#REF!/'4. NPV'!VSL$8,0)</f>
        <v>0</v>
      </c>
      <c r="VSL54" s="5">
        <f>-IFERROR('4. NPV'!#REF!/'4. NPV'!VSM$8,0)</f>
        <v>0</v>
      </c>
      <c r="VSM54" s="5">
        <f>-IFERROR('4. NPV'!#REF!/'4. NPV'!VSN$8,0)</f>
        <v>0</v>
      </c>
      <c r="VSN54" s="5">
        <f>-IFERROR('4. NPV'!#REF!/'4. NPV'!VSO$8,0)</f>
        <v>0</v>
      </c>
      <c r="VSO54" s="5">
        <f>-IFERROR('4. NPV'!#REF!/'4. NPV'!VSP$8,0)</f>
        <v>0</v>
      </c>
      <c r="VSP54" s="5">
        <f>-IFERROR('4. NPV'!#REF!/'4. NPV'!VSQ$8,0)</f>
        <v>0</v>
      </c>
      <c r="VSQ54" s="5">
        <f>-IFERROR('4. NPV'!#REF!/'4. NPV'!VSR$8,0)</f>
        <v>0</v>
      </c>
      <c r="VSR54" s="5">
        <f>-IFERROR('4. NPV'!#REF!/'4. NPV'!VSS$8,0)</f>
        <v>0</v>
      </c>
      <c r="VSS54" s="5">
        <f>-IFERROR('4. NPV'!#REF!/'4. NPV'!VST$8,0)</f>
        <v>0</v>
      </c>
      <c r="VST54" s="5">
        <f>-IFERROR('4. NPV'!#REF!/'4. NPV'!VSU$8,0)</f>
        <v>0</v>
      </c>
      <c r="VSU54" s="5">
        <f>-IFERROR('4. NPV'!#REF!/'4. NPV'!VSV$8,0)</f>
        <v>0</v>
      </c>
      <c r="VSV54" s="5">
        <f>-IFERROR('4. NPV'!#REF!/'4. NPV'!VSW$8,0)</f>
        <v>0</v>
      </c>
      <c r="VSW54" s="5">
        <f>-IFERROR('4. NPV'!#REF!/'4. NPV'!VSX$8,0)</f>
        <v>0</v>
      </c>
      <c r="VSX54" s="5">
        <f>-IFERROR('4. NPV'!#REF!/'4. NPV'!VSY$8,0)</f>
        <v>0</v>
      </c>
      <c r="VSY54" s="5">
        <f>-IFERROR('4. NPV'!#REF!/'4. NPV'!VSZ$8,0)</f>
        <v>0</v>
      </c>
      <c r="VSZ54" s="5">
        <f>-IFERROR('4. NPV'!#REF!/'4. NPV'!VTA$8,0)</f>
        <v>0</v>
      </c>
      <c r="VTA54" s="5">
        <f>-IFERROR('4. NPV'!#REF!/'4. NPV'!VTB$8,0)</f>
        <v>0</v>
      </c>
      <c r="VTB54" s="5">
        <f>-IFERROR('4. NPV'!#REF!/'4. NPV'!VTC$8,0)</f>
        <v>0</v>
      </c>
      <c r="VTC54" s="5">
        <f>-IFERROR('4. NPV'!#REF!/'4. NPV'!VTD$8,0)</f>
        <v>0</v>
      </c>
      <c r="VTD54" s="5">
        <f>-IFERROR('4. NPV'!#REF!/'4. NPV'!VTE$8,0)</f>
        <v>0</v>
      </c>
      <c r="VTE54" s="5">
        <f>-IFERROR('4. NPV'!#REF!/'4. NPV'!VTF$8,0)</f>
        <v>0</v>
      </c>
      <c r="VTF54" s="5">
        <f>-IFERROR('4. NPV'!#REF!/'4. NPV'!VTG$8,0)</f>
        <v>0</v>
      </c>
      <c r="VTG54" s="5">
        <f>-IFERROR('4. NPV'!#REF!/'4. NPV'!VTH$8,0)</f>
        <v>0</v>
      </c>
      <c r="VTH54" s="5">
        <f>-IFERROR('4. NPV'!#REF!/'4. NPV'!VTI$8,0)</f>
        <v>0</v>
      </c>
      <c r="VTI54" s="5">
        <f>-IFERROR('4. NPV'!#REF!/'4. NPV'!VTJ$8,0)</f>
        <v>0</v>
      </c>
      <c r="VTJ54" s="5">
        <f>-IFERROR('4. NPV'!#REF!/'4. NPV'!VTK$8,0)</f>
        <v>0</v>
      </c>
      <c r="VTK54" s="5">
        <f>-IFERROR('4. NPV'!#REF!/'4. NPV'!VTL$8,0)</f>
        <v>0</v>
      </c>
      <c r="VTL54" s="5">
        <f>-IFERROR('4. NPV'!#REF!/'4. NPV'!VTM$8,0)</f>
        <v>0</v>
      </c>
      <c r="VTM54" s="5">
        <f>-IFERROR('4. NPV'!#REF!/'4. NPV'!VTN$8,0)</f>
        <v>0</v>
      </c>
      <c r="VTN54" s="5">
        <f>-IFERROR('4. NPV'!#REF!/'4. NPV'!VTO$8,0)</f>
        <v>0</v>
      </c>
      <c r="VTO54" s="5">
        <f>-IFERROR('4. NPV'!#REF!/'4. NPV'!VTP$8,0)</f>
        <v>0</v>
      </c>
      <c r="VTP54" s="5">
        <f>-IFERROR('4. NPV'!#REF!/'4. NPV'!VTQ$8,0)</f>
        <v>0</v>
      </c>
      <c r="VTQ54" s="5">
        <f>-IFERROR('4. NPV'!#REF!/'4. NPV'!VTR$8,0)</f>
        <v>0</v>
      </c>
      <c r="VTR54" s="5">
        <f>-IFERROR('4. NPV'!#REF!/'4. NPV'!VTS$8,0)</f>
        <v>0</v>
      </c>
      <c r="VTS54" s="5">
        <f>-IFERROR('4. NPV'!#REF!/'4. NPV'!VTT$8,0)</f>
        <v>0</v>
      </c>
      <c r="VTT54" s="5">
        <f>-IFERROR('4. NPV'!#REF!/'4. NPV'!VTU$8,0)</f>
        <v>0</v>
      </c>
      <c r="VTU54" s="5">
        <f>-IFERROR('4. NPV'!#REF!/'4. NPV'!VTV$8,0)</f>
        <v>0</v>
      </c>
      <c r="VTV54" s="5">
        <f>-IFERROR('4. NPV'!#REF!/'4. NPV'!VTW$8,0)</f>
        <v>0</v>
      </c>
      <c r="VTW54" s="5">
        <f>-IFERROR('4. NPV'!#REF!/'4. NPV'!VTX$8,0)</f>
        <v>0</v>
      </c>
      <c r="VTX54" s="5">
        <f>-IFERROR('4. NPV'!#REF!/'4. NPV'!VTY$8,0)</f>
        <v>0</v>
      </c>
      <c r="VTY54" s="5">
        <f>-IFERROR('4. NPV'!#REF!/'4. NPV'!VTZ$8,0)</f>
        <v>0</v>
      </c>
      <c r="VTZ54" s="5">
        <f>-IFERROR('4. NPV'!#REF!/'4. NPV'!VUA$8,0)</f>
        <v>0</v>
      </c>
      <c r="VUA54" s="5">
        <f>-IFERROR('4. NPV'!#REF!/'4. NPV'!VUB$8,0)</f>
        <v>0</v>
      </c>
      <c r="VUB54" s="5">
        <f>-IFERROR('4. NPV'!#REF!/'4. NPV'!VUC$8,0)</f>
        <v>0</v>
      </c>
      <c r="VUC54" s="5">
        <f>-IFERROR('4. NPV'!#REF!/'4. NPV'!VUD$8,0)</f>
        <v>0</v>
      </c>
      <c r="VUD54" s="5">
        <f>-IFERROR('4. NPV'!#REF!/'4. NPV'!VUE$8,0)</f>
        <v>0</v>
      </c>
      <c r="VUE54" s="5">
        <f>-IFERROR('4. NPV'!#REF!/'4. NPV'!VUF$8,0)</f>
        <v>0</v>
      </c>
      <c r="VUF54" s="5">
        <f>-IFERROR('4. NPV'!#REF!/'4. NPV'!VUG$8,0)</f>
        <v>0</v>
      </c>
      <c r="VUG54" s="5">
        <f>-IFERROR('4. NPV'!#REF!/'4. NPV'!VUH$8,0)</f>
        <v>0</v>
      </c>
      <c r="VUH54" s="5">
        <f>-IFERROR('4. NPV'!#REF!/'4. NPV'!VUI$8,0)</f>
        <v>0</v>
      </c>
      <c r="VUI54" s="5">
        <f>-IFERROR('4. NPV'!#REF!/'4. NPV'!VUJ$8,0)</f>
        <v>0</v>
      </c>
      <c r="VUJ54" s="5">
        <f>-IFERROR('4. NPV'!#REF!/'4. NPV'!VUK$8,0)</f>
        <v>0</v>
      </c>
      <c r="VUK54" s="5">
        <f>-IFERROR('4. NPV'!#REF!/'4. NPV'!VUL$8,0)</f>
        <v>0</v>
      </c>
      <c r="VUL54" s="5">
        <f>-IFERROR('4. NPV'!#REF!/'4. NPV'!VUM$8,0)</f>
        <v>0</v>
      </c>
      <c r="VUM54" s="5">
        <f>-IFERROR('4. NPV'!#REF!/'4. NPV'!VUN$8,0)</f>
        <v>0</v>
      </c>
      <c r="VUN54" s="5">
        <f>-IFERROR('4. NPV'!#REF!/'4. NPV'!VUO$8,0)</f>
        <v>0</v>
      </c>
      <c r="VUO54" s="5">
        <f>-IFERROR('4. NPV'!#REF!/'4. NPV'!VUP$8,0)</f>
        <v>0</v>
      </c>
      <c r="VUP54" s="5">
        <f>-IFERROR('4. NPV'!#REF!/'4. NPV'!VUQ$8,0)</f>
        <v>0</v>
      </c>
      <c r="VUQ54" s="5">
        <f>-IFERROR('4. NPV'!#REF!/'4. NPV'!VUR$8,0)</f>
        <v>0</v>
      </c>
      <c r="VUR54" s="5">
        <f>-IFERROR('4. NPV'!#REF!/'4. NPV'!VUS$8,0)</f>
        <v>0</v>
      </c>
      <c r="VUS54" s="5">
        <f>-IFERROR('4. NPV'!#REF!/'4. NPV'!VUT$8,0)</f>
        <v>0</v>
      </c>
      <c r="VUT54" s="5">
        <f>-IFERROR('4. NPV'!#REF!/'4. NPV'!VUU$8,0)</f>
        <v>0</v>
      </c>
      <c r="VUU54" s="5">
        <f>-IFERROR('4. NPV'!#REF!/'4. NPV'!VUV$8,0)</f>
        <v>0</v>
      </c>
      <c r="VUV54" s="5">
        <f>-IFERROR('4. NPV'!#REF!/'4. NPV'!VUW$8,0)</f>
        <v>0</v>
      </c>
      <c r="VUW54" s="5">
        <f>-IFERROR('4. NPV'!#REF!/'4. NPV'!VUX$8,0)</f>
        <v>0</v>
      </c>
      <c r="VUX54" s="5">
        <f>-IFERROR('4. NPV'!#REF!/'4. NPV'!VUY$8,0)</f>
        <v>0</v>
      </c>
      <c r="VUY54" s="5">
        <f>-IFERROR('4. NPV'!#REF!/'4. NPV'!VUZ$8,0)</f>
        <v>0</v>
      </c>
      <c r="VUZ54" s="5">
        <f>-IFERROR('4. NPV'!#REF!/'4. NPV'!VVA$8,0)</f>
        <v>0</v>
      </c>
      <c r="VVA54" s="5">
        <f>-IFERROR('4. NPV'!#REF!/'4. NPV'!VVB$8,0)</f>
        <v>0</v>
      </c>
      <c r="VVB54" s="5">
        <f>-IFERROR('4. NPV'!#REF!/'4. NPV'!VVC$8,0)</f>
        <v>0</v>
      </c>
      <c r="VVC54" s="5">
        <f>-IFERROR('4. NPV'!#REF!/'4. NPV'!VVD$8,0)</f>
        <v>0</v>
      </c>
      <c r="VVD54" s="5">
        <f>-IFERROR('4. NPV'!#REF!/'4. NPV'!VVE$8,0)</f>
        <v>0</v>
      </c>
      <c r="VVE54" s="5">
        <f>-IFERROR('4. NPV'!#REF!/'4. NPV'!VVF$8,0)</f>
        <v>0</v>
      </c>
      <c r="VVF54" s="5">
        <f>-IFERROR('4. NPV'!#REF!/'4. NPV'!VVG$8,0)</f>
        <v>0</v>
      </c>
      <c r="VVG54" s="5">
        <f>-IFERROR('4. NPV'!#REF!/'4. NPV'!VVH$8,0)</f>
        <v>0</v>
      </c>
      <c r="VVH54" s="5">
        <f>-IFERROR('4. NPV'!#REF!/'4. NPV'!VVI$8,0)</f>
        <v>0</v>
      </c>
      <c r="VVI54" s="5">
        <f>-IFERROR('4. NPV'!#REF!/'4. NPV'!VVJ$8,0)</f>
        <v>0</v>
      </c>
      <c r="VVJ54" s="5">
        <f>-IFERROR('4. NPV'!#REF!/'4. NPV'!VVK$8,0)</f>
        <v>0</v>
      </c>
      <c r="VVK54" s="5">
        <f>-IFERROR('4. NPV'!#REF!/'4. NPV'!VVL$8,0)</f>
        <v>0</v>
      </c>
      <c r="VVL54" s="5">
        <f>-IFERROR('4. NPV'!#REF!/'4. NPV'!VVM$8,0)</f>
        <v>0</v>
      </c>
      <c r="VVM54" s="5">
        <f>-IFERROR('4. NPV'!#REF!/'4. NPV'!VVN$8,0)</f>
        <v>0</v>
      </c>
      <c r="VVN54" s="5">
        <f>-IFERROR('4. NPV'!#REF!/'4. NPV'!VVO$8,0)</f>
        <v>0</v>
      </c>
      <c r="VVO54" s="5">
        <f>-IFERROR('4. NPV'!#REF!/'4. NPV'!VVP$8,0)</f>
        <v>0</v>
      </c>
      <c r="VVP54" s="5">
        <f>-IFERROR('4. NPV'!#REF!/'4. NPV'!VVQ$8,0)</f>
        <v>0</v>
      </c>
      <c r="VVQ54" s="5">
        <f>-IFERROR('4. NPV'!#REF!/'4. NPV'!VVR$8,0)</f>
        <v>0</v>
      </c>
      <c r="VVR54" s="5">
        <f>-IFERROR('4. NPV'!#REF!/'4. NPV'!VVS$8,0)</f>
        <v>0</v>
      </c>
      <c r="VVS54" s="5">
        <f>-IFERROR('4. NPV'!#REF!/'4. NPV'!VVT$8,0)</f>
        <v>0</v>
      </c>
      <c r="VVT54" s="5">
        <f>-IFERROR('4. NPV'!#REF!/'4. NPV'!VVU$8,0)</f>
        <v>0</v>
      </c>
      <c r="VVU54" s="5">
        <f>-IFERROR('4. NPV'!#REF!/'4. NPV'!VVV$8,0)</f>
        <v>0</v>
      </c>
      <c r="VVV54" s="5">
        <f>-IFERROR('4. NPV'!#REF!/'4. NPV'!VVW$8,0)</f>
        <v>0</v>
      </c>
      <c r="VVW54" s="5">
        <f>-IFERROR('4. NPV'!#REF!/'4. NPV'!VVX$8,0)</f>
        <v>0</v>
      </c>
      <c r="VVX54" s="5">
        <f>-IFERROR('4. NPV'!#REF!/'4. NPV'!VVY$8,0)</f>
        <v>0</v>
      </c>
      <c r="VVY54" s="5">
        <f>-IFERROR('4. NPV'!#REF!/'4. NPV'!VVZ$8,0)</f>
        <v>0</v>
      </c>
      <c r="VVZ54" s="5">
        <f>-IFERROR('4. NPV'!#REF!/'4. NPV'!VWA$8,0)</f>
        <v>0</v>
      </c>
      <c r="VWA54" s="5">
        <f>-IFERROR('4. NPV'!#REF!/'4. NPV'!VWB$8,0)</f>
        <v>0</v>
      </c>
      <c r="VWB54" s="5">
        <f>-IFERROR('4. NPV'!#REF!/'4. NPV'!VWC$8,0)</f>
        <v>0</v>
      </c>
      <c r="VWC54" s="5">
        <f>-IFERROR('4. NPV'!#REF!/'4. NPV'!VWD$8,0)</f>
        <v>0</v>
      </c>
      <c r="VWD54" s="5">
        <f>-IFERROR('4. NPV'!#REF!/'4. NPV'!VWE$8,0)</f>
        <v>0</v>
      </c>
      <c r="VWE54" s="5">
        <f>-IFERROR('4. NPV'!#REF!/'4. NPV'!VWF$8,0)</f>
        <v>0</v>
      </c>
      <c r="VWF54" s="5">
        <f>-IFERROR('4. NPV'!#REF!/'4. NPV'!VWG$8,0)</f>
        <v>0</v>
      </c>
      <c r="VWG54" s="5">
        <f>-IFERROR('4. NPV'!#REF!/'4. NPV'!VWH$8,0)</f>
        <v>0</v>
      </c>
      <c r="VWH54" s="5">
        <f>-IFERROR('4. NPV'!#REF!/'4. NPV'!VWI$8,0)</f>
        <v>0</v>
      </c>
      <c r="VWI54" s="5">
        <f>-IFERROR('4. NPV'!#REF!/'4. NPV'!VWJ$8,0)</f>
        <v>0</v>
      </c>
      <c r="VWJ54" s="5">
        <f>-IFERROR('4. NPV'!#REF!/'4. NPV'!VWK$8,0)</f>
        <v>0</v>
      </c>
      <c r="VWK54" s="5">
        <f>-IFERROR('4. NPV'!#REF!/'4. NPV'!VWL$8,0)</f>
        <v>0</v>
      </c>
      <c r="VWL54" s="5">
        <f>-IFERROR('4. NPV'!#REF!/'4. NPV'!VWM$8,0)</f>
        <v>0</v>
      </c>
      <c r="VWM54" s="5">
        <f>-IFERROR('4. NPV'!#REF!/'4. NPV'!VWN$8,0)</f>
        <v>0</v>
      </c>
      <c r="VWN54" s="5">
        <f>-IFERROR('4. NPV'!#REF!/'4. NPV'!VWO$8,0)</f>
        <v>0</v>
      </c>
      <c r="VWO54" s="5">
        <f>-IFERROR('4. NPV'!#REF!/'4. NPV'!VWP$8,0)</f>
        <v>0</v>
      </c>
      <c r="VWP54" s="5">
        <f>-IFERROR('4. NPV'!#REF!/'4. NPV'!VWQ$8,0)</f>
        <v>0</v>
      </c>
      <c r="VWQ54" s="5">
        <f>-IFERROR('4. NPV'!#REF!/'4. NPV'!VWR$8,0)</f>
        <v>0</v>
      </c>
      <c r="VWR54" s="5">
        <f>-IFERROR('4. NPV'!#REF!/'4. NPV'!VWS$8,0)</f>
        <v>0</v>
      </c>
      <c r="VWS54" s="5">
        <f>-IFERROR('4. NPV'!#REF!/'4. NPV'!VWT$8,0)</f>
        <v>0</v>
      </c>
      <c r="VWT54" s="5">
        <f>-IFERROR('4. NPV'!#REF!/'4. NPV'!VWU$8,0)</f>
        <v>0</v>
      </c>
      <c r="VWU54" s="5">
        <f>-IFERROR('4. NPV'!#REF!/'4. NPV'!VWV$8,0)</f>
        <v>0</v>
      </c>
      <c r="VWV54" s="5">
        <f>-IFERROR('4. NPV'!#REF!/'4. NPV'!VWW$8,0)</f>
        <v>0</v>
      </c>
      <c r="VWW54" s="5">
        <f>-IFERROR('4. NPV'!#REF!/'4. NPV'!VWX$8,0)</f>
        <v>0</v>
      </c>
      <c r="VWX54" s="5">
        <f>-IFERROR('4. NPV'!#REF!/'4. NPV'!VWY$8,0)</f>
        <v>0</v>
      </c>
      <c r="VWY54" s="5">
        <f>-IFERROR('4. NPV'!#REF!/'4. NPV'!VWZ$8,0)</f>
        <v>0</v>
      </c>
      <c r="VWZ54" s="5">
        <f>-IFERROR('4. NPV'!#REF!/'4. NPV'!VXA$8,0)</f>
        <v>0</v>
      </c>
      <c r="VXA54" s="5">
        <f>-IFERROR('4. NPV'!#REF!/'4. NPV'!VXB$8,0)</f>
        <v>0</v>
      </c>
      <c r="VXB54" s="5">
        <f>-IFERROR('4. NPV'!#REF!/'4. NPV'!VXC$8,0)</f>
        <v>0</v>
      </c>
      <c r="VXC54" s="5">
        <f>-IFERROR('4. NPV'!#REF!/'4. NPV'!VXD$8,0)</f>
        <v>0</v>
      </c>
      <c r="VXD54" s="5">
        <f>-IFERROR('4. NPV'!#REF!/'4. NPV'!VXE$8,0)</f>
        <v>0</v>
      </c>
      <c r="VXE54" s="5">
        <f>-IFERROR('4. NPV'!#REF!/'4. NPV'!VXF$8,0)</f>
        <v>0</v>
      </c>
      <c r="VXF54" s="5">
        <f>-IFERROR('4. NPV'!#REF!/'4. NPV'!VXG$8,0)</f>
        <v>0</v>
      </c>
      <c r="VXG54" s="5">
        <f>-IFERROR('4. NPV'!#REF!/'4. NPV'!VXH$8,0)</f>
        <v>0</v>
      </c>
      <c r="VXH54" s="5">
        <f>-IFERROR('4. NPV'!#REF!/'4. NPV'!VXI$8,0)</f>
        <v>0</v>
      </c>
      <c r="VXI54" s="5">
        <f>-IFERROR('4. NPV'!#REF!/'4. NPV'!VXJ$8,0)</f>
        <v>0</v>
      </c>
      <c r="VXJ54" s="5">
        <f>-IFERROR('4. NPV'!#REF!/'4. NPV'!VXK$8,0)</f>
        <v>0</v>
      </c>
      <c r="VXK54" s="5">
        <f>-IFERROR('4. NPV'!#REF!/'4. NPV'!VXL$8,0)</f>
        <v>0</v>
      </c>
      <c r="VXL54" s="5">
        <f>-IFERROR('4. NPV'!#REF!/'4. NPV'!VXM$8,0)</f>
        <v>0</v>
      </c>
      <c r="VXM54" s="5">
        <f>-IFERROR('4. NPV'!#REF!/'4. NPV'!VXN$8,0)</f>
        <v>0</v>
      </c>
      <c r="VXN54" s="5">
        <f>-IFERROR('4. NPV'!#REF!/'4. NPV'!VXO$8,0)</f>
        <v>0</v>
      </c>
      <c r="VXO54" s="5">
        <f>-IFERROR('4. NPV'!#REF!/'4. NPV'!VXP$8,0)</f>
        <v>0</v>
      </c>
      <c r="VXP54" s="5">
        <f>-IFERROR('4. NPV'!#REF!/'4. NPV'!VXQ$8,0)</f>
        <v>0</v>
      </c>
      <c r="VXQ54" s="5">
        <f>-IFERROR('4. NPV'!#REF!/'4. NPV'!VXR$8,0)</f>
        <v>0</v>
      </c>
      <c r="VXR54" s="5">
        <f>-IFERROR('4. NPV'!#REF!/'4. NPV'!VXS$8,0)</f>
        <v>0</v>
      </c>
      <c r="VXS54" s="5">
        <f>-IFERROR('4. NPV'!#REF!/'4. NPV'!VXT$8,0)</f>
        <v>0</v>
      </c>
      <c r="VXT54" s="5">
        <f>-IFERROR('4. NPV'!#REF!/'4. NPV'!VXU$8,0)</f>
        <v>0</v>
      </c>
      <c r="VXU54" s="5">
        <f>-IFERROR('4. NPV'!#REF!/'4. NPV'!VXV$8,0)</f>
        <v>0</v>
      </c>
      <c r="VXV54" s="5">
        <f>-IFERROR('4. NPV'!#REF!/'4. NPV'!VXW$8,0)</f>
        <v>0</v>
      </c>
      <c r="VXW54" s="5">
        <f>-IFERROR('4. NPV'!#REF!/'4. NPV'!VXX$8,0)</f>
        <v>0</v>
      </c>
      <c r="VXX54" s="5">
        <f>-IFERROR('4. NPV'!#REF!/'4. NPV'!VXY$8,0)</f>
        <v>0</v>
      </c>
      <c r="VXY54" s="5">
        <f>-IFERROR('4. NPV'!#REF!/'4. NPV'!VXZ$8,0)</f>
        <v>0</v>
      </c>
      <c r="VXZ54" s="5">
        <f>-IFERROR('4. NPV'!#REF!/'4. NPV'!VYA$8,0)</f>
        <v>0</v>
      </c>
      <c r="VYA54" s="5">
        <f>-IFERROR('4. NPV'!#REF!/'4. NPV'!VYB$8,0)</f>
        <v>0</v>
      </c>
      <c r="VYB54" s="5">
        <f>-IFERROR('4. NPV'!#REF!/'4. NPV'!VYC$8,0)</f>
        <v>0</v>
      </c>
      <c r="VYC54" s="5">
        <f>-IFERROR('4. NPV'!#REF!/'4. NPV'!VYD$8,0)</f>
        <v>0</v>
      </c>
      <c r="VYD54" s="5">
        <f>-IFERROR('4. NPV'!#REF!/'4. NPV'!VYE$8,0)</f>
        <v>0</v>
      </c>
      <c r="VYE54" s="5">
        <f>-IFERROR('4. NPV'!#REF!/'4. NPV'!VYF$8,0)</f>
        <v>0</v>
      </c>
      <c r="VYF54" s="5">
        <f>-IFERROR('4. NPV'!#REF!/'4. NPV'!VYG$8,0)</f>
        <v>0</v>
      </c>
      <c r="VYG54" s="5">
        <f>-IFERROR('4. NPV'!#REF!/'4. NPV'!VYH$8,0)</f>
        <v>0</v>
      </c>
      <c r="VYH54" s="5">
        <f>-IFERROR('4. NPV'!#REF!/'4. NPV'!VYI$8,0)</f>
        <v>0</v>
      </c>
      <c r="VYI54" s="5">
        <f>-IFERROR('4. NPV'!#REF!/'4. NPV'!VYJ$8,0)</f>
        <v>0</v>
      </c>
      <c r="VYJ54" s="5">
        <f>-IFERROR('4. NPV'!#REF!/'4. NPV'!VYK$8,0)</f>
        <v>0</v>
      </c>
      <c r="VYK54" s="5">
        <f>-IFERROR('4. NPV'!#REF!/'4. NPV'!VYL$8,0)</f>
        <v>0</v>
      </c>
      <c r="VYL54" s="5">
        <f>-IFERROR('4. NPV'!#REF!/'4. NPV'!VYM$8,0)</f>
        <v>0</v>
      </c>
      <c r="VYM54" s="5">
        <f>-IFERROR('4. NPV'!#REF!/'4. NPV'!VYN$8,0)</f>
        <v>0</v>
      </c>
      <c r="VYN54" s="5">
        <f>-IFERROR('4. NPV'!#REF!/'4. NPV'!VYO$8,0)</f>
        <v>0</v>
      </c>
      <c r="VYO54" s="5">
        <f>-IFERROR('4. NPV'!#REF!/'4. NPV'!VYP$8,0)</f>
        <v>0</v>
      </c>
      <c r="VYP54" s="5">
        <f>-IFERROR('4. NPV'!#REF!/'4. NPV'!VYQ$8,0)</f>
        <v>0</v>
      </c>
      <c r="VYQ54" s="5">
        <f>-IFERROR('4. NPV'!#REF!/'4. NPV'!VYR$8,0)</f>
        <v>0</v>
      </c>
      <c r="VYR54" s="5">
        <f>-IFERROR('4. NPV'!#REF!/'4. NPV'!VYS$8,0)</f>
        <v>0</v>
      </c>
      <c r="VYS54" s="5">
        <f>-IFERROR('4. NPV'!#REF!/'4. NPV'!VYT$8,0)</f>
        <v>0</v>
      </c>
      <c r="VYT54" s="5">
        <f>-IFERROR('4. NPV'!#REF!/'4. NPV'!VYU$8,0)</f>
        <v>0</v>
      </c>
      <c r="VYU54" s="5">
        <f>-IFERROR('4. NPV'!#REF!/'4. NPV'!VYV$8,0)</f>
        <v>0</v>
      </c>
      <c r="VYV54" s="5">
        <f>-IFERROR('4. NPV'!#REF!/'4. NPV'!VYW$8,0)</f>
        <v>0</v>
      </c>
      <c r="VYW54" s="5">
        <f>-IFERROR('4. NPV'!#REF!/'4. NPV'!VYX$8,0)</f>
        <v>0</v>
      </c>
      <c r="VYX54" s="5">
        <f>-IFERROR('4. NPV'!#REF!/'4. NPV'!VYY$8,0)</f>
        <v>0</v>
      </c>
      <c r="VYY54" s="5">
        <f>-IFERROR('4. NPV'!#REF!/'4. NPV'!VYZ$8,0)</f>
        <v>0</v>
      </c>
      <c r="VYZ54" s="5">
        <f>-IFERROR('4. NPV'!#REF!/'4. NPV'!VZA$8,0)</f>
        <v>0</v>
      </c>
      <c r="VZA54" s="5">
        <f>-IFERROR('4. NPV'!#REF!/'4. NPV'!VZB$8,0)</f>
        <v>0</v>
      </c>
      <c r="VZB54" s="5">
        <f>-IFERROR('4. NPV'!#REF!/'4. NPV'!VZC$8,0)</f>
        <v>0</v>
      </c>
      <c r="VZC54" s="5">
        <f>-IFERROR('4. NPV'!#REF!/'4. NPV'!VZD$8,0)</f>
        <v>0</v>
      </c>
      <c r="VZD54" s="5">
        <f>-IFERROR('4. NPV'!#REF!/'4. NPV'!VZE$8,0)</f>
        <v>0</v>
      </c>
      <c r="VZE54" s="5">
        <f>-IFERROR('4. NPV'!#REF!/'4. NPV'!VZF$8,0)</f>
        <v>0</v>
      </c>
      <c r="VZF54" s="5">
        <f>-IFERROR('4. NPV'!#REF!/'4. NPV'!VZG$8,0)</f>
        <v>0</v>
      </c>
      <c r="VZG54" s="5">
        <f>-IFERROR('4. NPV'!#REF!/'4. NPV'!VZH$8,0)</f>
        <v>0</v>
      </c>
      <c r="VZH54" s="5">
        <f>-IFERROR('4. NPV'!#REF!/'4. NPV'!VZI$8,0)</f>
        <v>0</v>
      </c>
      <c r="VZI54" s="5">
        <f>-IFERROR('4. NPV'!#REF!/'4. NPV'!VZJ$8,0)</f>
        <v>0</v>
      </c>
      <c r="VZJ54" s="5">
        <f>-IFERROR('4. NPV'!#REF!/'4. NPV'!VZK$8,0)</f>
        <v>0</v>
      </c>
      <c r="VZK54" s="5">
        <f>-IFERROR('4. NPV'!#REF!/'4. NPV'!VZL$8,0)</f>
        <v>0</v>
      </c>
      <c r="VZL54" s="5">
        <f>-IFERROR('4. NPV'!#REF!/'4. NPV'!VZM$8,0)</f>
        <v>0</v>
      </c>
      <c r="VZM54" s="5">
        <f>-IFERROR('4. NPV'!#REF!/'4. NPV'!VZN$8,0)</f>
        <v>0</v>
      </c>
      <c r="VZN54" s="5">
        <f>-IFERROR('4. NPV'!#REF!/'4. NPV'!VZO$8,0)</f>
        <v>0</v>
      </c>
      <c r="VZO54" s="5">
        <f>-IFERROR('4. NPV'!#REF!/'4. NPV'!VZP$8,0)</f>
        <v>0</v>
      </c>
      <c r="VZP54" s="5">
        <f>-IFERROR('4. NPV'!#REF!/'4. NPV'!VZQ$8,0)</f>
        <v>0</v>
      </c>
      <c r="VZQ54" s="5">
        <f>-IFERROR('4. NPV'!#REF!/'4. NPV'!VZR$8,0)</f>
        <v>0</v>
      </c>
      <c r="VZR54" s="5">
        <f>-IFERROR('4. NPV'!#REF!/'4. NPV'!VZS$8,0)</f>
        <v>0</v>
      </c>
      <c r="VZS54" s="5">
        <f>-IFERROR('4. NPV'!#REF!/'4. NPV'!VZT$8,0)</f>
        <v>0</v>
      </c>
      <c r="VZT54" s="5">
        <f>-IFERROR('4. NPV'!#REF!/'4. NPV'!VZU$8,0)</f>
        <v>0</v>
      </c>
      <c r="VZU54" s="5">
        <f>-IFERROR('4. NPV'!#REF!/'4. NPV'!VZV$8,0)</f>
        <v>0</v>
      </c>
      <c r="VZV54" s="5">
        <f>-IFERROR('4. NPV'!#REF!/'4. NPV'!VZW$8,0)</f>
        <v>0</v>
      </c>
      <c r="VZW54" s="5">
        <f>-IFERROR('4. NPV'!#REF!/'4. NPV'!VZX$8,0)</f>
        <v>0</v>
      </c>
      <c r="VZX54" s="5">
        <f>-IFERROR('4. NPV'!#REF!/'4. NPV'!VZY$8,0)</f>
        <v>0</v>
      </c>
      <c r="VZY54" s="5">
        <f>-IFERROR('4. NPV'!#REF!/'4. NPV'!VZZ$8,0)</f>
        <v>0</v>
      </c>
      <c r="VZZ54" s="5">
        <f>-IFERROR('4. NPV'!#REF!/'4. NPV'!WAA$8,0)</f>
        <v>0</v>
      </c>
      <c r="WAA54" s="5">
        <f>-IFERROR('4. NPV'!#REF!/'4. NPV'!WAB$8,0)</f>
        <v>0</v>
      </c>
      <c r="WAB54" s="5">
        <f>-IFERROR('4. NPV'!#REF!/'4. NPV'!WAC$8,0)</f>
        <v>0</v>
      </c>
      <c r="WAC54" s="5">
        <f>-IFERROR('4. NPV'!#REF!/'4. NPV'!WAD$8,0)</f>
        <v>0</v>
      </c>
      <c r="WAD54" s="5">
        <f>-IFERROR('4. NPV'!#REF!/'4. NPV'!WAE$8,0)</f>
        <v>0</v>
      </c>
      <c r="WAE54" s="5">
        <f>-IFERROR('4. NPV'!#REF!/'4. NPV'!WAF$8,0)</f>
        <v>0</v>
      </c>
      <c r="WAF54" s="5">
        <f>-IFERROR('4. NPV'!#REF!/'4. NPV'!WAG$8,0)</f>
        <v>0</v>
      </c>
      <c r="WAG54" s="5">
        <f>-IFERROR('4. NPV'!#REF!/'4. NPV'!WAH$8,0)</f>
        <v>0</v>
      </c>
      <c r="WAH54" s="5">
        <f>-IFERROR('4. NPV'!#REF!/'4. NPV'!WAI$8,0)</f>
        <v>0</v>
      </c>
      <c r="WAI54" s="5">
        <f>-IFERROR('4. NPV'!#REF!/'4. NPV'!WAJ$8,0)</f>
        <v>0</v>
      </c>
      <c r="WAJ54" s="5">
        <f>-IFERROR('4. NPV'!#REF!/'4. NPV'!WAK$8,0)</f>
        <v>0</v>
      </c>
      <c r="WAK54" s="5">
        <f>-IFERROR('4. NPV'!#REF!/'4. NPV'!WAL$8,0)</f>
        <v>0</v>
      </c>
      <c r="WAL54" s="5">
        <f>-IFERROR('4. NPV'!#REF!/'4. NPV'!WAM$8,0)</f>
        <v>0</v>
      </c>
      <c r="WAM54" s="5">
        <f>-IFERROR('4. NPV'!#REF!/'4. NPV'!WAN$8,0)</f>
        <v>0</v>
      </c>
      <c r="WAN54" s="5">
        <f>-IFERROR('4. NPV'!#REF!/'4. NPV'!WAO$8,0)</f>
        <v>0</v>
      </c>
      <c r="WAO54" s="5">
        <f>-IFERROR('4. NPV'!#REF!/'4. NPV'!WAP$8,0)</f>
        <v>0</v>
      </c>
      <c r="WAP54" s="5">
        <f>-IFERROR('4. NPV'!#REF!/'4. NPV'!WAQ$8,0)</f>
        <v>0</v>
      </c>
      <c r="WAQ54" s="5">
        <f>-IFERROR('4. NPV'!#REF!/'4. NPV'!WAR$8,0)</f>
        <v>0</v>
      </c>
      <c r="WAR54" s="5">
        <f>-IFERROR('4. NPV'!#REF!/'4. NPV'!WAS$8,0)</f>
        <v>0</v>
      </c>
      <c r="WAS54" s="5">
        <f>-IFERROR('4. NPV'!#REF!/'4. NPV'!WAT$8,0)</f>
        <v>0</v>
      </c>
      <c r="WAT54" s="5">
        <f>-IFERROR('4. NPV'!#REF!/'4. NPV'!WAU$8,0)</f>
        <v>0</v>
      </c>
      <c r="WAU54" s="5">
        <f>-IFERROR('4. NPV'!#REF!/'4. NPV'!WAV$8,0)</f>
        <v>0</v>
      </c>
      <c r="WAV54" s="5">
        <f>-IFERROR('4. NPV'!#REF!/'4. NPV'!WAW$8,0)</f>
        <v>0</v>
      </c>
      <c r="WAW54" s="5">
        <f>-IFERROR('4. NPV'!#REF!/'4. NPV'!WAX$8,0)</f>
        <v>0</v>
      </c>
      <c r="WAX54" s="5">
        <f>-IFERROR('4. NPV'!#REF!/'4. NPV'!WAY$8,0)</f>
        <v>0</v>
      </c>
      <c r="WAY54" s="5">
        <f>-IFERROR('4. NPV'!#REF!/'4. NPV'!WAZ$8,0)</f>
        <v>0</v>
      </c>
      <c r="WAZ54" s="5">
        <f>-IFERROR('4. NPV'!#REF!/'4. NPV'!WBA$8,0)</f>
        <v>0</v>
      </c>
      <c r="WBA54" s="5">
        <f>-IFERROR('4. NPV'!#REF!/'4. NPV'!WBB$8,0)</f>
        <v>0</v>
      </c>
      <c r="WBB54" s="5">
        <f>-IFERROR('4. NPV'!#REF!/'4. NPV'!WBC$8,0)</f>
        <v>0</v>
      </c>
      <c r="WBC54" s="5">
        <f>-IFERROR('4. NPV'!#REF!/'4. NPV'!WBD$8,0)</f>
        <v>0</v>
      </c>
      <c r="WBD54" s="5">
        <f>-IFERROR('4. NPV'!#REF!/'4. NPV'!WBE$8,0)</f>
        <v>0</v>
      </c>
      <c r="WBE54" s="5">
        <f>-IFERROR('4. NPV'!#REF!/'4. NPV'!WBF$8,0)</f>
        <v>0</v>
      </c>
      <c r="WBF54" s="5">
        <f>-IFERROR('4. NPV'!#REF!/'4. NPV'!WBG$8,0)</f>
        <v>0</v>
      </c>
      <c r="WBG54" s="5">
        <f>-IFERROR('4. NPV'!#REF!/'4. NPV'!WBH$8,0)</f>
        <v>0</v>
      </c>
      <c r="WBH54" s="5">
        <f>-IFERROR('4. NPV'!#REF!/'4. NPV'!WBI$8,0)</f>
        <v>0</v>
      </c>
      <c r="WBI54" s="5">
        <f>-IFERROR('4. NPV'!#REF!/'4. NPV'!WBJ$8,0)</f>
        <v>0</v>
      </c>
      <c r="WBJ54" s="5">
        <f>-IFERROR('4. NPV'!#REF!/'4. NPV'!WBK$8,0)</f>
        <v>0</v>
      </c>
      <c r="WBK54" s="5">
        <f>-IFERROR('4. NPV'!#REF!/'4. NPV'!WBL$8,0)</f>
        <v>0</v>
      </c>
      <c r="WBL54" s="5">
        <f>-IFERROR('4. NPV'!#REF!/'4. NPV'!WBM$8,0)</f>
        <v>0</v>
      </c>
      <c r="WBM54" s="5">
        <f>-IFERROR('4. NPV'!#REF!/'4. NPV'!WBN$8,0)</f>
        <v>0</v>
      </c>
      <c r="WBN54" s="5">
        <f>-IFERROR('4. NPV'!#REF!/'4. NPV'!WBO$8,0)</f>
        <v>0</v>
      </c>
      <c r="WBO54" s="5">
        <f>-IFERROR('4. NPV'!#REF!/'4. NPV'!WBP$8,0)</f>
        <v>0</v>
      </c>
      <c r="WBP54" s="5">
        <f>-IFERROR('4. NPV'!#REF!/'4. NPV'!WBQ$8,0)</f>
        <v>0</v>
      </c>
      <c r="WBQ54" s="5">
        <f>-IFERROR('4. NPV'!#REF!/'4. NPV'!WBR$8,0)</f>
        <v>0</v>
      </c>
      <c r="WBR54" s="5">
        <f>-IFERROR('4. NPV'!#REF!/'4. NPV'!WBS$8,0)</f>
        <v>0</v>
      </c>
      <c r="WBS54" s="5">
        <f>-IFERROR('4. NPV'!#REF!/'4. NPV'!WBT$8,0)</f>
        <v>0</v>
      </c>
      <c r="WBT54" s="5">
        <f>-IFERROR('4. NPV'!#REF!/'4. NPV'!WBU$8,0)</f>
        <v>0</v>
      </c>
      <c r="WBU54" s="5">
        <f>-IFERROR('4. NPV'!#REF!/'4. NPV'!WBV$8,0)</f>
        <v>0</v>
      </c>
      <c r="WBV54" s="5">
        <f>-IFERROR('4. NPV'!#REF!/'4. NPV'!WBW$8,0)</f>
        <v>0</v>
      </c>
      <c r="WBW54" s="5">
        <f>-IFERROR('4. NPV'!#REF!/'4. NPV'!WBX$8,0)</f>
        <v>0</v>
      </c>
      <c r="WBX54" s="5">
        <f>-IFERROR('4. NPV'!#REF!/'4. NPV'!WBY$8,0)</f>
        <v>0</v>
      </c>
      <c r="WBY54" s="5">
        <f>-IFERROR('4. NPV'!#REF!/'4. NPV'!WBZ$8,0)</f>
        <v>0</v>
      </c>
      <c r="WBZ54" s="5">
        <f>-IFERROR('4. NPV'!#REF!/'4. NPV'!WCA$8,0)</f>
        <v>0</v>
      </c>
      <c r="WCA54" s="5">
        <f>-IFERROR('4. NPV'!#REF!/'4. NPV'!WCB$8,0)</f>
        <v>0</v>
      </c>
      <c r="WCB54" s="5">
        <f>-IFERROR('4. NPV'!#REF!/'4. NPV'!WCC$8,0)</f>
        <v>0</v>
      </c>
      <c r="WCC54" s="5">
        <f>-IFERROR('4. NPV'!#REF!/'4. NPV'!WCD$8,0)</f>
        <v>0</v>
      </c>
      <c r="WCD54" s="5">
        <f>-IFERROR('4. NPV'!#REF!/'4. NPV'!WCE$8,0)</f>
        <v>0</v>
      </c>
      <c r="WCE54" s="5">
        <f>-IFERROR('4. NPV'!#REF!/'4. NPV'!WCF$8,0)</f>
        <v>0</v>
      </c>
      <c r="WCF54" s="5">
        <f>-IFERROR('4. NPV'!#REF!/'4. NPV'!WCG$8,0)</f>
        <v>0</v>
      </c>
      <c r="WCG54" s="5">
        <f>-IFERROR('4. NPV'!#REF!/'4. NPV'!WCH$8,0)</f>
        <v>0</v>
      </c>
      <c r="WCH54" s="5">
        <f>-IFERROR('4. NPV'!#REF!/'4. NPV'!WCI$8,0)</f>
        <v>0</v>
      </c>
      <c r="WCI54" s="5">
        <f>-IFERROR('4. NPV'!#REF!/'4. NPV'!WCJ$8,0)</f>
        <v>0</v>
      </c>
      <c r="WCJ54" s="5">
        <f>-IFERROR('4. NPV'!#REF!/'4. NPV'!WCK$8,0)</f>
        <v>0</v>
      </c>
      <c r="WCK54" s="5">
        <f>-IFERROR('4. NPV'!#REF!/'4. NPV'!WCL$8,0)</f>
        <v>0</v>
      </c>
      <c r="WCL54" s="5">
        <f>-IFERROR('4. NPV'!#REF!/'4. NPV'!WCM$8,0)</f>
        <v>0</v>
      </c>
      <c r="WCM54" s="5">
        <f>-IFERROR('4. NPV'!#REF!/'4. NPV'!WCN$8,0)</f>
        <v>0</v>
      </c>
      <c r="WCN54" s="5">
        <f>-IFERROR('4. NPV'!#REF!/'4. NPV'!WCO$8,0)</f>
        <v>0</v>
      </c>
      <c r="WCO54" s="5">
        <f>-IFERROR('4. NPV'!#REF!/'4. NPV'!WCP$8,0)</f>
        <v>0</v>
      </c>
      <c r="WCP54" s="5">
        <f>-IFERROR('4. NPV'!#REF!/'4. NPV'!WCQ$8,0)</f>
        <v>0</v>
      </c>
      <c r="WCQ54" s="5">
        <f>-IFERROR('4. NPV'!#REF!/'4. NPV'!WCR$8,0)</f>
        <v>0</v>
      </c>
      <c r="WCR54" s="5">
        <f>-IFERROR('4. NPV'!#REF!/'4. NPV'!WCS$8,0)</f>
        <v>0</v>
      </c>
      <c r="WCS54" s="5">
        <f>-IFERROR('4. NPV'!#REF!/'4. NPV'!WCT$8,0)</f>
        <v>0</v>
      </c>
      <c r="WCT54" s="5">
        <f>-IFERROR('4. NPV'!#REF!/'4. NPV'!WCU$8,0)</f>
        <v>0</v>
      </c>
      <c r="WCU54" s="5">
        <f>-IFERROR('4. NPV'!#REF!/'4. NPV'!WCV$8,0)</f>
        <v>0</v>
      </c>
      <c r="WCV54" s="5">
        <f>-IFERROR('4. NPV'!#REF!/'4. NPV'!WCW$8,0)</f>
        <v>0</v>
      </c>
      <c r="WCW54" s="5">
        <f>-IFERROR('4. NPV'!#REF!/'4. NPV'!WCX$8,0)</f>
        <v>0</v>
      </c>
      <c r="WCX54" s="5">
        <f>-IFERROR('4. NPV'!#REF!/'4. NPV'!WCY$8,0)</f>
        <v>0</v>
      </c>
      <c r="WCY54" s="5">
        <f>-IFERROR('4. NPV'!#REF!/'4. NPV'!WCZ$8,0)</f>
        <v>0</v>
      </c>
      <c r="WCZ54" s="5">
        <f>-IFERROR('4. NPV'!#REF!/'4. NPV'!WDA$8,0)</f>
        <v>0</v>
      </c>
      <c r="WDA54" s="5">
        <f>-IFERROR('4. NPV'!#REF!/'4. NPV'!WDB$8,0)</f>
        <v>0</v>
      </c>
      <c r="WDB54" s="5">
        <f>-IFERROR('4. NPV'!#REF!/'4. NPV'!WDC$8,0)</f>
        <v>0</v>
      </c>
      <c r="WDC54" s="5">
        <f>-IFERROR('4. NPV'!#REF!/'4. NPV'!WDD$8,0)</f>
        <v>0</v>
      </c>
      <c r="WDD54" s="5">
        <f>-IFERROR('4. NPV'!#REF!/'4. NPV'!WDE$8,0)</f>
        <v>0</v>
      </c>
      <c r="WDE54" s="5">
        <f>-IFERROR('4. NPV'!#REF!/'4. NPV'!WDF$8,0)</f>
        <v>0</v>
      </c>
      <c r="WDF54" s="5">
        <f>-IFERROR('4. NPV'!#REF!/'4. NPV'!WDG$8,0)</f>
        <v>0</v>
      </c>
      <c r="WDG54" s="5">
        <f>-IFERROR('4. NPV'!#REF!/'4. NPV'!WDH$8,0)</f>
        <v>0</v>
      </c>
      <c r="WDH54" s="5">
        <f>-IFERROR('4. NPV'!#REF!/'4. NPV'!WDI$8,0)</f>
        <v>0</v>
      </c>
      <c r="WDI54" s="5">
        <f>-IFERROR('4. NPV'!#REF!/'4. NPV'!WDJ$8,0)</f>
        <v>0</v>
      </c>
      <c r="WDJ54" s="5">
        <f>-IFERROR('4. NPV'!#REF!/'4. NPV'!WDK$8,0)</f>
        <v>0</v>
      </c>
      <c r="WDK54" s="5">
        <f>-IFERROR('4. NPV'!#REF!/'4. NPV'!WDL$8,0)</f>
        <v>0</v>
      </c>
      <c r="WDL54" s="5">
        <f>-IFERROR('4. NPV'!#REF!/'4. NPV'!WDM$8,0)</f>
        <v>0</v>
      </c>
      <c r="WDM54" s="5">
        <f>-IFERROR('4. NPV'!#REF!/'4. NPV'!WDN$8,0)</f>
        <v>0</v>
      </c>
      <c r="WDN54" s="5">
        <f>-IFERROR('4. NPV'!#REF!/'4. NPV'!WDO$8,0)</f>
        <v>0</v>
      </c>
      <c r="WDO54" s="5">
        <f>-IFERROR('4. NPV'!#REF!/'4. NPV'!WDP$8,0)</f>
        <v>0</v>
      </c>
      <c r="WDP54" s="5">
        <f>-IFERROR('4. NPV'!#REF!/'4. NPV'!WDQ$8,0)</f>
        <v>0</v>
      </c>
      <c r="WDQ54" s="5">
        <f>-IFERROR('4. NPV'!#REF!/'4. NPV'!WDR$8,0)</f>
        <v>0</v>
      </c>
      <c r="WDR54" s="5">
        <f>-IFERROR('4. NPV'!#REF!/'4. NPV'!WDS$8,0)</f>
        <v>0</v>
      </c>
      <c r="WDS54" s="5">
        <f>-IFERROR('4. NPV'!#REF!/'4. NPV'!WDT$8,0)</f>
        <v>0</v>
      </c>
      <c r="WDT54" s="5">
        <f>-IFERROR('4. NPV'!#REF!/'4. NPV'!WDU$8,0)</f>
        <v>0</v>
      </c>
      <c r="WDU54" s="5">
        <f>-IFERROR('4. NPV'!#REF!/'4. NPV'!WDV$8,0)</f>
        <v>0</v>
      </c>
      <c r="WDV54" s="5">
        <f>-IFERROR('4. NPV'!#REF!/'4. NPV'!WDW$8,0)</f>
        <v>0</v>
      </c>
      <c r="WDW54" s="5">
        <f>-IFERROR('4. NPV'!#REF!/'4. NPV'!WDX$8,0)</f>
        <v>0</v>
      </c>
      <c r="WDX54" s="5">
        <f>-IFERROR('4. NPV'!#REF!/'4. NPV'!WDY$8,0)</f>
        <v>0</v>
      </c>
      <c r="WDY54" s="5">
        <f>-IFERROR('4. NPV'!#REF!/'4. NPV'!WDZ$8,0)</f>
        <v>0</v>
      </c>
      <c r="WDZ54" s="5">
        <f>-IFERROR('4. NPV'!#REF!/'4. NPV'!WEA$8,0)</f>
        <v>0</v>
      </c>
      <c r="WEA54" s="5">
        <f>-IFERROR('4. NPV'!#REF!/'4. NPV'!WEB$8,0)</f>
        <v>0</v>
      </c>
      <c r="WEB54" s="5">
        <f>-IFERROR('4. NPV'!#REF!/'4. NPV'!WEC$8,0)</f>
        <v>0</v>
      </c>
      <c r="WEC54" s="5">
        <f>-IFERROR('4. NPV'!#REF!/'4. NPV'!WED$8,0)</f>
        <v>0</v>
      </c>
      <c r="WED54" s="5">
        <f>-IFERROR('4. NPV'!#REF!/'4. NPV'!WEE$8,0)</f>
        <v>0</v>
      </c>
      <c r="WEE54" s="5">
        <f>-IFERROR('4. NPV'!#REF!/'4. NPV'!WEF$8,0)</f>
        <v>0</v>
      </c>
      <c r="WEF54" s="5">
        <f>-IFERROR('4. NPV'!#REF!/'4. NPV'!WEG$8,0)</f>
        <v>0</v>
      </c>
      <c r="WEG54" s="5">
        <f>-IFERROR('4. NPV'!#REF!/'4. NPV'!WEH$8,0)</f>
        <v>0</v>
      </c>
      <c r="WEH54" s="5">
        <f>-IFERROR('4. NPV'!#REF!/'4. NPV'!WEI$8,0)</f>
        <v>0</v>
      </c>
      <c r="WEI54" s="5">
        <f>-IFERROR('4. NPV'!#REF!/'4. NPV'!WEJ$8,0)</f>
        <v>0</v>
      </c>
      <c r="WEJ54" s="5">
        <f>-IFERROR('4. NPV'!#REF!/'4. NPV'!WEK$8,0)</f>
        <v>0</v>
      </c>
      <c r="WEK54" s="5">
        <f>-IFERROR('4. NPV'!#REF!/'4. NPV'!WEL$8,0)</f>
        <v>0</v>
      </c>
      <c r="WEL54" s="5">
        <f>-IFERROR('4. NPV'!#REF!/'4. NPV'!WEM$8,0)</f>
        <v>0</v>
      </c>
      <c r="WEM54" s="5">
        <f>-IFERROR('4. NPV'!#REF!/'4. NPV'!WEN$8,0)</f>
        <v>0</v>
      </c>
      <c r="WEN54" s="5">
        <f>-IFERROR('4. NPV'!#REF!/'4. NPV'!WEO$8,0)</f>
        <v>0</v>
      </c>
      <c r="WEO54" s="5">
        <f>-IFERROR('4. NPV'!#REF!/'4. NPV'!WEP$8,0)</f>
        <v>0</v>
      </c>
      <c r="WEP54" s="5">
        <f>-IFERROR('4. NPV'!#REF!/'4. NPV'!WEQ$8,0)</f>
        <v>0</v>
      </c>
      <c r="WEQ54" s="5">
        <f>-IFERROR('4. NPV'!#REF!/'4. NPV'!WER$8,0)</f>
        <v>0</v>
      </c>
      <c r="WER54" s="5">
        <f>-IFERROR('4. NPV'!#REF!/'4. NPV'!WES$8,0)</f>
        <v>0</v>
      </c>
      <c r="WES54" s="5">
        <f>-IFERROR('4. NPV'!#REF!/'4. NPV'!WET$8,0)</f>
        <v>0</v>
      </c>
      <c r="WET54" s="5">
        <f>-IFERROR('4. NPV'!#REF!/'4. NPV'!WEU$8,0)</f>
        <v>0</v>
      </c>
      <c r="WEU54" s="5">
        <f>-IFERROR('4. NPV'!#REF!/'4. NPV'!WEV$8,0)</f>
        <v>0</v>
      </c>
      <c r="WEV54" s="5">
        <f>-IFERROR('4. NPV'!#REF!/'4. NPV'!WEW$8,0)</f>
        <v>0</v>
      </c>
      <c r="WEW54" s="5">
        <f>-IFERROR('4. NPV'!#REF!/'4. NPV'!WEX$8,0)</f>
        <v>0</v>
      </c>
      <c r="WEX54" s="5">
        <f>-IFERROR('4. NPV'!#REF!/'4. NPV'!WEY$8,0)</f>
        <v>0</v>
      </c>
      <c r="WEY54" s="5">
        <f>-IFERROR('4. NPV'!#REF!/'4. NPV'!WEZ$8,0)</f>
        <v>0</v>
      </c>
      <c r="WEZ54" s="5">
        <f>-IFERROR('4. NPV'!#REF!/'4. NPV'!WFA$8,0)</f>
        <v>0</v>
      </c>
      <c r="WFA54" s="5">
        <f>-IFERROR('4. NPV'!#REF!/'4. NPV'!WFB$8,0)</f>
        <v>0</v>
      </c>
      <c r="WFB54" s="5">
        <f>-IFERROR('4. NPV'!#REF!/'4. NPV'!WFC$8,0)</f>
        <v>0</v>
      </c>
      <c r="WFC54" s="5">
        <f>-IFERROR('4. NPV'!#REF!/'4. NPV'!WFD$8,0)</f>
        <v>0</v>
      </c>
      <c r="WFD54" s="5">
        <f>-IFERROR('4. NPV'!#REF!/'4. NPV'!WFE$8,0)</f>
        <v>0</v>
      </c>
      <c r="WFE54" s="5">
        <f>-IFERROR('4. NPV'!#REF!/'4. NPV'!WFF$8,0)</f>
        <v>0</v>
      </c>
      <c r="WFF54" s="5">
        <f>-IFERROR('4. NPV'!#REF!/'4. NPV'!WFG$8,0)</f>
        <v>0</v>
      </c>
      <c r="WFG54" s="5">
        <f>-IFERROR('4. NPV'!#REF!/'4. NPV'!WFH$8,0)</f>
        <v>0</v>
      </c>
      <c r="WFH54" s="5">
        <f>-IFERROR('4. NPV'!#REF!/'4. NPV'!WFI$8,0)</f>
        <v>0</v>
      </c>
      <c r="WFI54" s="5">
        <f>-IFERROR('4. NPV'!#REF!/'4. NPV'!WFJ$8,0)</f>
        <v>0</v>
      </c>
      <c r="WFJ54" s="5">
        <f>-IFERROR('4. NPV'!#REF!/'4. NPV'!WFK$8,0)</f>
        <v>0</v>
      </c>
      <c r="WFK54" s="5">
        <f>-IFERROR('4. NPV'!#REF!/'4. NPV'!WFL$8,0)</f>
        <v>0</v>
      </c>
      <c r="WFL54" s="5">
        <f>-IFERROR('4. NPV'!#REF!/'4. NPV'!WFM$8,0)</f>
        <v>0</v>
      </c>
      <c r="WFM54" s="5">
        <f>-IFERROR('4. NPV'!#REF!/'4. NPV'!WFN$8,0)</f>
        <v>0</v>
      </c>
      <c r="WFN54" s="5">
        <f>-IFERROR('4. NPV'!#REF!/'4. NPV'!WFO$8,0)</f>
        <v>0</v>
      </c>
      <c r="WFO54" s="5">
        <f>-IFERROR('4. NPV'!#REF!/'4. NPV'!WFP$8,0)</f>
        <v>0</v>
      </c>
      <c r="WFP54" s="5">
        <f>-IFERROR('4. NPV'!#REF!/'4. NPV'!WFQ$8,0)</f>
        <v>0</v>
      </c>
      <c r="WFQ54" s="5">
        <f>-IFERROR('4. NPV'!#REF!/'4. NPV'!WFR$8,0)</f>
        <v>0</v>
      </c>
      <c r="WFR54" s="5">
        <f>-IFERROR('4. NPV'!#REF!/'4. NPV'!WFS$8,0)</f>
        <v>0</v>
      </c>
      <c r="WFS54" s="5">
        <f>-IFERROR('4. NPV'!#REF!/'4. NPV'!WFT$8,0)</f>
        <v>0</v>
      </c>
      <c r="WFT54" s="5">
        <f>-IFERROR('4. NPV'!#REF!/'4. NPV'!WFU$8,0)</f>
        <v>0</v>
      </c>
      <c r="WFU54" s="5">
        <f>-IFERROR('4. NPV'!#REF!/'4. NPV'!WFV$8,0)</f>
        <v>0</v>
      </c>
      <c r="WFV54" s="5">
        <f>-IFERROR('4. NPV'!#REF!/'4. NPV'!WFW$8,0)</f>
        <v>0</v>
      </c>
      <c r="WFW54" s="5">
        <f>-IFERROR('4. NPV'!#REF!/'4. NPV'!WFX$8,0)</f>
        <v>0</v>
      </c>
      <c r="WFX54" s="5">
        <f>-IFERROR('4. NPV'!#REF!/'4. NPV'!WFY$8,0)</f>
        <v>0</v>
      </c>
      <c r="WFY54" s="5">
        <f>-IFERROR('4. NPV'!#REF!/'4. NPV'!WFZ$8,0)</f>
        <v>0</v>
      </c>
      <c r="WFZ54" s="5">
        <f>-IFERROR('4. NPV'!#REF!/'4. NPV'!WGA$8,0)</f>
        <v>0</v>
      </c>
      <c r="WGA54" s="5">
        <f>-IFERROR('4. NPV'!#REF!/'4. NPV'!WGB$8,0)</f>
        <v>0</v>
      </c>
      <c r="WGB54" s="5">
        <f>-IFERROR('4. NPV'!#REF!/'4. NPV'!WGC$8,0)</f>
        <v>0</v>
      </c>
      <c r="WGC54" s="5">
        <f>-IFERROR('4. NPV'!#REF!/'4. NPV'!WGD$8,0)</f>
        <v>0</v>
      </c>
      <c r="WGD54" s="5">
        <f>-IFERROR('4. NPV'!#REF!/'4. NPV'!WGE$8,0)</f>
        <v>0</v>
      </c>
      <c r="WGE54" s="5">
        <f>-IFERROR('4. NPV'!#REF!/'4. NPV'!WGF$8,0)</f>
        <v>0</v>
      </c>
      <c r="WGF54" s="5">
        <f>-IFERROR('4. NPV'!#REF!/'4. NPV'!WGG$8,0)</f>
        <v>0</v>
      </c>
      <c r="WGG54" s="5">
        <f>-IFERROR('4. NPV'!#REF!/'4. NPV'!WGH$8,0)</f>
        <v>0</v>
      </c>
      <c r="WGH54" s="5">
        <f>-IFERROR('4. NPV'!#REF!/'4. NPV'!WGI$8,0)</f>
        <v>0</v>
      </c>
      <c r="WGI54" s="5">
        <f>-IFERROR('4. NPV'!#REF!/'4. NPV'!WGJ$8,0)</f>
        <v>0</v>
      </c>
      <c r="WGJ54" s="5">
        <f>-IFERROR('4. NPV'!#REF!/'4. NPV'!WGK$8,0)</f>
        <v>0</v>
      </c>
      <c r="WGK54" s="5">
        <f>-IFERROR('4. NPV'!#REF!/'4. NPV'!WGL$8,0)</f>
        <v>0</v>
      </c>
      <c r="WGL54" s="5">
        <f>-IFERROR('4. NPV'!#REF!/'4. NPV'!WGM$8,0)</f>
        <v>0</v>
      </c>
      <c r="WGM54" s="5">
        <f>-IFERROR('4. NPV'!#REF!/'4. NPV'!WGN$8,0)</f>
        <v>0</v>
      </c>
      <c r="WGN54" s="5">
        <f>-IFERROR('4. NPV'!#REF!/'4. NPV'!WGO$8,0)</f>
        <v>0</v>
      </c>
      <c r="WGO54" s="5">
        <f>-IFERROR('4. NPV'!#REF!/'4. NPV'!WGP$8,0)</f>
        <v>0</v>
      </c>
      <c r="WGP54" s="5">
        <f>-IFERROR('4. NPV'!#REF!/'4. NPV'!WGQ$8,0)</f>
        <v>0</v>
      </c>
      <c r="WGQ54" s="5">
        <f>-IFERROR('4. NPV'!#REF!/'4. NPV'!WGR$8,0)</f>
        <v>0</v>
      </c>
      <c r="WGR54" s="5">
        <f>-IFERROR('4. NPV'!#REF!/'4. NPV'!WGS$8,0)</f>
        <v>0</v>
      </c>
      <c r="WGS54" s="5">
        <f>-IFERROR('4. NPV'!#REF!/'4. NPV'!WGT$8,0)</f>
        <v>0</v>
      </c>
      <c r="WGT54" s="5">
        <f>-IFERROR('4. NPV'!#REF!/'4. NPV'!WGU$8,0)</f>
        <v>0</v>
      </c>
      <c r="WGU54" s="5">
        <f>-IFERROR('4. NPV'!#REF!/'4. NPV'!WGV$8,0)</f>
        <v>0</v>
      </c>
      <c r="WGV54" s="5">
        <f>-IFERROR('4. NPV'!#REF!/'4. NPV'!WGW$8,0)</f>
        <v>0</v>
      </c>
      <c r="WGW54" s="5">
        <f>-IFERROR('4. NPV'!#REF!/'4. NPV'!WGX$8,0)</f>
        <v>0</v>
      </c>
      <c r="WGX54" s="5">
        <f>-IFERROR('4. NPV'!#REF!/'4. NPV'!WGY$8,0)</f>
        <v>0</v>
      </c>
      <c r="WGY54" s="5">
        <f>-IFERROR('4. NPV'!#REF!/'4. NPV'!WGZ$8,0)</f>
        <v>0</v>
      </c>
      <c r="WGZ54" s="5">
        <f>-IFERROR('4. NPV'!#REF!/'4. NPV'!WHA$8,0)</f>
        <v>0</v>
      </c>
      <c r="WHA54" s="5">
        <f>-IFERROR('4. NPV'!#REF!/'4. NPV'!WHB$8,0)</f>
        <v>0</v>
      </c>
      <c r="WHB54" s="5">
        <f>-IFERROR('4. NPV'!#REF!/'4. NPV'!WHC$8,0)</f>
        <v>0</v>
      </c>
      <c r="WHC54" s="5">
        <f>-IFERROR('4. NPV'!#REF!/'4. NPV'!WHD$8,0)</f>
        <v>0</v>
      </c>
      <c r="WHD54" s="5">
        <f>-IFERROR('4. NPV'!#REF!/'4. NPV'!WHE$8,0)</f>
        <v>0</v>
      </c>
      <c r="WHE54" s="5">
        <f>-IFERROR('4. NPV'!#REF!/'4. NPV'!WHF$8,0)</f>
        <v>0</v>
      </c>
      <c r="WHF54" s="5">
        <f>-IFERROR('4. NPV'!#REF!/'4. NPV'!WHG$8,0)</f>
        <v>0</v>
      </c>
      <c r="WHG54" s="5">
        <f>-IFERROR('4. NPV'!#REF!/'4. NPV'!WHH$8,0)</f>
        <v>0</v>
      </c>
      <c r="WHH54" s="5">
        <f>-IFERROR('4. NPV'!#REF!/'4. NPV'!WHI$8,0)</f>
        <v>0</v>
      </c>
      <c r="WHI54" s="5">
        <f>-IFERROR('4. NPV'!#REF!/'4. NPV'!WHJ$8,0)</f>
        <v>0</v>
      </c>
      <c r="WHJ54" s="5">
        <f>-IFERROR('4. NPV'!#REF!/'4. NPV'!WHK$8,0)</f>
        <v>0</v>
      </c>
      <c r="WHK54" s="5">
        <f>-IFERROR('4. NPV'!#REF!/'4. NPV'!WHL$8,0)</f>
        <v>0</v>
      </c>
      <c r="WHL54" s="5">
        <f>-IFERROR('4. NPV'!#REF!/'4. NPV'!WHM$8,0)</f>
        <v>0</v>
      </c>
      <c r="WHM54" s="5">
        <f>-IFERROR('4. NPV'!#REF!/'4. NPV'!WHN$8,0)</f>
        <v>0</v>
      </c>
      <c r="WHN54" s="5">
        <f>-IFERROR('4. NPV'!#REF!/'4. NPV'!WHO$8,0)</f>
        <v>0</v>
      </c>
      <c r="WHO54" s="5">
        <f>-IFERROR('4. NPV'!#REF!/'4. NPV'!WHP$8,0)</f>
        <v>0</v>
      </c>
      <c r="WHP54" s="5">
        <f>-IFERROR('4. NPV'!#REF!/'4. NPV'!WHQ$8,0)</f>
        <v>0</v>
      </c>
      <c r="WHQ54" s="5">
        <f>-IFERROR('4. NPV'!#REF!/'4. NPV'!WHR$8,0)</f>
        <v>0</v>
      </c>
      <c r="WHR54" s="5">
        <f>-IFERROR('4. NPV'!#REF!/'4. NPV'!WHS$8,0)</f>
        <v>0</v>
      </c>
      <c r="WHS54" s="5">
        <f>-IFERROR('4. NPV'!#REF!/'4. NPV'!WHT$8,0)</f>
        <v>0</v>
      </c>
      <c r="WHT54" s="5">
        <f>-IFERROR('4. NPV'!#REF!/'4. NPV'!WHU$8,0)</f>
        <v>0</v>
      </c>
      <c r="WHU54" s="5">
        <f>-IFERROR('4. NPV'!#REF!/'4. NPV'!WHV$8,0)</f>
        <v>0</v>
      </c>
      <c r="WHV54" s="5">
        <f>-IFERROR('4. NPV'!#REF!/'4. NPV'!WHW$8,0)</f>
        <v>0</v>
      </c>
      <c r="WHW54" s="5">
        <f>-IFERROR('4. NPV'!#REF!/'4. NPV'!WHX$8,0)</f>
        <v>0</v>
      </c>
      <c r="WHX54" s="5">
        <f>-IFERROR('4. NPV'!#REF!/'4. NPV'!WHY$8,0)</f>
        <v>0</v>
      </c>
      <c r="WHY54" s="5">
        <f>-IFERROR('4. NPV'!#REF!/'4. NPV'!WHZ$8,0)</f>
        <v>0</v>
      </c>
      <c r="WHZ54" s="5">
        <f>-IFERROR('4. NPV'!#REF!/'4. NPV'!WIA$8,0)</f>
        <v>0</v>
      </c>
      <c r="WIA54" s="5">
        <f>-IFERROR('4. NPV'!#REF!/'4. NPV'!WIB$8,0)</f>
        <v>0</v>
      </c>
      <c r="WIB54" s="5">
        <f>-IFERROR('4. NPV'!#REF!/'4. NPV'!WIC$8,0)</f>
        <v>0</v>
      </c>
      <c r="WIC54" s="5">
        <f>-IFERROR('4. NPV'!#REF!/'4. NPV'!WID$8,0)</f>
        <v>0</v>
      </c>
      <c r="WID54" s="5">
        <f>-IFERROR('4. NPV'!#REF!/'4. NPV'!WIE$8,0)</f>
        <v>0</v>
      </c>
      <c r="WIE54" s="5">
        <f>-IFERROR('4. NPV'!#REF!/'4. NPV'!WIF$8,0)</f>
        <v>0</v>
      </c>
      <c r="WIF54" s="5">
        <f>-IFERROR('4. NPV'!#REF!/'4. NPV'!WIG$8,0)</f>
        <v>0</v>
      </c>
      <c r="WIG54" s="5">
        <f>-IFERROR('4. NPV'!#REF!/'4. NPV'!WIH$8,0)</f>
        <v>0</v>
      </c>
      <c r="WIH54" s="5">
        <f>-IFERROR('4. NPV'!#REF!/'4. NPV'!WII$8,0)</f>
        <v>0</v>
      </c>
      <c r="WII54" s="5">
        <f>-IFERROR('4. NPV'!#REF!/'4. NPV'!WIJ$8,0)</f>
        <v>0</v>
      </c>
      <c r="WIJ54" s="5">
        <f>-IFERROR('4. NPV'!#REF!/'4. NPV'!WIK$8,0)</f>
        <v>0</v>
      </c>
      <c r="WIK54" s="5">
        <f>-IFERROR('4. NPV'!#REF!/'4. NPV'!WIL$8,0)</f>
        <v>0</v>
      </c>
      <c r="WIL54" s="5">
        <f>-IFERROR('4. NPV'!#REF!/'4. NPV'!WIM$8,0)</f>
        <v>0</v>
      </c>
      <c r="WIM54" s="5">
        <f>-IFERROR('4. NPV'!#REF!/'4. NPV'!WIN$8,0)</f>
        <v>0</v>
      </c>
      <c r="WIN54" s="5">
        <f>-IFERROR('4. NPV'!#REF!/'4. NPV'!WIO$8,0)</f>
        <v>0</v>
      </c>
      <c r="WIO54" s="5">
        <f>-IFERROR('4. NPV'!#REF!/'4. NPV'!WIP$8,0)</f>
        <v>0</v>
      </c>
      <c r="WIP54" s="5">
        <f>-IFERROR('4. NPV'!#REF!/'4. NPV'!WIQ$8,0)</f>
        <v>0</v>
      </c>
      <c r="WIQ54" s="5">
        <f>-IFERROR('4. NPV'!#REF!/'4. NPV'!WIR$8,0)</f>
        <v>0</v>
      </c>
      <c r="WIR54" s="5">
        <f>-IFERROR('4. NPV'!#REF!/'4. NPV'!WIS$8,0)</f>
        <v>0</v>
      </c>
      <c r="WIS54" s="5">
        <f>-IFERROR('4. NPV'!#REF!/'4. NPV'!WIT$8,0)</f>
        <v>0</v>
      </c>
      <c r="WIT54" s="5">
        <f>-IFERROR('4. NPV'!#REF!/'4. NPV'!WIU$8,0)</f>
        <v>0</v>
      </c>
      <c r="WIU54" s="5">
        <f>-IFERROR('4. NPV'!#REF!/'4. NPV'!WIV$8,0)</f>
        <v>0</v>
      </c>
      <c r="WIV54" s="5">
        <f>-IFERROR('4. NPV'!#REF!/'4. NPV'!WIW$8,0)</f>
        <v>0</v>
      </c>
      <c r="WIW54" s="5">
        <f>-IFERROR('4. NPV'!#REF!/'4. NPV'!WIX$8,0)</f>
        <v>0</v>
      </c>
      <c r="WIX54" s="5">
        <f>-IFERROR('4. NPV'!#REF!/'4. NPV'!WIY$8,0)</f>
        <v>0</v>
      </c>
      <c r="WIY54" s="5">
        <f>-IFERROR('4. NPV'!#REF!/'4. NPV'!WIZ$8,0)</f>
        <v>0</v>
      </c>
      <c r="WIZ54" s="5">
        <f>-IFERROR('4. NPV'!#REF!/'4. NPV'!WJA$8,0)</f>
        <v>0</v>
      </c>
      <c r="WJA54" s="5">
        <f>-IFERROR('4. NPV'!#REF!/'4. NPV'!WJB$8,0)</f>
        <v>0</v>
      </c>
      <c r="WJB54" s="5">
        <f>-IFERROR('4. NPV'!#REF!/'4. NPV'!WJC$8,0)</f>
        <v>0</v>
      </c>
      <c r="WJC54" s="5">
        <f>-IFERROR('4. NPV'!#REF!/'4. NPV'!WJD$8,0)</f>
        <v>0</v>
      </c>
      <c r="WJD54" s="5">
        <f>-IFERROR('4. NPV'!#REF!/'4. NPV'!WJE$8,0)</f>
        <v>0</v>
      </c>
      <c r="WJE54" s="5">
        <f>-IFERROR('4. NPV'!#REF!/'4. NPV'!WJF$8,0)</f>
        <v>0</v>
      </c>
      <c r="WJF54" s="5">
        <f>-IFERROR('4. NPV'!#REF!/'4. NPV'!WJG$8,0)</f>
        <v>0</v>
      </c>
      <c r="WJG54" s="5">
        <f>-IFERROR('4. NPV'!#REF!/'4. NPV'!WJH$8,0)</f>
        <v>0</v>
      </c>
      <c r="WJH54" s="5">
        <f>-IFERROR('4. NPV'!#REF!/'4. NPV'!WJI$8,0)</f>
        <v>0</v>
      </c>
      <c r="WJI54" s="5">
        <f>-IFERROR('4. NPV'!#REF!/'4. NPV'!WJJ$8,0)</f>
        <v>0</v>
      </c>
      <c r="WJJ54" s="5">
        <f>-IFERROR('4. NPV'!#REF!/'4. NPV'!WJK$8,0)</f>
        <v>0</v>
      </c>
      <c r="WJK54" s="5">
        <f>-IFERROR('4. NPV'!#REF!/'4. NPV'!WJL$8,0)</f>
        <v>0</v>
      </c>
      <c r="WJL54" s="5">
        <f>-IFERROR('4. NPV'!#REF!/'4. NPV'!WJM$8,0)</f>
        <v>0</v>
      </c>
      <c r="WJM54" s="5">
        <f>-IFERROR('4. NPV'!#REF!/'4. NPV'!WJN$8,0)</f>
        <v>0</v>
      </c>
      <c r="WJN54" s="5">
        <f>-IFERROR('4. NPV'!#REF!/'4. NPV'!WJO$8,0)</f>
        <v>0</v>
      </c>
      <c r="WJO54" s="5">
        <f>-IFERROR('4. NPV'!#REF!/'4. NPV'!WJP$8,0)</f>
        <v>0</v>
      </c>
      <c r="WJP54" s="5">
        <f>-IFERROR('4. NPV'!#REF!/'4. NPV'!WJQ$8,0)</f>
        <v>0</v>
      </c>
      <c r="WJQ54" s="5">
        <f>-IFERROR('4. NPV'!#REF!/'4. NPV'!WJR$8,0)</f>
        <v>0</v>
      </c>
      <c r="WJR54" s="5">
        <f>-IFERROR('4. NPV'!#REF!/'4. NPV'!WJS$8,0)</f>
        <v>0</v>
      </c>
      <c r="WJS54" s="5">
        <f>-IFERROR('4. NPV'!#REF!/'4. NPV'!WJT$8,0)</f>
        <v>0</v>
      </c>
      <c r="WJT54" s="5">
        <f>-IFERROR('4. NPV'!#REF!/'4. NPV'!WJU$8,0)</f>
        <v>0</v>
      </c>
      <c r="WJU54" s="5">
        <f>-IFERROR('4. NPV'!#REF!/'4. NPV'!WJV$8,0)</f>
        <v>0</v>
      </c>
      <c r="WJV54" s="5">
        <f>-IFERROR('4. NPV'!#REF!/'4. NPV'!WJW$8,0)</f>
        <v>0</v>
      </c>
      <c r="WJW54" s="5">
        <f>-IFERROR('4. NPV'!#REF!/'4. NPV'!WJX$8,0)</f>
        <v>0</v>
      </c>
      <c r="WJX54" s="5">
        <f>-IFERROR('4. NPV'!#REF!/'4. NPV'!WJY$8,0)</f>
        <v>0</v>
      </c>
      <c r="WJY54" s="5">
        <f>-IFERROR('4. NPV'!#REF!/'4. NPV'!WJZ$8,0)</f>
        <v>0</v>
      </c>
      <c r="WJZ54" s="5">
        <f>-IFERROR('4. NPV'!#REF!/'4. NPV'!WKA$8,0)</f>
        <v>0</v>
      </c>
      <c r="WKA54" s="5">
        <f>-IFERROR('4. NPV'!#REF!/'4. NPV'!WKB$8,0)</f>
        <v>0</v>
      </c>
      <c r="WKB54" s="5">
        <f>-IFERROR('4. NPV'!#REF!/'4. NPV'!WKC$8,0)</f>
        <v>0</v>
      </c>
      <c r="WKC54" s="5">
        <f>-IFERROR('4. NPV'!#REF!/'4. NPV'!WKD$8,0)</f>
        <v>0</v>
      </c>
      <c r="WKD54" s="5">
        <f>-IFERROR('4. NPV'!#REF!/'4. NPV'!WKE$8,0)</f>
        <v>0</v>
      </c>
      <c r="WKE54" s="5">
        <f>-IFERROR('4. NPV'!#REF!/'4. NPV'!WKF$8,0)</f>
        <v>0</v>
      </c>
      <c r="WKF54" s="5">
        <f>-IFERROR('4. NPV'!#REF!/'4. NPV'!WKG$8,0)</f>
        <v>0</v>
      </c>
      <c r="WKG54" s="5">
        <f>-IFERROR('4. NPV'!#REF!/'4. NPV'!WKH$8,0)</f>
        <v>0</v>
      </c>
      <c r="WKH54" s="5">
        <f>-IFERROR('4. NPV'!#REF!/'4. NPV'!WKI$8,0)</f>
        <v>0</v>
      </c>
      <c r="WKI54" s="5">
        <f>-IFERROR('4. NPV'!#REF!/'4. NPV'!WKJ$8,0)</f>
        <v>0</v>
      </c>
      <c r="WKJ54" s="5">
        <f>-IFERROR('4. NPV'!#REF!/'4. NPV'!WKK$8,0)</f>
        <v>0</v>
      </c>
      <c r="WKK54" s="5">
        <f>-IFERROR('4. NPV'!#REF!/'4. NPV'!WKL$8,0)</f>
        <v>0</v>
      </c>
      <c r="WKL54" s="5">
        <f>-IFERROR('4. NPV'!#REF!/'4. NPV'!WKM$8,0)</f>
        <v>0</v>
      </c>
      <c r="WKM54" s="5">
        <f>-IFERROR('4. NPV'!#REF!/'4. NPV'!WKN$8,0)</f>
        <v>0</v>
      </c>
      <c r="WKN54" s="5">
        <f>-IFERROR('4. NPV'!#REF!/'4. NPV'!WKO$8,0)</f>
        <v>0</v>
      </c>
      <c r="WKO54" s="5">
        <f>-IFERROR('4. NPV'!#REF!/'4. NPV'!WKP$8,0)</f>
        <v>0</v>
      </c>
      <c r="WKP54" s="5">
        <f>-IFERROR('4. NPV'!#REF!/'4. NPV'!WKQ$8,0)</f>
        <v>0</v>
      </c>
      <c r="WKQ54" s="5">
        <f>-IFERROR('4. NPV'!#REF!/'4. NPV'!WKR$8,0)</f>
        <v>0</v>
      </c>
      <c r="WKR54" s="5">
        <f>-IFERROR('4. NPV'!#REF!/'4. NPV'!WKS$8,0)</f>
        <v>0</v>
      </c>
      <c r="WKS54" s="5">
        <f>-IFERROR('4. NPV'!#REF!/'4. NPV'!WKT$8,0)</f>
        <v>0</v>
      </c>
      <c r="WKT54" s="5">
        <f>-IFERROR('4. NPV'!#REF!/'4. NPV'!WKU$8,0)</f>
        <v>0</v>
      </c>
      <c r="WKU54" s="5">
        <f>-IFERROR('4. NPV'!#REF!/'4. NPV'!WKV$8,0)</f>
        <v>0</v>
      </c>
      <c r="WKV54" s="5">
        <f>-IFERROR('4. NPV'!#REF!/'4. NPV'!WKW$8,0)</f>
        <v>0</v>
      </c>
      <c r="WKW54" s="5">
        <f>-IFERROR('4. NPV'!#REF!/'4. NPV'!WKX$8,0)</f>
        <v>0</v>
      </c>
      <c r="WKX54" s="5">
        <f>-IFERROR('4. NPV'!#REF!/'4. NPV'!WKY$8,0)</f>
        <v>0</v>
      </c>
      <c r="WKY54" s="5">
        <f>-IFERROR('4. NPV'!#REF!/'4. NPV'!WKZ$8,0)</f>
        <v>0</v>
      </c>
      <c r="WKZ54" s="5">
        <f>-IFERROR('4. NPV'!#REF!/'4. NPV'!WLA$8,0)</f>
        <v>0</v>
      </c>
      <c r="WLA54" s="5">
        <f>-IFERROR('4. NPV'!#REF!/'4. NPV'!WLB$8,0)</f>
        <v>0</v>
      </c>
      <c r="WLB54" s="5">
        <f>-IFERROR('4. NPV'!#REF!/'4. NPV'!WLC$8,0)</f>
        <v>0</v>
      </c>
      <c r="WLC54" s="5">
        <f>-IFERROR('4. NPV'!#REF!/'4. NPV'!WLD$8,0)</f>
        <v>0</v>
      </c>
      <c r="WLD54" s="5">
        <f>-IFERROR('4. NPV'!#REF!/'4. NPV'!WLE$8,0)</f>
        <v>0</v>
      </c>
      <c r="WLE54" s="5">
        <f>-IFERROR('4. NPV'!#REF!/'4. NPV'!WLF$8,0)</f>
        <v>0</v>
      </c>
      <c r="WLF54" s="5">
        <f>-IFERROR('4. NPV'!#REF!/'4. NPV'!WLG$8,0)</f>
        <v>0</v>
      </c>
      <c r="WLG54" s="5">
        <f>-IFERROR('4. NPV'!#REF!/'4. NPV'!WLH$8,0)</f>
        <v>0</v>
      </c>
      <c r="WLH54" s="5">
        <f>-IFERROR('4. NPV'!#REF!/'4. NPV'!WLI$8,0)</f>
        <v>0</v>
      </c>
      <c r="WLI54" s="5">
        <f>-IFERROR('4. NPV'!#REF!/'4. NPV'!WLJ$8,0)</f>
        <v>0</v>
      </c>
      <c r="WLJ54" s="5">
        <f>-IFERROR('4. NPV'!#REF!/'4. NPV'!WLK$8,0)</f>
        <v>0</v>
      </c>
      <c r="WLK54" s="5">
        <f>-IFERROR('4. NPV'!#REF!/'4. NPV'!WLL$8,0)</f>
        <v>0</v>
      </c>
      <c r="WLL54" s="5">
        <f>-IFERROR('4. NPV'!#REF!/'4. NPV'!WLM$8,0)</f>
        <v>0</v>
      </c>
      <c r="WLM54" s="5">
        <f>-IFERROR('4. NPV'!#REF!/'4. NPV'!WLN$8,0)</f>
        <v>0</v>
      </c>
      <c r="WLN54" s="5">
        <f>-IFERROR('4. NPV'!#REF!/'4. NPV'!WLO$8,0)</f>
        <v>0</v>
      </c>
      <c r="WLO54" s="5">
        <f>-IFERROR('4. NPV'!#REF!/'4. NPV'!WLP$8,0)</f>
        <v>0</v>
      </c>
      <c r="WLP54" s="5">
        <f>-IFERROR('4. NPV'!#REF!/'4. NPV'!WLQ$8,0)</f>
        <v>0</v>
      </c>
      <c r="WLQ54" s="5">
        <f>-IFERROR('4. NPV'!#REF!/'4. NPV'!WLR$8,0)</f>
        <v>0</v>
      </c>
      <c r="WLR54" s="5">
        <f>-IFERROR('4. NPV'!#REF!/'4. NPV'!WLS$8,0)</f>
        <v>0</v>
      </c>
      <c r="WLS54" s="5">
        <f>-IFERROR('4. NPV'!#REF!/'4. NPV'!WLT$8,0)</f>
        <v>0</v>
      </c>
      <c r="WLT54" s="5">
        <f>-IFERROR('4. NPV'!#REF!/'4. NPV'!WLU$8,0)</f>
        <v>0</v>
      </c>
      <c r="WLU54" s="5">
        <f>-IFERROR('4. NPV'!#REF!/'4. NPV'!WLV$8,0)</f>
        <v>0</v>
      </c>
      <c r="WLV54" s="5">
        <f>-IFERROR('4. NPV'!#REF!/'4. NPV'!WLW$8,0)</f>
        <v>0</v>
      </c>
      <c r="WLW54" s="5">
        <f>-IFERROR('4. NPV'!#REF!/'4. NPV'!WLX$8,0)</f>
        <v>0</v>
      </c>
      <c r="WLX54" s="5">
        <f>-IFERROR('4. NPV'!#REF!/'4. NPV'!WLY$8,0)</f>
        <v>0</v>
      </c>
      <c r="WLY54" s="5">
        <f>-IFERROR('4. NPV'!#REF!/'4. NPV'!WLZ$8,0)</f>
        <v>0</v>
      </c>
      <c r="WLZ54" s="5">
        <f>-IFERROR('4. NPV'!#REF!/'4. NPV'!WMA$8,0)</f>
        <v>0</v>
      </c>
      <c r="WMA54" s="5">
        <f>-IFERROR('4. NPV'!#REF!/'4. NPV'!WMB$8,0)</f>
        <v>0</v>
      </c>
      <c r="WMB54" s="5">
        <f>-IFERROR('4. NPV'!#REF!/'4. NPV'!WMC$8,0)</f>
        <v>0</v>
      </c>
      <c r="WMC54" s="5">
        <f>-IFERROR('4. NPV'!#REF!/'4. NPV'!WMD$8,0)</f>
        <v>0</v>
      </c>
      <c r="WMD54" s="5">
        <f>-IFERROR('4. NPV'!#REF!/'4. NPV'!WME$8,0)</f>
        <v>0</v>
      </c>
      <c r="WME54" s="5">
        <f>-IFERROR('4. NPV'!#REF!/'4. NPV'!WMF$8,0)</f>
        <v>0</v>
      </c>
      <c r="WMF54" s="5">
        <f>-IFERROR('4. NPV'!#REF!/'4. NPV'!WMG$8,0)</f>
        <v>0</v>
      </c>
      <c r="WMG54" s="5">
        <f>-IFERROR('4. NPV'!#REF!/'4. NPV'!WMH$8,0)</f>
        <v>0</v>
      </c>
      <c r="WMH54" s="5">
        <f>-IFERROR('4. NPV'!#REF!/'4. NPV'!WMI$8,0)</f>
        <v>0</v>
      </c>
      <c r="WMI54" s="5">
        <f>-IFERROR('4. NPV'!#REF!/'4. NPV'!WMJ$8,0)</f>
        <v>0</v>
      </c>
      <c r="WMJ54" s="5">
        <f>-IFERROR('4. NPV'!#REF!/'4. NPV'!WMK$8,0)</f>
        <v>0</v>
      </c>
      <c r="WMK54" s="5">
        <f>-IFERROR('4. NPV'!#REF!/'4. NPV'!WML$8,0)</f>
        <v>0</v>
      </c>
      <c r="WML54" s="5">
        <f>-IFERROR('4. NPV'!#REF!/'4. NPV'!WMM$8,0)</f>
        <v>0</v>
      </c>
      <c r="WMM54" s="5">
        <f>-IFERROR('4. NPV'!#REF!/'4. NPV'!WMN$8,0)</f>
        <v>0</v>
      </c>
      <c r="WMN54" s="5">
        <f>-IFERROR('4. NPV'!#REF!/'4. NPV'!WMO$8,0)</f>
        <v>0</v>
      </c>
      <c r="WMO54" s="5">
        <f>-IFERROR('4. NPV'!#REF!/'4. NPV'!WMP$8,0)</f>
        <v>0</v>
      </c>
      <c r="WMP54" s="5">
        <f>-IFERROR('4. NPV'!#REF!/'4. NPV'!WMQ$8,0)</f>
        <v>0</v>
      </c>
      <c r="WMQ54" s="5">
        <f>-IFERROR('4. NPV'!#REF!/'4. NPV'!WMR$8,0)</f>
        <v>0</v>
      </c>
      <c r="WMR54" s="5">
        <f>-IFERROR('4. NPV'!#REF!/'4. NPV'!WMS$8,0)</f>
        <v>0</v>
      </c>
      <c r="WMS54" s="5">
        <f>-IFERROR('4. NPV'!#REF!/'4. NPV'!WMT$8,0)</f>
        <v>0</v>
      </c>
      <c r="WMT54" s="5">
        <f>-IFERROR('4. NPV'!#REF!/'4. NPV'!WMU$8,0)</f>
        <v>0</v>
      </c>
      <c r="WMU54" s="5">
        <f>-IFERROR('4. NPV'!#REF!/'4. NPV'!WMV$8,0)</f>
        <v>0</v>
      </c>
      <c r="WMV54" s="5">
        <f>-IFERROR('4. NPV'!#REF!/'4. NPV'!WMW$8,0)</f>
        <v>0</v>
      </c>
      <c r="WMW54" s="5">
        <f>-IFERROR('4. NPV'!#REF!/'4. NPV'!WMX$8,0)</f>
        <v>0</v>
      </c>
      <c r="WMX54" s="5">
        <f>-IFERROR('4. NPV'!#REF!/'4. NPV'!WMY$8,0)</f>
        <v>0</v>
      </c>
      <c r="WMY54" s="5">
        <f>-IFERROR('4. NPV'!#REF!/'4. NPV'!WMZ$8,0)</f>
        <v>0</v>
      </c>
      <c r="WMZ54" s="5">
        <f>-IFERROR('4. NPV'!#REF!/'4. NPV'!WNA$8,0)</f>
        <v>0</v>
      </c>
      <c r="WNA54" s="5">
        <f>-IFERROR('4. NPV'!#REF!/'4. NPV'!WNB$8,0)</f>
        <v>0</v>
      </c>
      <c r="WNB54" s="5">
        <f>-IFERROR('4. NPV'!#REF!/'4. NPV'!WNC$8,0)</f>
        <v>0</v>
      </c>
      <c r="WNC54" s="5">
        <f>-IFERROR('4. NPV'!#REF!/'4. NPV'!WND$8,0)</f>
        <v>0</v>
      </c>
      <c r="WND54" s="5">
        <f>-IFERROR('4. NPV'!#REF!/'4. NPV'!WNE$8,0)</f>
        <v>0</v>
      </c>
      <c r="WNE54" s="5">
        <f>-IFERROR('4. NPV'!#REF!/'4. NPV'!WNF$8,0)</f>
        <v>0</v>
      </c>
      <c r="WNF54" s="5">
        <f>-IFERROR('4. NPV'!#REF!/'4. NPV'!WNG$8,0)</f>
        <v>0</v>
      </c>
      <c r="WNG54" s="5">
        <f>-IFERROR('4. NPV'!#REF!/'4. NPV'!WNH$8,0)</f>
        <v>0</v>
      </c>
      <c r="WNH54" s="5">
        <f>-IFERROR('4. NPV'!#REF!/'4. NPV'!WNI$8,0)</f>
        <v>0</v>
      </c>
      <c r="WNI54" s="5">
        <f>-IFERROR('4. NPV'!#REF!/'4. NPV'!WNJ$8,0)</f>
        <v>0</v>
      </c>
      <c r="WNJ54" s="5">
        <f>-IFERROR('4. NPV'!#REF!/'4. NPV'!WNK$8,0)</f>
        <v>0</v>
      </c>
      <c r="WNK54" s="5">
        <f>-IFERROR('4. NPV'!#REF!/'4. NPV'!WNL$8,0)</f>
        <v>0</v>
      </c>
      <c r="WNL54" s="5">
        <f>-IFERROR('4. NPV'!#REF!/'4. NPV'!WNM$8,0)</f>
        <v>0</v>
      </c>
      <c r="WNM54" s="5">
        <f>-IFERROR('4. NPV'!#REF!/'4. NPV'!WNN$8,0)</f>
        <v>0</v>
      </c>
      <c r="WNN54" s="5">
        <f>-IFERROR('4. NPV'!#REF!/'4. NPV'!WNO$8,0)</f>
        <v>0</v>
      </c>
      <c r="WNO54" s="5">
        <f>-IFERROR('4. NPV'!#REF!/'4. NPV'!WNP$8,0)</f>
        <v>0</v>
      </c>
      <c r="WNP54" s="5">
        <f>-IFERROR('4. NPV'!#REF!/'4. NPV'!WNQ$8,0)</f>
        <v>0</v>
      </c>
      <c r="WNQ54" s="5">
        <f>-IFERROR('4. NPV'!#REF!/'4. NPV'!WNR$8,0)</f>
        <v>0</v>
      </c>
      <c r="WNR54" s="5">
        <f>-IFERROR('4. NPV'!#REF!/'4. NPV'!WNS$8,0)</f>
        <v>0</v>
      </c>
      <c r="WNS54" s="5">
        <f>-IFERROR('4. NPV'!#REF!/'4. NPV'!WNT$8,0)</f>
        <v>0</v>
      </c>
      <c r="WNT54" s="5">
        <f>-IFERROR('4. NPV'!#REF!/'4. NPV'!WNU$8,0)</f>
        <v>0</v>
      </c>
      <c r="WNU54" s="5">
        <f>-IFERROR('4. NPV'!#REF!/'4. NPV'!WNV$8,0)</f>
        <v>0</v>
      </c>
      <c r="WNV54" s="5">
        <f>-IFERROR('4. NPV'!#REF!/'4. NPV'!WNW$8,0)</f>
        <v>0</v>
      </c>
      <c r="WNW54" s="5">
        <f>-IFERROR('4. NPV'!#REF!/'4. NPV'!WNX$8,0)</f>
        <v>0</v>
      </c>
      <c r="WNX54" s="5">
        <f>-IFERROR('4. NPV'!#REF!/'4. NPV'!WNY$8,0)</f>
        <v>0</v>
      </c>
      <c r="WNY54" s="5">
        <f>-IFERROR('4. NPV'!#REF!/'4. NPV'!WNZ$8,0)</f>
        <v>0</v>
      </c>
      <c r="WNZ54" s="5">
        <f>-IFERROR('4. NPV'!#REF!/'4. NPV'!WOA$8,0)</f>
        <v>0</v>
      </c>
      <c r="WOA54" s="5">
        <f>-IFERROR('4. NPV'!#REF!/'4. NPV'!WOB$8,0)</f>
        <v>0</v>
      </c>
      <c r="WOB54" s="5">
        <f>-IFERROR('4. NPV'!#REF!/'4. NPV'!WOC$8,0)</f>
        <v>0</v>
      </c>
      <c r="WOC54" s="5">
        <f>-IFERROR('4. NPV'!#REF!/'4. NPV'!WOD$8,0)</f>
        <v>0</v>
      </c>
      <c r="WOD54" s="5">
        <f>-IFERROR('4. NPV'!#REF!/'4. NPV'!WOE$8,0)</f>
        <v>0</v>
      </c>
      <c r="WOE54" s="5">
        <f>-IFERROR('4. NPV'!#REF!/'4. NPV'!WOF$8,0)</f>
        <v>0</v>
      </c>
      <c r="WOF54" s="5">
        <f>-IFERROR('4. NPV'!#REF!/'4. NPV'!WOG$8,0)</f>
        <v>0</v>
      </c>
      <c r="WOG54" s="5">
        <f>-IFERROR('4. NPV'!#REF!/'4. NPV'!WOH$8,0)</f>
        <v>0</v>
      </c>
      <c r="WOH54" s="5">
        <f>-IFERROR('4. NPV'!#REF!/'4. NPV'!WOI$8,0)</f>
        <v>0</v>
      </c>
      <c r="WOI54" s="5">
        <f>-IFERROR('4. NPV'!#REF!/'4. NPV'!WOJ$8,0)</f>
        <v>0</v>
      </c>
      <c r="WOJ54" s="5">
        <f>-IFERROR('4. NPV'!#REF!/'4. NPV'!WOK$8,0)</f>
        <v>0</v>
      </c>
      <c r="WOK54" s="5">
        <f>-IFERROR('4. NPV'!#REF!/'4. NPV'!WOL$8,0)</f>
        <v>0</v>
      </c>
      <c r="WOL54" s="5">
        <f>-IFERROR('4. NPV'!#REF!/'4. NPV'!WOM$8,0)</f>
        <v>0</v>
      </c>
      <c r="WOM54" s="5">
        <f>-IFERROR('4. NPV'!#REF!/'4. NPV'!WON$8,0)</f>
        <v>0</v>
      </c>
      <c r="WON54" s="5">
        <f>-IFERROR('4. NPV'!#REF!/'4. NPV'!WOO$8,0)</f>
        <v>0</v>
      </c>
      <c r="WOO54" s="5">
        <f>-IFERROR('4. NPV'!#REF!/'4. NPV'!WOP$8,0)</f>
        <v>0</v>
      </c>
      <c r="WOP54" s="5">
        <f>-IFERROR('4. NPV'!#REF!/'4. NPV'!WOQ$8,0)</f>
        <v>0</v>
      </c>
      <c r="WOQ54" s="5">
        <f>-IFERROR('4. NPV'!#REF!/'4. NPV'!WOR$8,0)</f>
        <v>0</v>
      </c>
      <c r="WOR54" s="5">
        <f>-IFERROR('4. NPV'!#REF!/'4. NPV'!WOS$8,0)</f>
        <v>0</v>
      </c>
      <c r="WOS54" s="5">
        <f>-IFERROR('4. NPV'!#REF!/'4. NPV'!WOT$8,0)</f>
        <v>0</v>
      </c>
      <c r="WOT54" s="5">
        <f>-IFERROR('4. NPV'!#REF!/'4. NPV'!WOU$8,0)</f>
        <v>0</v>
      </c>
      <c r="WOU54" s="5">
        <f>-IFERROR('4. NPV'!#REF!/'4. NPV'!WOV$8,0)</f>
        <v>0</v>
      </c>
      <c r="WOV54" s="5">
        <f>-IFERROR('4. NPV'!#REF!/'4. NPV'!WOW$8,0)</f>
        <v>0</v>
      </c>
      <c r="WOW54" s="5">
        <f>-IFERROR('4. NPV'!#REF!/'4. NPV'!WOX$8,0)</f>
        <v>0</v>
      </c>
      <c r="WOX54" s="5">
        <f>-IFERROR('4. NPV'!#REF!/'4. NPV'!WOY$8,0)</f>
        <v>0</v>
      </c>
      <c r="WOY54" s="5">
        <f>-IFERROR('4. NPV'!#REF!/'4. NPV'!WOZ$8,0)</f>
        <v>0</v>
      </c>
      <c r="WOZ54" s="5">
        <f>-IFERROR('4. NPV'!#REF!/'4. NPV'!WPA$8,0)</f>
        <v>0</v>
      </c>
      <c r="WPA54" s="5">
        <f>-IFERROR('4. NPV'!#REF!/'4. NPV'!WPB$8,0)</f>
        <v>0</v>
      </c>
      <c r="WPB54" s="5">
        <f>-IFERROR('4. NPV'!#REF!/'4. NPV'!WPC$8,0)</f>
        <v>0</v>
      </c>
      <c r="WPC54" s="5">
        <f>-IFERROR('4. NPV'!#REF!/'4. NPV'!WPD$8,0)</f>
        <v>0</v>
      </c>
      <c r="WPD54" s="5">
        <f>-IFERROR('4. NPV'!#REF!/'4. NPV'!WPE$8,0)</f>
        <v>0</v>
      </c>
      <c r="WPE54" s="5">
        <f>-IFERROR('4. NPV'!#REF!/'4. NPV'!WPF$8,0)</f>
        <v>0</v>
      </c>
      <c r="WPF54" s="5">
        <f>-IFERROR('4. NPV'!#REF!/'4. NPV'!WPG$8,0)</f>
        <v>0</v>
      </c>
      <c r="WPG54" s="5">
        <f>-IFERROR('4. NPV'!#REF!/'4. NPV'!WPH$8,0)</f>
        <v>0</v>
      </c>
      <c r="WPH54" s="5">
        <f>-IFERROR('4. NPV'!#REF!/'4. NPV'!WPI$8,0)</f>
        <v>0</v>
      </c>
      <c r="WPI54" s="5">
        <f>-IFERROR('4. NPV'!#REF!/'4. NPV'!WPJ$8,0)</f>
        <v>0</v>
      </c>
      <c r="WPJ54" s="5">
        <f>-IFERROR('4. NPV'!#REF!/'4. NPV'!WPK$8,0)</f>
        <v>0</v>
      </c>
      <c r="WPK54" s="5">
        <f>-IFERROR('4. NPV'!#REF!/'4. NPV'!WPL$8,0)</f>
        <v>0</v>
      </c>
      <c r="WPL54" s="5">
        <f>-IFERROR('4. NPV'!#REF!/'4. NPV'!WPM$8,0)</f>
        <v>0</v>
      </c>
      <c r="WPM54" s="5">
        <f>-IFERROR('4. NPV'!#REF!/'4. NPV'!WPN$8,0)</f>
        <v>0</v>
      </c>
      <c r="WPN54" s="5">
        <f>-IFERROR('4. NPV'!#REF!/'4. NPV'!WPO$8,0)</f>
        <v>0</v>
      </c>
      <c r="WPO54" s="5">
        <f>-IFERROR('4. NPV'!#REF!/'4. NPV'!WPP$8,0)</f>
        <v>0</v>
      </c>
      <c r="WPP54" s="5">
        <f>-IFERROR('4. NPV'!#REF!/'4. NPV'!WPQ$8,0)</f>
        <v>0</v>
      </c>
      <c r="WPQ54" s="5">
        <f>-IFERROR('4. NPV'!#REF!/'4. NPV'!WPR$8,0)</f>
        <v>0</v>
      </c>
      <c r="WPR54" s="5">
        <f>-IFERROR('4. NPV'!#REF!/'4. NPV'!WPS$8,0)</f>
        <v>0</v>
      </c>
      <c r="WPS54" s="5">
        <f>-IFERROR('4. NPV'!#REF!/'4. NPV'!WPT$8,0)</f>
        <v>0</v>
      </c>
      <c r="WPT54" s="5">
        <f>-IFERROR('4. NPV'!#REF!/'4. NPV'!WPU$8,0)</f>
        <v>0</v>
      </c>
      <c r="WPU54" s="5">
        <f>-IFERROR('4. NPV'!#REF!/'4. NPV'!WPV$8,0)</f>
        <v>0</v>
      </c>
      <c r="WPV54" s="5">
        <f>-IFERROR('4. NPV'!#REF!/'4. NPV'!WPW$8,0)</f>
        <v>0</v>
      </c>
      <c r="WPW54" s="5">
        <f>-IFERROR('4. NPV'!#REF!/'4. NPV'!WPX$8,0)</f>
        <v>0</v>
      </c>
      <c r="WPX54" s="5">
        <f>-IFERROR('4. NPV'!#REF!/'4. NPV'!WPY$8,0)</f>
        <v>0</v>
      </c>
      <c r="WPY54" s="5">
        <f>-IFERROR('4. NPV'!#REF!/'4. NPV'!WPZ$8,0)</f>
        <v>0</v>
      </c>
      <c r="WPZ54" s="5">
        <f>-IFERROR('4. NPV'!#REF!/'4. NPV'!WQA$8,0)</f>
        <v>0</v>
      </c>
      <c r="WQA54" s="5">
        <f>-IFERROR('4. NPV'!#REF!/'4. NPV'!WQB$8,0)</f>
        <v>0</v>
      </c>
      <c r="WQB54" s="5">
        <f>-IFERROR('4. NPV'!#REF!/'4. NPV'!WQC$8,0)</f>
        <v>0</v>
      </c>
      <c r="WQC54" s="5">
        <f>-IFERROR('4. NPV'!#REF!/'4. NPV'!WQD$8,0)</f>
        <v>0</v>
      </c>
      <c r="WQD54" s="5">
        <f>-IFERROR('4. NPV'!#REF!/'4. NPV'!WQE$8,0)</f>
        <v>0</v>
      </c>
      <c r="WQE54" s="5">
        <f>-IFERROR('4. NPV'!#REF!/'4. NPV'!WQF$8,0)</f>
        <v>0</v>
      </c>
      <c r="WQF54" s="5">
        <f>-IFERROR('4. NPV'!#REF!/'4. NPV'!WQG$8,0)</f>
        <v>0</v>
      </c>
      <c r="WQG54" s="5">
        <f>-IFERROR('4. NPV'!#REF!/'4. NPV'!WQH$8,0)</f>
        <v>0</v>
      </c>
      <c r="WQH54" s="5">
        <f>-IFERROR('4. NPV'!#REF!/'4. NPV'!WQI$8,0)</f>
        <v>0</v>
      </c>
      <c r="WQI54" s="5">
        <f>-IFERROR('4. NPV'!#REF!/'4. NPV'!WQJ$8,0)</f>
        <v>0</v>
      </c>
      <c r="WQJ54" s="5">
        <f>-IFERROR('4. NPV'!#REF!/'4. NPV'!WQK$8,0)</f>
        <v>0</v>
      </c>
      <c r="WQK54" s="5">
        <f>-IFERROR('4. NPV'!#REF!/'4. NPV'!WQL$8,0)</f>
        <v>0</v>
      </c>
      <c r="WQL54" s="5">
        <f>-IFERROR('4. NPV'!#REF!/'4. NPV'!WQM$8,0)</f>
        <v>0</v>
      </c>
      <c r="WQM54" s="5">
        <f>-IFERROR('4. NPV'!#REF!/'4. NPV'!WQN$8,0)</f>
        <v>0</v>
      </c>
      <c r="WQN54" s="5">
        <f>-IFERROR('4. NPV'!#REF!/'4. NPV'!WQO$8,0)</f>
        <v>0</v>
      </c>
      <c r="WQO54" s="5">
        <f>-IFERROR('4. NPV'!#REF!/'4. NPV'!WQP$8,0)</f>
        <v>0</v>
      </c>
      <c r="WQP54" s="5">
        <f>-IFERROR('4. NPV'!#REF!/'4. NPV'!WQQ$8,0)</f>
        <v>0</v>
      </c>
      <c r="WQQ54" s="5">
        <f>-IFERROR('4. NPV'!#REF!/'4. NPV'!WQR$8,0)</f>
        <v>0</v>
      </c>
      <c r="WQR54" s="5">
        <f>-IFERROR('4. NPV'!#REF!/'4. NPV'!WQS$8,0)</f>
        <v>0</v>
      </c>
      <c r="WQS54" s="5">
        <f>-IFERROR('4. NPV'!#REF!/'4. NPV'!WQT$8,0)</f>
        <v>0</v>
      </c>
      <c r="WQT54" s="5">
        <f>-IFERROR('4. NPV'!#REF!/'4. NPV'!WQU$8,0)</f>
        <v>0</v>
      </c>
      <c r="WQU54" s="5">
        <f>-IFERROR('4. NPV'!#REF!/'4. NPV'!WQV$8,0)</f>
        <v>0</v>
      </c>
      <c r="WQV54" s="5">
        <f>-IFERROR('4. NPV'!#REF!/'4. NPV'!WQW$8,0)</f>
        <v>0</v>
      </c>
      <c r="WQW54" s="5">
        <f>-IFERROR('4. NPV'!#REF!/'4. NPV'!WQX$8,0)</f>
        <v>0</v>
      </c>
      <c r="WQX54" s="5">
        <f>-IFERROR('4. NPV'!#REF!/'4. NPV'!WQY$8,0)</f>
        <v>0</v>
      </c>
      <c r="WQY54" s="5">
        <f>-IFERROR('4. NPV'!#REF!/'4. NPV'!WQZ$8,0)</f>
        <v>0</v>
      </c>
      <c r="WQZ54" s="5">
        <f>-IFERROR('4. NPV'!#REF!/'4. NPV'!WRA$8,0)</f>
        <v>0</v>
      </c>
      <c r="WRA54" s="5">
        <f>-IFERROR('4. NPV'!#REF!/'4. NPV'!WRB$8,0)</f>
        <v>0</v>
      </c>
      <c r="WRB54" s="5">
        <f>-IFERROR('4. NPV'!#REF!/'4. NPV'!WRC$8,0)</f>
        <v>0</v>
      </c>
      <c r="WRC54" s="5">
        <f>-IFERROR('4. NPV'!#REF!/'4. NPV'!WRD$8,0)</f>
        <v>0</v>
      </c>
      <c r="WRD54" s="5">
        <f>-IFERROR('4. NPV'!#REF!/'4. NPV'!WRE$8,0)</f>
        <v>0</v>
      </c>
      <c r="WRE54" s="5">
        <f>-IFERROR('4. NPV'!#REF!/'4. NPV'!WRF$8,0)</f>
        <v>0</v>
      </c>
      <c r="WRF54" s="5">
        <f>-IFERROR('4. NPV'!#REF!/'4. NPV'!WRG$8,0)</f>
        <v>0</v>
      </c>
      <c r="WRG54" s="5">
        <f>-IFERROR('4. NPV'!#REF!/'4. NPV'!WRH$8,0)</f>
        <v>0</v>
      </c>
      <c r="WRH54" s="5">
        <f>-IFERROR('4. NPV'!#REF!/'4. NPV'!WRI$8,0)</f>
        <v>0</v>
      </c>
      <c r="WRI54" s="5">
        <f>-IFERROR('4. NPV'!#REF!/'4. NPV'!WRJ$8,0)</f>
        <v>0</v>
      </c>
      <c r="WRJ54" s="5">
        <f>-IFERROR('4. NPV'!#REF!/'4. NPV'!WRK$8,0)</f>
        <v>0</v>
      </c>
      <c r="WRK54" s="5">
        <f>-IFERROR('4. NPV'!#REF!/'4. NPV'!WRL$8,0)</f>
        <v>0</v>
      </c>
      <c r="WRL54" s="5">
        <f>-IFERROR('4. NPV'!#REF!/'4. NPV'!WRM$8,0)</f>
        <v>0</v>
      </c>
      <c r="WRM54" s="5">
        <f>-IFERROR('4. NPV'!#REF!/'4. NPV'!WRN$8,0)</f>
        <v>0</v>
      </c>
      <c r="WRN54" s="5">
        <f>-IFERROR('4. NPV'!#REF!/'4. NPV'!WRO$8,0)</f>
        <v>0</v>
      </c>
      <c r="WRO54" s="5">
        <f>-IFERROR('4. NPV'!#REF!/'4. NPV'!WRP$8,0)</f>
        <v>0</v>
      </c>
      <c r="WRP54" s="5">
        <f>-IFERROR('4. NPV'!#REF!/'4. NPV'!WRQ$8,0)</f>
        <v>0</v>
      </c>
      <c r="WRQ54" s="5">
        <f>-IFERROR('4. NPV'!#REF!/'4. NPV'!WRR$8,0)</f>
        <v>0</v>
      </c>
      <c r="WRR54" s="5">
        <f>-IFERROR('4. NPV'!#REF!/'4. NPV'!WRS$8,0)</f>
        <v>0</v>
      </c>
      <c r="WRS54" s="5">
        <f>-IFERROR('4. NPV'!#REF!/'4. NPV'!WRT$8,0)</f>
        <v>0</v>
      </c>
      <c r="WRT54" s="5">
        <f>-IFERROR('4. NPV'!#REF!/'4. NPV'!WRU$8,0)</f>
        <v>0</v>
      </c>
      <c r="WRU54" s="5">
        <f>-IFERROR('4. NPV'!#REF!/'4. NPV'!WRV$8,0)</f>
        <v>0</v>
      </c>
      <c r="WRV54" s="5">
        <f>-IFERROR('4. NPV'!#REF!/'4. NPV'!WRW$8,0)</f>
        <v>0</v>
      </c>
      <c r="WRW54" s="5">
        <f>-IFERROR('4. NPV'!#REF!/'4. NPV'!WRX$8,0)</f>
        <v>0</v>
      </c>
      <c r="WRX54" s="5">
        <f>-IFERROR('4. NPV'!#REF!/'4. NPV'!WRY$8,0)</f>
        <v>0</v>
      </c>
      <c r="WRY54" s="5">
        <f>-IFERROR('4. NPV'!#REF!/'4. NPV'!WRZ$8,0)</f>
        <v>0</v>
      </c>
      <c r="WRZ54" s="5">
        <f>-IFERROR('4. NPV'!#REF!/'4. NPV'!WSA$8,0)</f>
        <v>0</v>
      </c>
      <c r="WSA54" s="5">
        <f>-IFERROR('4. NPV'!#REF!/'4. NPV'!WSB$8,0)</f>
        <v>0</v>
      </c>
      <c r="WSB54" s="5">
        <f>-IFERROR('4. NPV'!#REF!/'4. NPV'!WSC$8,0)</f>
        <v>0</v>
      </c>
      <c r="WSC54" s="5">
        <f>-IFERROR('4. NPV'!#REF!/'4. NPV'!WSD$8,0)</f>
        <v>0</v>
      </c>
      <c r="WSD54" s="5">
        <f>-IFERROR('4. NPV'!#REF!/'4. NPV'!WSE$8,0)</f>
        <v>0</v>
      </c>
      <c r="WSE54" s="5">
        <f>-IFERROR('4. NPV'!#REF!/'4. NPV'!WSF$8,0)</f>
        <v>0</v>
      </c>
      <c r="WSF54" s="5">
        <f>-IFERROR('4. NPV'!#REF!/'4. NPV'!WSG$8,0)</f>
        <v>0</v>
      </c>
      <c r="WSG54" s="5">
        <f>-IFERROR('4. NPV'!#REF!/'4. NPV'!WSH$8,0)</f>
        <v>0</v>
      </c>
      <c r="WSH54" s="5">
        <f>-IFERROR('4. NPV'!#REF!/'4. NPV'!WSI$8,0)</f>
        <v>0</v>
      </c>
      <c r="WSI54" s="5">
        <f>-IFERROR('4. NPV'!#REF!/'4. NPV'!WSJ$8,0)</f>
        <v>0</v>
      </c>
      <c r="WSJ54" s="5">
        <f>-IFERROR('4. NPV'!#REF!/'4. NPV'!WSK$8,0)</f>
        <v>0</v>
      </c>
      <c r="WSK54" s="5">
        <f>-IFERROR('4. NPV'!#REF!/'4. NPV'!WSL$8,0)</f>
        <v>0</v>
      </c>
      <c r="WSL54" s="5">
        <f>-IFERROR('4. NPV'!#REF!/'4. NPV'!WSM$8,0)</f>
        <v>0</v>
      </c>
      <c r="WSM54" s="5">
        <f>-IFERROR('4. NPV'!#REF!/'4. NPV'!WSN$8,0)</f>
        <v>0</v>
      </c>
      <c r="WSN54" s="5">
        <f>-IFERROR('4. NPV'!#REF!/'4. NPV'!WSO$8,0)</f>
        <v>0</v>
      </c>
      <c r="WSO54" s="5">
        <f>-IFERROR('4. NPV'!#REF!/'4. NPV'!WSP$8,0)</f>
        <v>0</v>
      </c>
      <c r="WSP54" s="5">
        <f>-IFERROR('4. NPV'!#REF!/'4. NPV'!WSQ$8,0)</f>
        <v>0</v>
      </c>
      <c r="WSQ54" s="5">
        <f>-IFERROR('4. NPV'!#REF!/'4. NPV'!WSR$8,0)</f>
        <v>0</v>
      </c>
      <c r="WSR54" s="5">
        <f>-IFERROR('4. NPV'!#REF!/'4. NPV'!WSS$8,0)</f>
        <v>0</v>
      </c>
      <c r="WSS54" s="5">
        <f>-IFERROR('4. NPV'!#REF!/'4. NPV'!WST$8,0)</f>
        <v>0</v>
      </c>
      <c r="WST54" s="5">
        <f>-IFERROR('4. NPV'!#REF!/'4. NPV'!WSU$8,0)</f>
        <v>0</v>
      </c>
      <c r="WSU54" s="5">
        <f>-IFERROR('4. NPV'!#REF!/'4. NPV'!WSV$8,0)</f>
        <v>0</v>
      </c>
      <c r="WSV54" s="5">
        <f>-IFERROR('4. NPV'!#REF!/'4. NPV'!WSW$8,0)</f>
        <v>0</v>
      </c>
      <c r="WSW54" s="5">
        <f>-IFERROR('4. NPV'!#REF!/'4. NPV'!WSX$8,0)</f>
        <v>0</v>
      </c>
      <c r="WSX54" s="5">
        <f>-IFERROR('4. NPV'!#REF!/'4. NPV'!WSY$8,0)</f>
        <v>0</v>
      </c>
      <c r="WSY54" s="5">
        <f>-IFERROR('4. NPV'!#REF!/'4. NPV'!WSZ$8,0)</f>
        <v>0</v>
      </c>
      <c r="WSZ54" s="5">
        <f>-IFERROR('4. NPV'!#REF!/'4. NPV'!WTA$8,0)</f>
        <v>0</v>
      </c>
      <c r="WTA54" s="5">
        <f>-IFERROR('4. NPV'!#REF!/'4. NPV'!WTB$8,0)</f>
        <v>0</v>
      </c>
      <c r="WTB54" s="5">
        <f>-IFERROR('4. NPV'!#REF!/'4. NPV'!WTC$8,0)</f>
        <v>0</v>
      </c>
      <c r="WTC54" s="5">
        <f>-IFERROR('4. NPV'!#REF!/'4. NPV'!WTD$8,0)</f>
        <v>0</v>
      </c>
      <c r="WTD54" s="5">
        <f>-IFERROR('4. NPV'!#REF!/'4. NPV'!WTE$8,0)</f>
        <v>0</v>
      </c>
      <c r="WTE54" s="5">
        <f>-IFERROR('4. NPV'!#REF!/'4. NPV'!WTF$8,0)</f>
        <v>0</v>
      </c>
      <c r="WTF54" s="5">
        <f>-IFERROR('4. NPV'!#REF!/'4. NPV'!WTG$8,0)</f>
        <v>0</v>
      </c>
      <c r="WTG54" s="5">
        <f>-IFERROR('4. NPV'!#REF!/'4. NPV'!WTH$8,0)</f>
        <v>0</v>
      </c>
      <c r="WTH54" s="5">
        <f>-IFERROR('4. NPV'!#REF!/'4. NPV'!WTI$8,0)</f>
        <v>0</v>
      </c>
      <c r="WTI54" s="5">
        <f>-IFERROR('4. NPV'!#REF!/'4. NPV'!WTJ$8,0)</f>
        <v>0</v>
      </c>
      <c r="WTJ54" s="5">
        <f>-IFERROR('4. NPV'!#REF!/'4. NPV'!WTK$8,0)</f>
        <v>0</v>
      </c>
      <c r="WTK54" s="5">
        <f>-IFERROR('4. NPV'!#REF!/'4. NPV'!WTL$8,0)</f>
        <v>0</v>
      </c>
      <c r="WTL54" s="5">
        <f>-IFERROR('4. NPV'!#REF!/'4. NPV'!WTM$8,0)</f>
        <v>0</v>
      </c>
      <c r="WTM54" s="5">
        <f>-IFERROR('4. NPV'!#REF!/'4. NPV'!WTN$8,0)</f>
        <v>0</v>
      </c>
      <c r="WTN54" s="5">
        <f>-IFERROR('4. NPV'!#REF!/'4. NPV'!WTO$8,0)</f>
        <v>0</v>
      </c>
      <c r="WTO54" s="5">
        <f>-IFERROR('4. NPV'!#REF!/'4. NPV'!WTP$8,0)</f>
        <v>0</v>
      </c>
      <c r="WTP54" s="5">
        <f>-IFERROR('4. NPV'!#REF!/'4. NPV'!WTQ$8,0)</f>
        <v>0</v>
      </c>
      <c r="WTQ54" s="5">
        <f>-IFERROR('4. NPV'!#REF!/'4. NPV'!WTR$8,0)</f>
        <v>0</v>
      </c>
      <c r="WTR54" s="5">
        <f>-IFERROR('4. NPV'!#REF!/'4. NPV'!WTS$8,0)</f>
        <v>0</v>
      </c>
      <c r="WTS54" s="5">
        <f>-IFERROR('4. NPV'!#REF!/'4. NPV'!WTT$8,0)</f>
        <v>0</v>
      </c>
      <c r="WTT54" s="5">
        <f>-IFERROR('4. NPV'!#REF!/'4. NPV'!WTU$8,0)</f>
        <v>0</v>
      </c>
      <c r="WTU54" s="5">
        <f>-IFERROR('4. NPV'!#REF!/'4. NPV'!WTV$8,0)</f>
        <v>0</v>
      </c>
      <c r="WTV54" s="5">
        <f>-IFERROR('4. NPV'!#REF!/'4. NPV'!WTW$8,0)</f>
        <v>0</v>
      </c>
      <c r="WTW54" s="5">
        <f>-IFERROR('4. NPV'!#REF!/'4. NPV'!WTX$8,0)</f>
        <v>0</v>
      </c>
      <c r="WTX54" s="5">
        <f>-IFERROR('4. NPV'!#REF!/'4. NPV'!WTY$8,0)</f>
        <v>0</v>
      </c>
      <c r="WTY54" s="5">
        <f>-IFERROR('4. NPV'!#REF!/'4. NPV'!WTZ$8,0)</f>
        <v>0</v>
      </c>
      <c r="WTZ54" s="5">
        <f>-IFERROR('4. NPV'!#REF!/'4. NPV'!WUA$8,0)</f>
        <v>0</v>
      </c>
      <c r="WUA54" s="5">
        <f>-IFERROR('4. NPV'!#REF!/'4. NPV'!WUB$8,0)</f>
        <v>0</v>
      </c>
      <c r="WUB54" s="5">
        <f>-IFERROR('4. NPV'!#REF!/'4. NPV'!WUC$8,0)</f>
        <v>0</v>
      </c>
      <c r="WUC54" s="5">
        <f>-IFERROR('4. NPV'!#REF!/'4. NPV'!WUD$8,0)</f>
        <v>0</v>
      </c>
      <c r="WUD54" s="5">
        <f>-IFERROR('4. NPV'!#REF!/'4. NPV'!WUE$8,0)</f>
        <v>0</v>
      </c>
      <c r="WUE54" s="5">
        <f>-IFERROR('4. NPV'!#REF!/'4. NPV'!WUF$8,0)</f>
        <v>0</v>
      </c>
      <c r="WUF54" s="5">
        <f>-IFERROR('4. NPV'!#REF!/'4. NPV'!WUG$8,0)</f>
        <v>0</v>
      </c>
      <c r="WUG54" s="5">
        <f>-IFERROR('4. NPV'!#REF!/'4. NPV'!WUH$8,0)</f>
        <v>0</v>
      </c>
      <c r="WUH54" s="5">
        <f>-IFERROR('4. NPV'!#REF!/'4. NPV'!WUI$8,0)</f>
        <v>0</v>
      </c>
      <c r="WUI54" s="5">
        <f>-IFERROR('4. NPV'!#REF!/'4. NPV'!WUJ$8,0)</f>
        <v>0</v>
      </c>
      <c r="WUJ54" s="5">
        <f>-IFERROR('4. NPV'!#REF!/'4. NPV'!WUK$8,0)</f>
        <v>0</v>
      </c>
      <c r="WUK54" s="5">
        <f>-IFERROR('4. NPV'!#REF!/'4. NPV'!WUL$8,0)</f>
        <v>0</v>
      </c>
      <c r="WUL54" s="5">
        <f>-IFERROR('4. NPV'!#REF!/'4. NPV'!WUM$8,0)</f>
        <v>0</v>
      </c>
      <c r="WUM54" s="5">
        <f>-IFERROR('4. NPV'!#REF!/'4. NPV'!WUN$8,0)</f>
        <v>0</v>
      </c>
      <c r="WUN54" s="5">
        <f>-IFERROR('4. NPV'!#REF!/'4. NPV'!WUO$8,0)</f>
        <v>0</v>
      </c>
      <c r="WUO54" s="5">
        <f>-IFERROR('4. NPV'!#REF!/'4. NPV'!WUP$8,0)</f>
        <v>0</v>
      </c>
      <c r="WUP54" s="5">
        <f>-IFERROR('4. NPV'!#REF!/'4. NPV'!WUQ$8,0)</f>
        <v>0</v>
      </c>
      <c r="WUQ54" s="5">
        <f>-IFERROR('4. NPV'!#REF!/'4. NPV'!WUR$8,0)</f>
        <v>0</v>
      </c>
      <c r="WUR54" s="5">
        <f>-IFERROR('4. NPV'!#REF!/'4. NPV'!WUS$8,0)</f>
        <v>0</v>
      </c>
      <c r="WUS54" s="5">
        <f>-IFERROR('4. NPV'!#REF!/'4. NPV'!WUT$8,0)</f>
        <v>0</v>
      </c>
      <c r="WUT54" s="5">
        <f>-IFERROR('4. NPV'!#REF!/'4. NPV'!WUU$8,0)</f>
        <v>0</v>
      </c>
      <c r="WUU54" s="5">
        <f>-IFERROR('4. NPV'!#REF!/'4. NPV'!WUV$8,0)</f>
        <v>0</v>
      </c>
      <c r="WUV54" s="5">
        <f>-IFERROR('4. NPV'!#REF!/'4. NPV'!WUW$8,0)</f>
        <v>0</v>
      </c>
      <c r="WUW54" s="5">
        <f>-IFERROR('4. NPV'!#REF!/'4. NPV'!WUX$8,0)</f>
        <v>0</v>
      </c>
      <c r="WUX54" s="5">
        <f>-IFERROR('4. NPV'!#REF!/'4. NPV'!WUY$8,0)</f>
        <v>0</v>
      </c>
      <c r="WUY54" s="5">
        <f>-IFERROR('4. NPV'!#REF!/'4. NPV'!WUZ$8,0)</f>
        <v>0</v>
      </c>
      <c r="WUZ54" s="5">
        <f>-IFERROR('4. NPV'!#REF!/'4. NPV'!WVA$8,0)</f>
        <v>0</v>
      </c>
      <c r="WVA54" s="5">
        <f>-IFERROR('4. NPV'!#REF!/'4. NPV'!WVB$8,0)</f>
        <v>0</v>
      </c>
      <c r="WVB54" s="5">
        <f>-IFERROR('4. NPV'!#REF!/'4. NPV'!WVC$8,0)</f>
        <v>0</v>
      </c>
      <c r="WVC54" s="5">
        <f>-IFERROR('4. NPV'!#REF!/'4. NPV'!WVD$8,0)</f>
        <v>0</v>
      </c>
      <c r="WVD54" s="5">
        <f>-IFERROR('4. NPV'!#REF!/'4. NPV'!WVE$8,0)</f>
        <v>0</v>
      </c>
      <c r="WVE54" s="5">
        <f>-IFERROR('4. NPV'!#REF!/'4. NPV'!WVF$8,0)</f>
        <v>0</v>
      </c>
      <c r="WVF54" s="5">
        <f>-IFERROR('4. NPV'!#REF!/'4. NPV'!WVG$8,0)</f>
        <v>0</v>
      </c>
      <c r="WVG54" s="5">
        <f>-IFERROR('4. NPV'!#REF!/'4. NPV'!WVH$8,0)</f>
        <v>0</v>
      </c>
      <c r="WVH54" s="5">
        <f>-IFERROR('4. NPV'!#REF!/'4. NPV'!WVI$8,0)</f>
        <v>0</v>
      </c>
      <c r="WVI54" s="5">
        <f>-IFERROR('4. NPV'!#REF!/'4. NPV'!WVJ$8,0)</f>
        <v>0</v>
      </c>
      <c r="WVJ54" s="5">
        <f>-IFERROR('4. NPV'!#REF!/'4. NPV'!WVK$8,0)</f>
        <v>0</v>
      </c>
      <c r="WVK54" s="5">
        <f>-IFERROR('4. NPV'!#REF!/'4. NPV'!WVL$8,0)</f>
        <v>0</v>
      </c>
      <c r="WVL54" s="5">
        <f>-IFERROR('4. NPV'!#REF!/'4. NPV'!WVM$8,0)</f>
        <v>0</v>
      </c>
      <c r="WVM54" s="5">
        <f>-IFERROR('4. NPV'!#REF!/'4. NPV'!WVN$8,0)</f>
        <v>0</v>
      </c>
      <c r="WVN54" s="5">
        <f>-IFERROR('4. NPV'!#REF!/'4. NPV'!WVO$8,0)</f>
        <v>0</v>
      </c>
      <c r="WVO54" s="5">
        <f>-IFERROR('4. NPV'!#REF!/'4. NPV'!WVP$8,0)</f>
        <v>0</v>
      </c>
      <c r="WVP54" s="5">
        <f>-IFERROR('4. NPV'!#REF!/'4. NPV'!WVQ$8,0)</f>
        <v>0</v>
      </c>
      <c r="WVQ54" s="5">
        <f>-IFERROR('4. NPV'!#REF!/'4. NPV'!WVR$8,0)</f>
        <v>0</v>
      </c>
      <c r="WVR54" s="5">
        <f>-IFERROR('4. NPV'!#REF!/'4. NPV'!WVS$8,0)</f>
        <v>0</v>
      </c>
      <c r="WVS54" s="5">
        <f>-IFERROR('4. NPV'!#REF!/'4. NPV'!WVT$8,0)</f>
        <v>0</v>
      </c>
      <c r="WVT54" s="5">
        <f>-IFERROR('4. NPV'!#REF!/'4. NPV'!WVU$8,0)</f>
        <v>0</v>
      </c>
      <c r="WVU54" s="5">
        <f>-IFERROR('4. NPV'!#REF!/'4. NPV'!WVV$8,0)</f>
        <v>0</v>
      </c>
      <c r="WVV54" s="5">
        <f>-IFERROR('4. NPV'!#REF!/'4. NPV'!WVW$8,0)</f>
        <v>0</v>
      </c>
      <c r="WVW54" s="5">
        <f>-IFERROR('4. NPV'!#REF!/'4. NPV'!WVX$8,0)</f>
        <v>0</v>
      </c>
      <c r="WVX54" s="5">
        <f>-IFERROR('4. NPV'!#REF!/'4. NPV'!WVY$8,0)</f>
        <v>0</v>
      </c>
      <c r="WVY54" s="5">
        <f>-IFERROR('4. NPV'!#REF!/'4. NPV'!WVZ$8,0)</f>
        <v>0</v>
      </c>
      <c r="WVZ54" s="5">
        <f>-IFERROR('4. NPV'!#REF!/'4. NPV'!WWA$8,0)</f>
        <v>0</v>
      </c>
      <c r="WWA54" s="5">
        <f>-IFERROR('4. NPV'!#REF!/'4. NPV'!WWB$8,0)</f>
        <v>0</v>
      </c>
      <c r="WWB54" s="5">
        <f>-IFERROR('4. NPV'!#REF!/'4. NPV'!WWC$8,0)</f>
        <v>0</v>
      </c>
      <c r="WWC54" s="5">
        <f>-IFERROR('4. NPV'!#REF!/'4. NPV'!WWD$8,0)</f>
        <v>0</v>
      </c>
      <c r="WWD54" s="5">
        <f>-IFERROR('4. NPV'!#REF!/'4. NPV'!WWE$8,0)</f>
        <v>0</v>
      </c>
      <c r="WWE54" s="5">
        <f>-IFERROR('4. NPV'!#REF!/'4. NPV'!WWF$8,0)</f>
        <v>0</v>
      </c>
      <c r="WWF54" s="5">
        <f>-IFERROR('4. NPV'!#REF!/'4. NPV'!WWG$8,0)</f>
        <v>0</v>
      </c>
      <c r="WWG54" s="5">
        <f>-IFERROR('4. NPV'!#REF!/'4. NPV'!WWH$8,0)</f>
        <v>0</v>
      </c>
      <c r="WWH54" s="5">
        <f>-IFERROR('4. NPV'!#REF!/'4. NPV'!WWI$8,0)</f>
        <v>0</v>
      </c>
      <c r="WWI54" s="5">
        <f>-IFERROR('4. NPV'!#REF!/'4. NPV'!WWJ$8,0)</f>
        <v>0</v>
      </c>
      <c r="WWJ54" s="5">
        <f>-IFERROR('4. NPV'!#REF!/'4. NPV'!WWK$8,0)</f>
        <v>0</v>
      </c>
      <c r="WWK54" s="5">
        <f>-IFERROR('4. NPV'!#REF!/'4. NPV'!WWL$8,0)</f>
        <v>0</v>
      </c>
      <c r="WWL54" s="5">
        <f>-IFERROR('4. NPV'!#REF!/'4. NPV'!WWM$8,0)</f>
        <v>0</v>
      </c>
      <c r="WWM54" s="5">
        <f>-IFERROR('4. NPV'!#REF!/'4. NPV'!WWN$8,0)</f>
        <v>0</v>
      </c>
      <c r="WWN54" s="5">
        <f>-IFERROR('4. NPV'!#REF!/'4. NPV'!WWO$8,0)</f>
        <v>0</v>
      </c>
      <c r="WWO54" s="5">
        <f>-IFERROR('4. NPV'!#REF!/'4. NPV'!WWP$8,0)</f>
        <v>0</v>
      </c>
      <c r="WWP54" s="5">
        <f>-IFERROR('4. NPV'!#REF!/'4. NPV'!WWQ$8,0)</f>
        <v>0</v>
      </c>
      <c r="WWQ54" s="5">
        <f>-IFERROR('4. NPV'!#REF!/'4. NPV'!WWR$8,0)</f>
        <v>0</v>
      </c>
      <c r="WWR54" s="5">
        <f>-IFERROR('4. NPV'!#REF!/'4. NPV'!WWS$8,0)</f>
        <v>0</v>
      </c>
      <c r="WWS54" s="5">
        <f>-IFERROR('4. NPV'!#REF!/'4. NPV'!WWT$8,0)</f>
        <v>0</v>
      </c>
      <c r="WWT54" s="5">
        <f>-IFERROR('4. NPV'!#REF!/'4. NPV'!WWU$8,0)</f>
        <v>0</v>
      </c>
      <c r="WWU54" s="5">
        <f>-IFERROR('4. NPV'!#REF!/'4. NPV'!WWV$8,0)</f>
        <v>0</v>
      </c>
      <c r="WWV54" s="5">
        <f>-IFERROR('4. NPV'!#REF!/'4. NPV'!WWW$8,0)</f>
        <v>0</v>
      </c>
      <c r="WWW54" s="5">
        <f>-IFERROR('4. NPV'!#REF!/'4. NPV'!WWX$8,0)</f>
        <v>0</v>
      </c>
      <c r="WWX54" s="5">
        <f>-IFERROR('4. NPV'!#REF!/'4. NPV'!WWY$8,0)</f>
        <v>0</v>
      </c>
      <c r="WWY54" s="5">
        <f>-IFERROR('4. NPV'!#REF!/'4. NPV'!WWZ$8,0)</f>
        <v>0</v>
      </c>
      <c r="WWZ54" s="5">
        <f>-IFERROR('4. NPV'!#REF!/'4. NPV'!WXA$8,0)</f>
        <v>0</v>
      </c>
      <c r="WXA54" s="5">
        <f>-IFERROR('4. NPV'!#REF!/'4. NPV'!WXB$8,0)</f>
        <v>0</v>
      </c>
      <c r="WXB54" s="5">
        <f>-IFERROR('4. NPV'!#REF!/'4. NPV'!WXC$8,0)</f>
        <v>0</v>
      </c>
      <c r="WXC54" s="5">
        <f>-IFERROR('4. NPV'!#REF!/'4. NPV'!WXD$8,0)</f>
        <v>0</v>
      </c>
      <c r="WXD54" s="5">
        <f>-IFERROR('4. NPV'!#REF!/'4. NPV'!WXE$8,0)</f>
        <v>0</v>
      </c>
      <c r="WXE54" s="5">
        <f>-IFERROR('4. NPV'!#REF!/'4. NPV'!WXF$8,0)</f>
        <v>0</v>
      </c>
      <c r="WXF54" s="5">
        <f>-IFERROR('4. NPV'!#REF!/'4. NPV'!WXG$8,0)</f>
        <v>0</v>
      </c>
      <c r="WXG54" s="5">
        <f>-IFERROR('4. NPV'!#REF!/'4. NPV'!WXH$8,0)</f>
        <v>0</v>
      </c>
      <c r="WXH54" s="5">
        <f>-IFERROR('4. NPV'!#REF!/'4. NPV'!WXI$8,0)</f>
        <v>0</v>
      </c>
      <c r="WXI54" s="5">
        <f>-IFERROR('4. NPV'!#REF!/'4. NPV'!WXJ$8,0)</f>
        <v>0</v>
      </c>
      <c r="WXJ54" s="5">
        <f>-IFERROR('4. NPV'!#REF!/'4. NPV'!WXK$8,0)</f>
        <v>0</v>
      </c>
      <c r="WXK54" s="5">
        <f>-IFERROR('4. NPV'!#REF!/'4. NPV'!WXL$8,0)</f>
        <v>0</v>
      </c>
      <c r="WXL54" s="5">
        <f>-IFERROR('4. NPV'!#REF!/'4. NPV'!WXM$8,0)</f>
        <v>0</v>
      </c>
      <c r="WXM54" s="5">
        <f>-IFERROR('4. NPV'!#REF!/'4. NPV'!WXN$8,0)</f>
        <v>0</v>
      </c>
      <c r="WXN54" s="5">
        <f>-IFERROR('4. NPV'!#REF!/'4. NPV'!WXO$8,0)</f>
        <v>0</v>
      </c>
      <c r="WXO54" s="5">
        <f>-IFERROR('4. NPV'!#REF!/'4. NPV'!WXP$8,0)</f>
        <v>0</v>
      </c>
      <c r="WXP54" s="5">
        <f>-IFERROR('4. NPV'!#REF!/'4. NPV'!WXQ$8,0)</f>
        <v>0</v>
      </c>
      <c r="WXQ54" s="5">
        <f>-IFERROR('4. NPV'!#REF!/'4. NPV'!WXR$8,0)</f>
        <v>0</v>
      </c>
      <c r="WXR54" s="5">
        <f>-IFERROR('4. NPV'!#REF!/'4. NPV'!WXS$8,0)</f>
        <v>0</v>
      </c>
      <c r="WXS54" s="5">
        <f>-IFERROR('4. NPV'!#REF!/'4. NPV'!WXT$8,0)</f>
        <v>0</v>
      </c>
      <c r="WXT54" s="5">
        <f>-IFERROR('4. NPV'!#REF!/'4. NPV'!WXU$8,0)</f>
        <v>0</v>
      </c>
      <c r="WXU54" s="5">
        <f>-IFERROR('4. NPV'!#REF!/'4. NPV'!WXV$8,0)</f>
        <v>0</v>
      </c>
      <c r="WXV54" s="5">
        <f>-IFERROR('4. NPV'!#REF!/'4. NPV'!WXW$8,0)</f>
        <v>0</v>
      </c>
      <c r="WXW54" s="5">
        <f>-IFERROR('4. NPV'!#REF!/'4. NPV'!WXX$8,0)</f>
        <v>0</v>
      </c>
      <c r="WXX54" s="5">
        <f>-IFERROR('4. NPV'!#REF!/'4. NPV'!WXY$8,0)</f>
        <v>0</v>
      </c>
      <c r="WXY54" s="5">
        <f>-IFERROR('4. NPV'!#REF!/'4. NPV'!WXZ$8,0)</f>
        <v>0</v>
      </c>
      <c r="WXZ54" s="5">
        <f>-IFERROR('4. NPV'!#REF!/'4. NPV'!WYA$8,0)</f>
        <v>0</v>
      </c>
      <c r="WYA54" s="5">
        <f>-IFERROR('4. NPV'!#REF!/'4. NPV'!WYB$8,0)</f>
        <v>0</v>
      </c>
      <c r="WYB54" s="5">
        <f>-IFERROR('4. NPV'!#REF!/'4. NPV'!WYC$8,0)</f>
        <v>0</v>
      </c>
      <c r="WYC54" s="5">
        <f>-IFERROR('4. NPV'!#REF!/'4. NPV'!WYD$8,0)</f>
        <v>0</v>
      </c>
      <c r="WYD54" s="5">
        <f>-IFERROR('4. NPV'!#REF!/'4. NPV'!WYE$8,0)</f>
        <v>0</v>
      </c>
      <c r="WYE54" s="5">
        <f>-IFERROR('4. NPV'!#REF!/'4. NPV'!WYF$8,0)</f>
        <v>0</v>
      </c>
      <c r="WYF54" s="5">
        <f>-IFERROR('4. NPV'!#REF!/'4. NPV'!WYG$8,0)</f>
        <v>0</v>
      </c>
      <c r="WYG54" s="5">
        <f>-IFERROR('4. NPV'!#REF!/'4. NPV'!WYH$8,0)</f>
        <v>0</v>
      </c>
      <c r="WYH54" s="5">
        <f>-IFERROR('4. NPV'!#REF!/'4. NPV'!WYI$8,0)</f>
        <v>0</v>
      </c>
      <c r="WYI54" s="5">
        <f>-IFERROR('4. NPV'!#REF!/'4. NPV'!WYJ$8,0)</f>
        <v>0</v>
      </c>
      <c r="WYJ54" s="5">
        <f>-IFERROR('4. NPV'!#REF!/'4. NPV'!WYK$8,0)</f>
        <v>0</v>
      </c>
      <c r="WYK54" s="5">
        <f>-IFERROR('4. NPV'!#REF!/'4. NPV'!WYL$8,0)</f>
        <v>0</v>
      </c>
      <c r="WYL54" s="5">
        <f>-IFERROR('4. NPV'!#REF!/'4. NPV'!WYM$8,0)</f>
        <v>0</v>
      </c>
      <c r="WYM54" s="5">
        <f>-IFERROR('4. NPV'!#REF!/'4. NPV'!WYN$8,0)</f>
        <v>0</v>
      </c>
      <c r="WYN54" s="5">
        <f>-IFERROR('4. NPV'!#REF!/'4. NPV'!WYO$8,0)</f>
        <v>0</v>
      </c>
      <c r="WYO54" s="5">
        <f>-IFERROR('4. NPV'!#REF!/'4. NPV'!WYP$8,0)</f>
        <v>0</v>
      </c>
      <c r="WYP54" s="5">
        <f>-IFERROR('4. NPV'!#REF!/'4. NPV'!WYQ$8,0)</f>
        <v>0</v>
      </c>
      <c r="WYQ54" s="5">
        <f>-IFERROR('4. NPV'!#REF!/'4. NPV'!WYR$8,0)</f>
        <v>0</v>
      </c>
      <c r="WYR54" s="5">
        <f>-IFERROR('4. NPV'!#REF!/'4. NPV'!WYS$8,0)</f>
        <v>0</v>
      </c>
      <c r="WYS54" s="5">
        <f>-IFERROR('4. NPV'!#REF!/'4. NPV'!WYT$8,0)</f>
        <v>0</v>
      </c>
      <c r="WYT54" s="5">
        <f>-IFERROR('4. NPV'!#REF!/'4. NPV'!WYU$8,0)</f>
        <v>0</v>
      </c>
      <c r="WYU54" s="5">
        <f>-IFERROR('4. NPV'!#REF!/'4. NPV'!WYV$8,0)</f>
        <v>0</v>
      </c>
      <c r="WYV54" s="5">
        <f>-IFERROR('4. NPV'!#REF!/'4. NPV'!WYW$8,0)</f>
        <v>0</v>
      </c>
      <c r="WYW54" s="5">
        <f>-IFERROR('4. NPV'!#REF!/'4. NPV'!WYX$8,0)</f>
        <v>0</v>
      </c>
      <c r="WYX54" s="5">
        <f>-IFERROR('4. NPV'!#REF!/'4. NPV'!WYY$8,0)</f>
        <v>0</v>
      </c>
      <c r="WYY54" s="5">
        <f>-IFERROR('4. NPV'!#REF!/'4. NPV'!WYZ$8,0)</f>
        <v>0</v>
      </c>
      <c r="WYZ54" s="5">
        <f>-IFERROR('4. NPV'!#REF!/'4. NPV'!WZA$8,0)</f>
        <v>0</v>
      </c>
      <c r="WZA54" s="5">
        <f>-IFERROR('4. NPV'!#REF!/'4. NPV'!WZB$8,0)</f>
        <v>0</v>
      </c>
      <c r="WZB54" s="5">
        <f>-IFERROR('4. NPV'!#REF!/'4. NPV'!WZC$8,0)</f>
        <v>0</v>
      </c>
      <c r="WZC54" s="5">
        <f>-IFERROR('4. NPV'!#REF!/'4. NPV'!WZD$8,0)</f>
        <v>0</v>
      </c>
      <c r="WZD54" s="5">
        <f>-IFERROR('4. NPV'!#REF!/'4. NPV'!WZE$8,0)</f>
        <v>0</v>
      </c>
      <c r="WZE54" s="5">
        <f>-IFERROR('4. NPV'!#REF!/'4. NPV'!WZF$8,0)</f>
        <v>0</v>
      </c>
      <c r="WZF54" s="5">
        <f>-IFERROR('4. NPV'!#REF!/'4. NPV'!WZG$8,0)</f>
        <v>0</v>
      </c>
      <c r="WZG54" s="5">
        <f>-IFERROR('4. NPV'!#REF!/'4. NPV'!WZH$8,0)</f>
        <v>0</v>
      </c>
      <c r="WZH54" s="5">
        <f>-IFERROR('4. NPV'!#REF!/'4. NPV'!WZI$8,0)</f>
        <v>0</v>
      </c>
      <c r="WZI54" s="5">
        <f>-IFERROR('4. NPV'!#REF!/'4. NPV'!WZJ$8,0)</f>
        <v>0</v>
      </c>
      <c r="WZJ54" s="5">
        <f>-IFERROR('4. NPV'!#REF!/'4. NPV'!WZK$8,0)</f>
        <v>0</v>
      </c>
      <c r="WZK54" s="5">
        <f>-IFERROR('4. NPV'!#REF!/'4. NPV'!WZL$8,0)</f>
        <v>0</v>
      </c>
      <c r="WZL54" s="5">
        <f>-IFERROR('4. NPV'!#REF!/'4. NPV'!WZM$8,0)</f>
        <v>0</v>
      </c>
      <c r="WZM54" s="5">
        <f>-IFERROR('4. NPV'!#REF!/'4. NPV'!WZN$8,0)</f>
        <v>0</v>
      </c>
      <c r="WZN54" s="5">
        <f>-IFERROR('4. NPV'!#REF!/'4. NPV'!WZO$8,0)</f>
        <v>0</v>
      </c>
      <c r="WZO54" s="5">
        <f>-IFERROR('4. NPV'!#REF!/'4. NPV'!WZP$8,0)</f>
        <v>0</v>
      </c>
      <c r="WZP54" s="5">
        <f>-IFERROR('4. NPV'!#REF!/'4. NPV'!WZQ$8,0)</f>
        <v>0</v>
      </c>
      <c r="WZQ54" s="5">
        <f>-IFERROR('4. NPV'!#REF!/'4. NPV'!WZR$8,0)</f>
        <v>0</v>
      </c>
      <c r="WZR54" s="5">
        <f>-IFERROR('4. NPV'!#REF!/'4. NPV'!WZS$8,0)</f>
        <v>0</v>
      </c>
      <c r="WZS54" s="5">
        <f>-IFERROR('4. NPV'!#REF!/'4. NPV'!WZT$8,0)</f>
        <v>0</v>
      </c>
      <c r="WZT54" s="5">
        <f>-IFERROR('4. NPV'!#REF!/'4. NPV'!WZU$8,0)</f>
        <v>0</v>
      </c>
      <c r="WZU54" s="5">
        <f>-IFERROR('4. NPV'!#REF!/'4. NPV'!WZV$8,0)</f>
        <v>0</v>
      </c>
      <c r="WZV54" s="5">
        <f>-IFERROR('4. NPV'!#REF!/'4. NPV'!WZW$8,0)</f>
        <v>0</v>
      </c>
      <c r="WZW54" s="5">
        <f>-IFERROR('4. NPV'!#REF!/'4. NPV'!WZX$8,0)</f>
        <v>0</v>
      </c>
      <c r="WZX54" s="5">
        <f>-IFERROR('4. NPV'!#REF!/'4. NPV'!WZY$8,0)</f>
        <v>0</v>
      </c>
      <c r="WZY54" s="5">
        <f>-IFERROR('4. NPV'!#REF!/'4. NPV'!WZZ$8,0)</f>
        <v>0</v>
      </c>
      <c r="WZZ54" s="5">
        <f>-IFERROR('4. NPV'!#REF!/'4. NPV'!XAA$8,0)</f>
        <v>0</v>
      </c>
      <c r="XAA54" s="5">
        <f>-IFERROR('4. NPV'!#REF!/'4. NPV'!XAB$8,0)</f>
        <v>0</v>
      </c>
      <c r="XAB54" s="5">
        <f>-IFERROR('4. NPV'!#REF!/'4. NPV'!XAC$8,0)</f>
        <v>0</v>
      </c>
      <c r="XAC54" s="5">
        <f>-IFERROR('4. NPV'!#REF!/'4. NPV'!XAD$8,0)</f>
        <v>0</v>
      </c>
      <c r="XAD54" s="5">
        <f>-IFERROR('4. NPV'!#REF!/'4. NPV'!XAE$8,0)</f>
        <v>0</v>
      </c>
      <c r="XAE54" s="5">
        <f>-IFERROR('4. NPV'!#REF!/'4. NPV'!XAF$8,0)</f>
        <v>0</v>
      </c>
      <c r="XAF54" s="5">
        <f>-IFERROR('4. NPV'!#REF!/'4. NPV'!XAG$8,0)</f>
        <v>0</v>
      </c>
      <c r="XAG54" s="5">
        <f>-IFERROR('4. NPV'!#REF!/'4. NPV'!XAH$8,0)</f>
        <v>0</v>
      </c>
      <c r="XAH54" s="5">
        <f>-IFERROR('4. NPV'!#REF!/'4. NPV'!XAI$8,0)</f>
        <v>0</v>
      </c>
      <c r="XAI54" s="5">
        <f>-IFERROR('4. NPV'!#REF!/'4. NPV'!XAJ$8,0)</f>
        <v>0</v>
      </c>
      <c r="XAJ54" s="5">
        <f>-IFERROR('4. NPV'!#REF!/'4. NPV'!XAK$8,0)</f>
        <v>0</v>
      </c>
      <c r="XAK54" s="5">
        <f>-IFERROR('4. NPV'!#REF!/'4. NPV'!XAL$8,0)</f>
        <v>0</v>
      </c>
      <c r="XAL54" s="5">
        <f>-IFERROR('4. NPV'!#REF!/'4. NPV'!XAM$8,0)</f>
        <v>0</v>
      </c>
      <c r="XAM54" s="5">
        <f>-IFERROR('4. NPV'!#REF!/'4. NPV'!XAN$8,0)</f>
        <v>0</v>
      </c>
      <c r="XAN54" s="5">
        <f>-IFERROR('4. NPV'!#REF!/'4. NPV'!XAO$8,0)</f>
        <v>0</v>
      </c>
      <c r="XAO54" s="5">
        <f>-IFERROR('4. NPV'!#REF!/'4. NPV'!XAP$8,0)</f>
        <v>0</v>
      </c>
      <c r="XAP54" s="5">
        <f>-IFERROR('4. NPV'!#REF!/'4. NPV'!XAQ$8,0)</f>
        <v>0</v>
      </c>
      <c r="XAQ54" s="5">
        <f>-IFERROR('4. NPV'!#REF!/'4. NPV'!XAR$8,0)</f>
        <v>0</v>
      </c>
      <c r="XAR54" s="5">
        <f>-IFERROR('4. NPV'!#REF!/'4. NPV'!XAS$8,0)</f>
        <v>0</v>
      </c>
      <c r="XAS54" s="5">
        <f>-IFERROR('4. NPV'!#REF!/'4. NPV'!XAT$8,0)</f>
        <v>0</v>
      </c>
      <c r="XAT54" s="5">
        <f>-IFERROR('4. NPV'!#REF!/'4. NPV'!XAU$8,0)</f>
        <v>0</v>
      </c>
      <c r="XAU54" s="5">
        <f>-IFERROR('4. NPV'!#REF!/'4. NPV'!XAV$8,0)</f>
        <v>0</v>
      </c>
      <c r="XAV54" s="5">
        <f>-IFERROR('4. NPV'!#REF!/'4. NPV'!XAW$8,0)</f>
        <v>0</v>
      </c>
      <c r="XAW54" s="5">
        <f>-IFERROR('4. NPV'!#REF!/'4. NPV'!XAX$8,0)</f>
        <v>0</v>
      </c>
      <c r="XAX54" s="5">
        <f>-IFERROR('4. NPV'!#REF!/'4. NPV'!XAY$8,0)</f>
        <v>0</v>
      </c>
      <c r="XAY54" s="5">
        <f>-IFERROR('4. NPV'!#REF!/'4. NPV'!XAZ$8,0)</f>
        <v>0</v>
      </c>
      <c r="XAZ54" s="5">
        <f>-IFERROR('4. NPV'!#REF!/'4. NPV'!XBA$8,0)</f>
        <v>0</v>
      </c>
      <c r="XBA54" s="5">
        <f>-IFERROR('4. NPV'!#REF!/'4. NPV'!XBB$8,0)</f>
        <v>0</v>
      </c>
      <c r="XBB54" s="5">
        <f>-IFERROR('4. NPV'!#REF!/'4. NPV'!XBC$8,0)</f>
        <v>0</v>
      </c>
      <c r="XBC54" s="5">
        <f>-IFERROR('4. NPV'!#REF!/'4. NPV'!XBD$8,0)</f>
        <v>0</v>
      </c>
      <c r="XBD54" s="5">
        <f>-IFERROR('4. NPV'!#REF!/'4. NPV'!XBE$8,0)</f>
        <v>0</v>
      </c>
      <c r="XBE54" s="5">
        <f>-IFERROR('4. NPV'!#REF!/'4. NPV'!XBF$8,0)</f>
        <v>0</v>
      </c>
      <c r="XBF54" s="5">
        <f>-IFERROR('4. NPV'!#REF!/'4. NPV'!XBG$8,0)</f>
        <v>0</v>
      </c>
      <c r="XBG54" s="5">
        <f>-IFERROR('4. NPV'!#REF!/'4. NPV'!XBH$8,0)</f>
        <v>0</v>
      </c>
      <c r="XBH54" s="5">
        <f>-IFERROR('4. NPV'!#REF!/'4. NPV'!XBI$8,0)</f>
        <v>0</v>
      </c>
      <c r="XBI54" s="5">
        <f>-IFERROR('4. NPV'!#REF!/'4. NPV'!XBJ$8,0)</f>
        <v>0</v>
      </c>
      <c r="XBJ54" s="5">
        <f>-IFERROR('4. NPV'!#REF!/'4. NPV'!XBK$8,0)</f>
        <v>0</v>
      </c>
      <c r="XBK54" s="5">
        <f>-IFERROR('4. NPV'!#REF!/'4. NPV'!XBL$8,0)</f>
        <v>0</v>
      </c>
      <c r="XBL54" s="5">
        <f>-IFERROR('4. NPV'!#REF!/'4. NPV'!XBM$8,0)</f>
        <v>0</v>
      </c>
      <c r="XBM54" s="5">
        <f>-IFERROR('4. NPV'!#REF!/'4. NPV'!XBN$8,0)</f>
        <v>0</v>
      </c>
      <c r="XBN54" s="5">
        <f>-IFERROR('4. NPV'!#REF!/'4. NPV'!XBO$8,0)</f>
        <v>0</v>
      </c>
      <c r="XBO54" s="5">
        <f>-IFERROR('4. NPV'!#REF!/'4. NPV'!XBP$8,0)</f>
        <v>0</v>
      </c>
      <c r="XBP54" s="5">
        <f>-IFERROR('4. NPV'!#REF!/'4. NPV'!XBQ$8,0)</f>
        <v>0</v>
      </c>
      <c r="XBQ54" s="5">
        <f>-IFERROR('4. NPV'!#REF!/'4. NPV'!XBR$8,0)</f>
        <v>0</v>
      </c>
      <c r="XBR54" s="5">
        <f>-IFERROR('4. NPV'!#REF!/'4. NPV'!XBS$8,0)</f>
        <v>0</v>
      </c>
      <c r="XBS54" s="5">
        <f>-IFERROR('4. NPV'!#REF!/'4. NPV'!XBT$8,0)</f>
        <v>0</v>
      </c>
      <c r="XBT54" s="5">
        <f>-IFERROR('4. NPV'!#REF!/'4. NPV'!XBU$8,0)</f>
        <v>0</v>
      </c>
      <c r="XBU54" s="5">
        <f>-IFERROR('4. NPV'!#REF!/'4. NPV'!XBV$8,0)</f>
        <v>0</v>
      </c>
      <c r="XBV54" s="5">
        <f>-IFERROR('4. NPV'!#REF!/'4. NPV'!XBW$8,0)</f>
        <v>0</v>
      </c>
      <c r="XBW54" s="5">
        <f>-IFERROR('4. NPV'!#REF!/'4. NPV'!XBX$8,0)</f>
        <v>0</v>
      </c>
      <c r="XBX54" s="5">
        <f>-IFERROR('4. NPV'!#REF!/'4. NPV'!XBY$8,0)</f>
        <v>0</v>
      </c>
      <c r="XBY54" s="5">
        <f>-IFERROR('4. NPV'!#REF!/'4. NPV'!XBZ$8,0)</f>
        <v>0</v>
      </c>
      <c r="XBZ54" s="5">
        <f>-IFERROR('4. NPV'!#REF!/'4. NPV'!XCA$8,0)</f>
        <v>0</v>
      </c>
      <c r="XCA54" s="5">
        <f>-IFERROR('4. NPV'!#REF!/'4. NPV'!XCB$8,0)</f>
        <v>0</v>
      </c>
      <c r="XCB54" s="5">
        <f>-IFERROR('4. NPV'!#REF!/'4. NPV'!XCC$8,0)</f>
        <v>0</v>
      </c>
      <c r="XCC54" s="5">
        <f>-IFERROR('4. NPV'!#REF!/'4. NPV'!XCD$8,0)</f>
        <v>0</v>
      </c>
      <c r="XCD54" s="5">
        <f>-IFERROR('4. NPV'!#REF!/'4. NPV'!XCE$8,0)</f>
        <v>0</v>
      </c>
      <c r="XCE54" s="5">
        <f>-IFERROR('4. NPV'!#REF!/'4. NPV'!XCF$8,0)</f>
        <v>0</v>
      </c>
      <c r="XCF54" s="5">
        <f>-IFERROR('4. NPV'!#REF!/'4. NPV'!XCG$8,0)</f>
        <v>0</v>
      </c>
      <c r="XCG54" s="5">
        <f>-IFERROR('4. NPV'!#REF!/'4. NPV'!XCH$8,0)</f>
        <v>0</v>
      </c>
      <c r="XCH54" s="5">
        <f>-IFERROR('4. NPV'!#REF!/'4. NPV'!XCI$8,0)</f>
        <v>0</v>
      </c>
      <c r="XCI54" s="5">
        <f>-IFERROR('4. NPV'!#REF!/'4. NPV'!XCJ$8,0)</f>
        <v>0</v>
      </c>
      <c r="XCJ54" s="5">
        <f>-IFERROR('4. NPV'!#REF!/'4. NPV'!XCK$8,0)</f>
        <v>0</v>
      </c>
      <c r="XCK54" s="5">
        <f>-IFERROR('4. NPV'!#REF!/'4. NPV'!XCL$8,0)</f>
        <v>0</v>
      </c>
      <c r="XCL54" s="5">
        <f>-IFERROR('4. NPV'!#REF!/'4. NPV'!XCM$8,0)</f>
        <v>0</v>
      </c>
      <c r="XCM54" s="5">
        <f>-IFERROR('4. NPV'!#REF!/'4. NPV'!XCN$8,0)</f>
        <v>0</v>
      </c>
      <c r="XCN54" s="5">
        <f>-IFERROR('4. NPV'!#REF!/'4. NPV'!XCO$8,0)</f>
        <v>0</v>
      </c>
      <c r="XCO54" s="5">
        <f>-IFERROR('4. NPV'!#REF!/'4. NPV'!XCP$8,0)</f>
        <v>0</v>
      </c>
      <c r="XCP54" s="5">
        <f>-IFERROR('4. NPV'!#REF!/'4. NPV'!XCQ$8,0)</f>
        <v>0</v>
      </c>
      <c r="XCQ54" s="5">
        <f>-IFERROR('4. NPV'!#REF!/'4. NPV'!XCR$8,0)</f>
        <v>0</v>
      </c>
      <c r="XCR54" s="5">
        <f>-IFERROR('4. NPV'!#REF!/'4. NPV'!XCS$8,0)</f>
        <v>0</v>
      </c>
      <c r="XCS54" s="5">
        <f>-IFERROR('4. NPV'!#REF!/'4. NPV'!XCT$8,0)</f>
        <v>0</v>
      </c>
      <c r="XCT54" s="5">
        <f>-IFERROR('4. NPV'!#REF!/'4. NPV'!XCU$8,0)</f>
        <v>0</v>
      </c>
      <c r="XCU54" s="5">
        <f>-IFERROR('4. NPV'!#REF!/'4. NPV'!XCV$8,0)</f>
        <v>0</v>
      </c>
      <c r="XCV54" s="5">
        <f>-IFERROR('4. NPV'!#REF!/'4. NPV'!XCW$8,0)</f>
        <v>0</v>
      </c>
      <c r="XCW54" s="5">
        <f>-IFERROR('4. NPV'!#REF!/'4. NPV'!XCX$8,0)</f>
        <v>0</v>
      </c>
      <c r="XCX54" s="5">
        <f>-IFERROR('4. NPV'!#REF!/'4. NPV'!XCY$8,0)</f>
        <v>0</v>
      </c>
      <c r="XCY54" s="5">
        <f>-IFERROR('4. NPV'!#REF!/'4. NPV'!XCZ$8,0)</f>
        <v>0</v>
      </c>
      <c r="XCZ54" s="5">
        <f>-IFERROR('4. NPV'!#REF!/'4. NPV'!XDA$8,0)</f>
        <v>0</v>
      </c>
      <c r="XDA54" s="5">
        <f>-IFERROR('4. NPV'!#REF!/'4. NPV'!XDB$8,0)</f>
        <v>0</v>
      </c>
      <c r="XDB54" s="5">
        <f>-IFERROR('4. NPV'!#REF!/'4. NPV'!XDC$8,0)</f>
        <v>0</v>
      </c>
      <c r="XDC54" s="5">
        <f>-IFERROR('4. NPV'!#REF!/'4. NPV'!XDD$8,0)</f>
        <v>0</v>
      </c>
      <c r="XDD54" s="5">
        <f>-IFERROR('4. NPV'!#REF!/'4. NPV'!XDE$8,0)</f>
        <v>0</v>
      </c>
      <c r="XDE54" s="5">
        <f>-IFERROR('4. NPV'!#REF!/'4. NPV'!XDF$8,0)</f>
        <v>0</v>
      </c>
      <c r="XDF54" s="5">
        <f>-IFERROR('4. NPV'!#REF!/'4. NPV'!XDG$8,0)</f>
        <v>0</v>
      </c>
      <c r="XDG54" s="5">
        <f>-IFERROR('4. NPV'!#REF!/'4. NPV'!XDH$8,0)</f>
        <v>0</v>
      </c>
      <c r="XDH54" s="5">
        <f>-IFERROR('4. NPV'!#REF!/'4. NPV'!XDI$8,0)</f>
        <v>0</v>
      </c>
      <c r="XDI54" s="5">
        <f>-IFERROR('4. NPV'!#REF!/'4. NPV'!XDJ$8,0)</f>
        <v>0</v>
      </c>
      <c r="XDJ54" s="5">
        <f>-IFERROR('4. NPV'!#REF!/'4. NPV'!XDK$8,0)</f>
        <v>0</v>
      </c>
      <c r="XDK54" s="5">
        <f>-IFERROR('4. NPV'!#REF!/'4. NPV'!XDL$8,0)</f>
        <v>0</v>
      </c>
      <c r="XDL54" s="5">
        <f>-IFERROR('4. NPV'!#REF!/'4. NPV'!XDM$8,0)</f>
        <v>0</v>
      </c>
      <c r="XDM54" s="5">
        <f>-IFERROR('4. NPV'!#REF!/'4. NPV'!XDN$8,0)</f>
        <v>0</v>
      </c>
      <c r="XDN54" s="5">
        <f>-IFERROR('4. NPV'!#REF!/'4. NPV'!XDO$8,0)</f>
        <v>0</v>
      </c>
      <c r="XDO54" s="5">
        <f>-IFERROR('4. NPV'!#REF!/'4. NPV'!XDP$8,0)</f>
        <v>0</v>
      </c>
      <c r="XDP54" s="5">
        <f>-IFERROR('4. NPV'!#REF!/'4. NPV'!XDQ$8,0)</f>
        <v>0</v>
      </c>
      <c r="XDQ54" s="5">
        <f>-IFERROR('4. NPV'!#REF!/'4. NPV'!XDR$8,0)</f>
        <v>0</v>
      </c>
      <c r="XDR54" s="5">
        <f>-IFERROR('4. NPV'!#REF!/'4. NPV'!XDS$8,0)</f>
        <v>0</v>
      </c>
      <c r="XDS54" s="5">
        <f>-IFERROR('4. NPV'!#REF!/'4. NPV'!XDT$8,0)</f>
        <v>0</v>
      </c>
      <c r="XDT54" s="5">
        <f>-IFERROR('4. NPV'!#REF!/'4. NPV'!XDU$8,0)</f>
        <v>0</v>
      </c>
      <c r="XDU54" s="5">
        <f>-IFERROR('4. NPV'!#REF!/'4. NPV'!XDV$8,0)</f>
        <v>0</v>
      </c>
      <c r="XDV54" s="5">
        <f>-IFERROR('4. NPV'!#REF!/'4. NPV'!XDW$8,0)</f>
        <v>0</v>
      </c>
      <c r="XDW54" s="5">
        <f>-IFERROR('4. NPV'!#REF!/'4. NPV'!XDX$8,0)</f>
        <v>0</v>
      </c>
      <c r="XDX54" s="5">
        <f>-IFERROR('4. NPV'!#REF!/'4. NPV'!XDY$8,0)</f>
        <v>0</v>
      </c>
      <c r="XDY54" s="5">
        <f>-IFERROR('4. NPV'!#REF!/'4. NPV'!XDZ$8,0)</f>
        <v>0</v>
      </c>
      <c r="XDZ54" s="5">
        <f>-IFERROR('4. NPV'!#REF!/'4. NPV'!XEA$8,0)</f>
        <v>0</v>
      </c>
      <c r="XEA54" s="5">
        <f>-IFERROR('4. NPV'!#REF!/'4. NPV'!XEB$8,0)</f>
        <v>0</v>
      </c>
      <c r="XEB54" s="5">
        <f>-IFERROR('4. NPV'!#REF!/'4. NPV'!XEC$8,0)</f>
        <v>0</v>
      </c>
      <c r="XEC54" s="5">
        <f>-IFERROR('4. NPV'!#REF!/'4. NPV'!XED$8,0)</f>
        <v>0</v>
      </c>
      <c r="XED54" s="5">
        <f>-IFERROR('4. NPV'!#REF!/'4. NPV'!XEE$8,0)</f>
        <v>0</v>
      </c>
      <c r="XEE54" s="5">
        <f>-IFERROR('4. NPV'!#REF!/'4. NPV'!XEF$8,0)</f>
        <v>0</v>
      </c>
      <c r="XEF54" s="5">
        <f>-IFERROR('4. NPV'!#REF!/'4. NPV'!XEG$8,0)</f>
        <v>0</v>
      </c>
      <c r="XEG54" s="5">
        <f>-IFERROR('4. NPV'!#REF!/'4. NPV'!XEH$8,0)</f>
        <v>0</v>
      </c>
      <c r="XEH54" s="5">
        <f>-IFERROR('4. NPV'!#REF!/'4. NPV'!XEI$8,0)</f>
        <v>0</v>
      </c>
      <c r="XEI54" s="5">
        <f>-IFERROR('4. NPV'!#REF!/'4. NPV'!XEJ$8,0)</f>
        <v>0</v>
      </c>
      <c r="XEJ54" s="5">
        <f>-IFERROR('4. NPV'!#REF!/'4. NPV'!XEK$8,0)</f>
        <v>0</v>
      </c>
      <c r="XEK54" s="5">
        <f>-IFERROR('4. NPV'!#REF!/'4. NPV'!XEL$8,0)</f>
        <v>0</v>
      </c>
      <c r="XEL54" s="5">
        <f>-IFERROR('4. NPV'!#REF!/'4. NPV'!XEM$8,0)</f>
        <v>0</v>
      </c>
      <c r="XEM54" s="5">
        <f>-IFERROR('4. NPV'!#REF!/'4. NPV'!XEN$8,0)</f>
        <v>0</v>
      </c>
      <c r="XEN54" s="5">
        <f>-IFERROR('4. NPV'!#REF!/'4. NPV'!XEO$8,0)</f>
        <v>0</v>
      </c>
      <c r="XEO54" s="5">
        <f>-IFERROR('4. NPV'!#REF!/'4. NPV'!XEP$8,0)</f>
        <v>0</v>
      </c>
      <c r="XEP54" s="5">
        <f>-IFERROR('4. NPV'!#REF!/'4. NPV'!XEQ$8,0)</f>
        <v>0</v>
      </c>
      <c r="XEQ54" s="5">
        <f>-IFERROR('4. NPV'!#REF!/'4. NPV'!XER$8,0)</f>
        <v>0</v>
      </c>
      <c r="XER54" s="5">
        <f>-IFERROR('4. NPV'!#REF!/'4. NPV'!XES$8,0)</f>
        <v>0</v>
      </c>
      <c r="XES54" s="5">
        <f>-IFERROR('4. NPV'!#REF!/'4. NPV'!XET$8,0)</f>
        <v>0</v>
      </c>
      <c r="XET54" s="5">
        <f>-IFERROR('4. NPV'!#REF!/'4. NPV'!XEU$8,0)</f>
        <v>0</v>
      </c>
      <c r="XEU54" s="5">
        <f>-IFERROR('4. NPV'!#REF!/'4. NPV'!XEV$8,0)</f>
        <v>0</v>
      </c>
      <c r="XEV54" s="5">
        <f>-IFERROR('4. NPV'!#REF!/'4. NPV'!XEW$8,0)</f>
        <v>0</v>
      </c>
      <c r="XEW54" s="5">
        <f>-IFERROR('4. NPV'!#REF!/'4. NPV'!XEX$8,0)</f>
        <v>0</v>
      </c>
      <c r="XEX54" s="5">
        <f>-IFERROR('4. NPV'!#REF!/'4. NPV'!XEY$8,0)</f>
        <v>0</v>
      </c>
      <c r="XEY54" s="5">
        <f>-IFERROR('4. NPV'!#REF!/'4. NPV'!XEZ$8,0)</f>
        <v>0</v>
      </c>
      <c r="XEZ54" s="5">
        <f>-IFERROR('4. NPV'!#REF!/'4. NPV'!XFA$8,0)</f>
        <v>0</v>
      </c>
      <c r="XFA54" s="5">
        <f>-IFERROR('4. NPV'!#REF!/'4. NPV'!XFB$8,0)</f>
        <v>0</v>
      </c>
      <c r="XFB54" s="5">
        <f>-IFERROR('4. NPV'!#REF!/'4. NPV'!XFC$8,0)</f>
        <v>0</v>
      </c>
      <c r="XFC54" s="5">
        <f>-IFERROR('4. NPV'!#REF!/'4. NPV'!XFD$8,0)</f>
        <v>0</v>
      </c>
      <c r="XFD54" s="5">
        <f>-IFERROR('4. NPV'!#REF!/'4. NPV'!#REF!,0)</f>
        <v>0</v>
      </c>
    </row>
    <row r="55" spans="1:16384" s="5" customFormat="1">
      <c r="B55" s="5" t="str">
        <f>'4. NPV'!B24</f>
        <v>Total Övriga förvaltningskostnader</v>
      </c>
      <c r="C55" s="6">
        <f>IFERROR('4. NPV'!D24/'4. NPV'!D$8,0)</f>
        <v>-405</v>
      </c>
      <c r="D55" s="6">
        <f>-IFERROR('4. NPV'!E24/'4. NPV'!E$8,0)</f>
        <v>413.1</v>
      </c>
      <c r="E55" s="6">
        <f>-IFERROR('4. NPV'!F24/'4. NPV'!F$8,0)</f>
        <v>421.36200000000002</v>
      </c>
      <c r="F55" s="6">
        <f>-IFERROR('4. NPV'!G24/'4. NPV'!G$8,0)</f>
        <v>429.78923999999995</v>
      </c>
      <c r="G55" s="6">
        <f>-IFERROR('4. NPV'!H24/'4. NPV'!H$8,0)</f>
        <v>438.3850248</v>
      </c>
      <c r="H55" s="6">
        <f>-IFERROR('4. NPV'!I24/'4. NPV'!I$8,0)</f>
        <v>447.15272529599997</v>
      </c>
      <c r="I55" s="6">
        <f>-IFERROR('4. NPV'!J24/'4. NPV'!J$8,0)</f>
        <v>456.09577980192006</v>
      </c>
      <c r="J55" s="6">
        <f>-IFERROR('4. NPV'!K24/'4. NPV'!K$8,0)</f>
        <v>465.21769539795832</v>
      </c>
      <c r="K55" s="6">
        <f>-IFERROR('4. NPV'!L24/'4. NPV'!L$8,0)</f>
        <v>474.52204930591756</v>
      </c>
      <c r="L55" s="6">
        <f>-IFERROR('4. NPV'!M24/'4. NPV'!M$8,0)</f>
        <v>484.01249029203586</v>
      </c>
      <c r="M55" s="6">
        <f>-IFERROR('4. NPV'!N24/'4. NPV'!N$8,0)</f>
        <v>493.69274009787659</v>
      </c>
      <c r="N55" s="6">
        <f>-IFERROR('4. NPV'!O24/'4. NPV'!O$8,0)</f>
        <v>503.56659489983412</v>
      </c>
      <c r="O55" s="6">
        <f>-IFERROR('4. NPV'!P24/'4. NPV'!P$8,0)</f>
        <v>513.63792679783091</v>
      </c>
      <c r="P55" s="6">
        <f>-IFERROR('4. NPV'!Q24/'4. NPV'!Q$8,0)</f>
        <v>523.91068533378746</v>
      </c>
      <c r="Q55" s="6">
        <f>-IFERROR('4. NPV'!R24/'4. NPV'!R$8,0)</f>
        <v>534.38889904046323</v>
      </c>
      <c r="R55" s="6">
        <f>-IFERROR('4. NPV'!S24/'4. NPV'!S$8,0)</f>
        <v>545.0766770212723</v>
      </c>
      <c r="S55" s="6">
        <f>-IFERROR('4. NPV'!T24/'4. NPV'!T$8,0)</f>
        <v>555.97821056169789</v>
      </c>
      <c r="T55" s="6">
        <f>-IFERROR('4. NPV'!U24/'4. NPV'!U$8,0)</f>
        <v>567.09777477293187</v>
      </c>
      <c r="U55" s="6">
        <f>-IFERROR('4. NPV'!V24/'4. NPV'!V$8,0)</f>
        <v>578.43973026839046</v>
      </c>
      <c r="V55" s="6">
        <f>-IFERROR('4. NPV'!W24/'4. NPV'!W$8,0)</f>
        <v>590.00852487375823</v>
      </c>
      <c r="W55" s="6">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s="5">
        <f>-IFERROR('4. NPV'!#REF!/'4. NPV'!#REF!,0)</f>
        <v>0</v>
      </c>
    </row>
    <row r="57" spans="1:16384" s="5" customFormat="1">
      <c r="B57" s="5" t="s">
        <v>76</v>
      </c>
      <c r="C57" s="10">
        <f>'3. Finansiering'!D27</f>
        <v>0.3589</v>
      </c>
      <c r="D57" s="10">
        <f>'3. Finansiering'!E27</f>
        <v>0.3478</v>
      </c>
      <c r="E57" s="10">
        <f>'3. Finansiering'!F27</f>
        <v>0.3367</v>
      </c>
      <c r="F57" s="10">
        <f>'3. Finansiering'!G27</f>
        <v>0.3256</v>
      </c>
      <c r="G57" s="10">
        <f>'3. Finansiering'!H27</f>
        <v>0.3145</v>
      </c>
      <c r="H57" s="10">
        <f>'3. Finansiering'!I27</f>
        <v>0.3034</v>
      </c>
      <c r="I57" s="10">
        <f>'3. Finansiering'!J27</f>
        <v>0.29229999999999995</v>
      </c>
      <c r="J57" s="10">
        <f>'3. Finansiering'!K27</f>
        <v>0.28119999999999995</v>
      </c>
      <c r="K57" s="10">
        <f>'3. Finansiering'!L27</f>
        <v>0.27009999999999995</v>
      </c>
      <c r="L57" s="10">
        <f>'3. Finansiering'!M27</f>
        <v>0.25899999999999995</v>
      </c>
      <c r="M57" s="10">
        <f>'3. Finansiering'!N27</f>
        <v>0.24789999999999998</v>
      </c>
      <c r="N57" s="10">
        <f>'3. Finansiering'!O27</f>
        <v>0.23679999999999995</v>
      </c>
      <c r="O57" s="10">
        <f>'3. Finansiering'!P27</f>
        <v>0.22569999999999998</v>
      </c>
      <c r="P57" s="10">
        <f>'3. Finansiering'!Q27</f>
        <v>0.21459999999999999</v>
      </c>
      <c r="Q57" s="10">
        <f>'3. Finansiering'!R27</f>
        <v>0.20349999999999999</v>
      </c>
      <c r="R57" s="10">
        <f>'3. Finansiering'!S27</f>
        <v>0.19239999999999999</v>
      </c>
      <c r="S57" s="10">
        <f>'3. Finansiering'!T27</f>
        <v>0.18129999999999999</v>
      </c>
      <c r="T57" s="10">
        <f>'3. Finansiering'!U27</f>
        <v>0.17019999999999999</v>
      </c>
      <c r="U57" s="10">
        <f>'3. Finansiering'!V27</f>
        <v>0.15909999999999999</v>
      </c>
      <c r="V57" s="10">
        <f>'3. Finansiering'!W27</f>
        <v>0.14799999999999999</v>
      </c>
      <c r="W57" s="10">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23622047244094491" right="0.23622047244094491" top="1.1811023622047245" bottom="0.74803149606299213" header="0.31496062992125984" footer="0.31496062992125984"/>
  <pageSetup paperSize="9" scale="95" orientation="portrait" r:id="rId1"/>
  <headerFooter differentFirs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sheetPr>
  <dimension ref="A1:I37"/>
  <sheetViews>
    <sheetView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305</v>
      </c>
    </row>
    <row r="3" spans="1:9">
      <c r="A3" t="s">
        <v>306</v>
      </c>
    </row>
    <row r="4" spans="1:9" ht="15">
      <c r="A4" t="s">
        <v>307</v>
      </c>
      <c r="E4" s="408" t="s">
        <v>308</v>
      </c>
      <c r="F4" s="408" t="s">
        <v>309</v>
      </c>
    </row>
    <row r="5" spans="1:9" ht="15">
      <c r="A5" t="s">
        <v>310</v>
      </c>
      <c r="E5" s="409"/>
      <c r="F5" s="409"/>
      <c r="H5" s="408" t="s">
        <v>311</v>
      </c>
      <c r="I5" s="408"/>
    </row>
    <row r="6" spans="1:9">
      <c r="A6" t="s">
        <v>312</v>
      </c>
      <c r="E6" s="409" t="s">
        <v>170</v>
      </c>
      <c r="F6" s="409" t="s">
        <v>313</v>
      </c>
      <c r="H6" s="409" t="s">
        <v>314</v>
      </c>
      <c r="I6" s="409"/>
    </row>
    <row r="7" spans="1:9">
      <c r="A7" t="s">
        <v>315</v>
      </c>
      <c r="E7" s="409" t="s">
        <v>316</v>
      </c>
      <c r="F7" s="409" t="s">
        <v>317</v>
      </c>
      <c r="H7" s="409" t="s">
        <v>318</v>
      </c>
      <c r="I7" s="409"/>
    </row>
    <row r="8" spans="1:9">
      <c r="E8" s="409" t="s">
        <v>226</v>
      </c>
      <c r="F8" s="409" t="s">
        <v>319</v>
      </c>
      <c r="H8" s="409" t="s">
        <v>316</v>
      </c>
      <c r="I8" s="409"/>
    </row>
    <row r="9" spans="1:9" ht="15">
      <c r="A9" s="1" t="s">
        <v>196</v>
      </c>
      <c r="B9" s="2"/>
      <c r="C9" s="2"/>
      <c r="D9" s="2"/>
      <c r="E9" s="409" t="s">
        <v>320</v>
      </c>
      <c r="F9" s="409" t="s">
        <v>321</v>
      </c>
      <c r="H9" s="409" t="s">
        <v>320</v>
      </c>
      <c r="I9" s="409"/>
    </row>
    <row r="10" spans="1:9">
      <c r="A10" t="s">
        <v>322</v>
      </c>
      <c r="E10" s="409" t="s">
        <v>116</v>
      </c>
      <c r="F10" s="409" t="s">
        <v>323</v>
      </c>
      <c r="H10" s="409" t="s">
        <v>324</v>
      </c>
      <c r="I10" s="409"/>
    </row>
    <row r="11" spans="1:9">
      <c r="A11" t="s">
        <v>325</v>
      </c>
      <c r="C11" s="2"/>
      <c r="E11" s="410"/>
      <c r="F11" s="410"/>
      <c r="H11" s="409" t="s">
        <v>326</v>
      </c>
      <c r="I11" s="409"/>
    </row>
    <row r="12" spans="1:9">
      <c r="A12" t="s">
        <v>327</v>
      </c>
    </row>
    <row r="13" spans="1:9">
      <c r="A13" t="s">
        <v>328</v>
      </c>
    </row>
    <row r="14" spans="1:9">
      <c r="A14" t="s">
        <v>329</v>
      </c>
    </row>
    <row r="16" spans="1:9" ht="15">
      <c r="A16" s="1" t="s">
        <v>197</v>
      </c>
    </row>
    <row r="17" spans="1:4">
      <c r="A17" t="s">
        <v>330</v>
      </c>
      <c r="B17" s="2"/>
      <c r="D17" s="2"/>
    </row>
    <row r="18" spans="1:4">
      <c r="A18" t="s">
        <v>331</v>
      </c>
      <c r="B18" s="2"/>
      <c r="D18" s="2"/>
    </row>
    <row r="19" spans="1:4">
      <c r="A19" t="s">
        <v>332</v>
      </c>
    </row>
    <row r="20" spans="1:4">
      <c r="A20" t="s">
        <v>333</v>
      </c>
    </row>
    <row r="21" spans="1:4">
      <c r="A21" t="s">
        <v>334</v>
      </c>
      <c r="B21" s="2"/>
      <c r="D21" s="2"/>
    </row>
    <row r="22" spans="1:4">
      <c r="A22" t="s">
        <v>335</v>
      </c>
    </row>
    <row r="24" spans="1:4" ht="15">
      <c r="A24" s="1" t="s">
        <v>198</v>
      </c>
    </row>
    <row r="25" spans="1:4">
      <c r="A25" t="s">
        <v>336</v>
      </c>
    </row>
    <row r="26" spans="1:4">
      <c r="A26" t="s">
        <v>337</v>
      </c>
    </row>
    <row r="27" spans="1:4">
      <c r="A27" t="s">
        <v>338</v>
      </c>
    </row>
    <row r="28" spans="1:4">
      <c r="A28" t="s">
        <v>339</v>
      </c>
    </row>
    <row r="29" spans="1:4">
      <c r="A29" t="s">
        <v>340</v>
      </c>
    </row>
    <row r="30" spans="1:4">
      <c r="A30" t="s">
        <v>341</v>
      </c>
    </row>
    <row r="33" spans="1:6" ht="15">
      <c r="A33" s="1" t="s">
        <v>200</v>
      </c>
    </row>
    <row r="34" spans="1:6">
      <c r="A34" t="s">
        <v>342</v>
      </c>
      <c r="B34" s="2"/>
      <c r="D34" s="2"/>
    </row>
    <row r="35" spans="1:6">
      <c r="A35" t="s">
        <v>343</v>
      </c>
      <c r="C35" s="2"/>
      <c r="E35" s="2"/>
      <c r="F35" s="2"/>
    </row>
    <row r="36" spans="1:6">
      <c r="A36" t="s">
        <v>344</v>
      </c>
      <c r="F36" s="2"/>
    </row>
    <row r="37" spans="1:6">
      <c r="A37" t="s">
        <v>345</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29</vt:i4>
      </vt:variant>
    </vt:vector>
  </HeadingPairs>
  <TitlesOfParts>
    <vt:vector size="37"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2026-09-30T20:50:10Z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