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E7037FCF-9B5F-4572-83F3-9CD7F39DEA94}"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F19" i="2" l="1"/>
  <c r="AG19" i="2"/>
  <c r="AD19" i="2"/>
  <c r="AE19" i="2"/>
  <c r="D107" i="10" s="1"/>
  <c r="L69" i="2"/>
  <c r="M11" i="2"/>
  <c r="D111" i="10"/>
  <c r="D105" i="10"/>
  <c r="K38" i="2"/>
  <c r="K37" i="2"/>
  <c r="K36" i="2"/>
  <c r="K35" i="2"/>
  <c r="K34" i="2"/>
  <c r="H39" i="2"/>
  <c r="G39" i="2"/>
  <c r="M8" i="2" l="1"/>
  <c r="B65" i="10"/>
  <c r="C57" i="4"/>
  <c r="C69" i="10" s="1"/>
  <c r="B7" i="4"/>
  <c r="C56" i="4"/>
  <c r="C68" i="10" s="1"/>
  <c r="C55" i="4"/>
  <c r="C67" i="10" s="1"/>
  <c r="K75" i="10"/>
  <c r="G75" i="10"/>
  <c r="H80" i="2"/>
  <c r="H27" i="2"/>
  <c r="Z29" i="2"/>
  <c r="Z28" i="2"/>
  <c r="U29" i="2"/>
  <c r="U28" i="2"/>
  <c r="V27" i="2" l="1"/>
  <c r="L27" i="2"/>
  <c r="S27" i="2"/>
  <c r="T27" i="2" s="1"/>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L26" i="2" l="1"/>
  <c r="V26" i="2"/>
  <c r="S26" i="2"/>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5" i="2" l="1"/>
  <c r="L25" i="2"/>
  <c r="S25" i="2"/>
  <c r="T25" i="2" s="1"/>
  <c r="I70" i="2"/>
  <c r="V24" i="2"/>
  <c r="L24" i="2"/>
  <c r="S24" i="2"/>
  <c r="T24" i="2" s="1"/>
  <c r="H70" i="2"/>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S23" i="2"/>
  <c r="T23" i="2" s="1"/>
  <c r="G13" i="2" s="1"/>
  <c r="L23" i="2"/>
  <c r="AD20" i="2"/>
  <c r="G70" i="2"/>
  <c r="V23" i="2"/>
  <c r="W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H55" i="4" l="1"/>
  <c r="F67" i="10" s="1"/>
  <c r="H56" i="4"/>
  <c r="F68" i="10" s="1"/>
  <c r="H57" i="4"/>
  <c r="F69" i="10" s="1"/>
  <c r="D17" i="2"/>
  <c r="G107" i="10" s="1"/>
  <c r="F17" i="2"/>
  <c r="G17" i="2"/>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68" i="3"/>
  <c r="AM13" i="3"/>
  <c r="AM69" i="3"/>
  <c r="AM14" i="3"/>
  <c r="AM67" i="3"/>
  <c r="AM66" i="3"/>
  <c r="AM65" i="3"/>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AM70" i="3" l="1"/>
  <c r="T69" i="3"/>
  <c r="T15" i="3"/>
  <c r="T14" i="3"/>
  <c r="T12" i="3"/>
  <c r="T16" i="3"/>
  <c r="T13" i="3"/>
  <c r="AB23" i="4"/>
  <c r="AB26" i="4"/>
  <c r="E69" i="3"/>
  <c r="E13" i="3"/>
  <c r="E14" i="3"/>
  <c r="E15" i="3"/>
  <c r="E16" i="3"/>
  <c r="E12" i="3"/>
  <c r="AB28" i="3"/>
  <c r="AB65" i="3"/>
  <c r="AB12" i="3"/>
  <c r="AB13" i="3"/>
  <c r="AB14" i="3"/>
  <c r="AB15" i="3"/>
  <c r="AB66" i="3"/>
  <c r="AB16" i="3"/>
  <c r="AB68" i="3"/>
  <c r="AB69" i="3"/>
  <c r="AB67" i="3"/>
  <c r="AM26" i="4"/>
  <c r="AM23" i="4"/>
  <c r="AR65" i="3"/>
  <c r="AR14" i="3"/>
  <c r="AR15" i="3"/>
  <c r="AR68" i="3"/>
  <c r="AR16" i="3"/>
  <c r="AR66" i="3"/>
  <c r="AR28" i="3"/>
  <c r="AR69" i="3"/>
  <c r="AR12" i="3"/>
  <c r="AR13" i="3"/>
  <c r="AR67" i="3"/>
  <c r="Z26" i="4"/>
  <c r="Z23" i="4"/>
  <c r="AN26" i="4"/>
  <c r="AN23" i="4"/>
  <c r="AO14" i="3"/>
  <c r="AO13" i="3"/>
  <c r="AO15" i="3"/>
  <c r="AO16" i="3"/>
  <c r="AO67" i="3"/>
  <c r="AO66" i="3"/>
  <c r="AO70" i="3" s="1"/>
  <c r="AO28" i="3"/>
  <c r="AO69" i="3"/>
  <c r="AO68" i="3"/>
  <c r="AO65" i="3"/>
  <c r="AO12" i="3"/>
  <c r="H69" i="3"/>
  <c r="H14" i="3"/>
  <c r="H12" i="3"/>
  <c r="H15" i="3"/>
  <c r="H13" i="3"/>
  <c r="H16" i="3"/>
  <c r="Z28" i="3"/>
  <c r="Z15" i="3"/>
  <c r="Z68" i="3"/>
  <c r="Z69" i="3"/>
  <c r="Z12" i="3"/>
  <c r="Z67" i="3"/>
  <c r="Z66" i="3"/>
  <c r="Z70" i="3" s="1"/>
  <c r="Z13" i="3"/>
  <c r="Z65" i="3"/>
  <c r="Z14" i="3"/>
  <c r="Z16" i="3"/>
  <c r="AP23" i="4"/>
  <c r="AP26" i="4"/>
  <c r="AQ68" i="3"/>
  <c r="AQ14" i="3"/>
  <c r="AQ65" i="3"/>
  <c r="AQ69" i="3"/>
  <c r="AQ15" i="3"/>
  <c r="AQ67" i="3"/>
  <c r="AQ66" i="3"/>
  <c r="AQ16" i="3"/>
  <c r="AQ28" i="3"/>
  <c r="AQ12" i="3"/>
  <c r="AQ13" i="3"/>
  <c r="AA26" i="4"/>
  <c r="AA23" i="4"/>
  <c r="AK23" i="4"/>
  <c r="AK26" i="4"/>
  <c r="K69" i="3"/>
  <c r="K15" i="3"/>
  <c r="K14" i="3"/>
  <c r="K12" i="3"/>
  <c r="K16" i="3"/>
  <c r="K13" i="3"/>
  <c r="AA28" i="3"/>
  <c r="AA68" i="3"/>
  <c r="AA69" i="3"/>
  <c r="AA67" i="3"/>
  <c r="AA66" i="3"/>
  <c r="AA65" i="3"/>
  <c r="AA12" i="3"/>
  <c r="AA13" i="3"/>
  <c r="AA14" i="3"/>
  <c r="AA15" i="3"/>
  <c r="AA16" i="3"/>
  <c r="AO23" i="4"/>
  <c r="AO26" i="4"/>
  <c r="AX16" i="3"/>
  <c r="AX28" i="3"/>
  <c r="AX68" i="3"/>
  <c r="AX69" i="3"/>
  <c r="AX67" i="3"/>
  <c r="AX66" i="3"/>
  <c r="AX65" i="3"/>
  <c r="AX12" i="3"/>
  <c r="AX13" i="3"/>
  <c r="AX14" i="3"/>
  <c r="AX15" i="3"/>
  <c r="AG23" i="4"/>
  <c r="AG26" i="4"/>
  <c r="AG66" i="3"/>
  <c r="AG67" i="3"/>
  <c r="AG12" i="3"/>
  <c r="AG13" i="3"/>
  <c r="AG14" i="3"/>
  <c r="AG15" i="3"/>
  <c r="AG16" i="3"/>
  <c r="AG69" i="3"/>
  <c r="AG68" i="3"/>
  <c r="AG65" i="3"/>
  <c r="AG28" i="3"/>
  <c r="AR23" i="4"/>
  <c r="AR26" i="4"/>
  <c r="AJ23" i="4"/>
  <c r="AJ26" i="4"/>
  <c r="Q69" i="3"/>
  <c r="Q12" i="3"/>
  <c r="Q15" i="3"/>
  <c r="Q13" i="3"/>
  <c r="Q16" i="3"/>
  <c r="Q14" i="3"/>
  <c r="AJ65" i="3"/>
  <c r="AJ12" i="3"/>
  <c r="AJ13" i="3"/>
  <c r="AJ69" i="3"/>
  <c r="AJ14" i="3"/>
  <c r="AJ15" i="3"/>
  <c r="AJ16" i="3"/>
  <c r="AJ68" i="3"/>
  <c r="AJ66" i="3"/>
  <c r="AJ28" i="3"/>
  <c r="AJ67" i="3"/>
  <c r="AY26" i="4"/>
  <c r="AY23" i="4"/>
  <c r="AI23" i="4"/>
  <c r="AI26" i="4"/>
  <c r="N69" i="3"/>
  <c r="N12" i="3"/>
  <c r="N15" i="3"/>
  <c r="N13" i="3"/>
  <c r="N16" i="3"/>
  <c r="N14" i="3"/>
  <c r="AI12" i="3"/>
  <c r="AI68" i="3"/>
  <c r="AI69" i="3"/>
  <c r="AI67" i="3"/>
  <c r="AI13" i="3"/>
  <c r="AI66" i="3"/>
  <c r="AI65" i="3"/>
  <c r="AI14" i="3"/>
  <c r="AI15" i="3"/>
  <c r="AI16" i="3"/>
  <c r="AI28" i="3"/>
  <c r="AL26" i="4"/>
  <c r="AL23" i="4"/>
  <c r="AZ65" i="3"/>
  <c r="AZ13" i="3"/>
  <c r="AZ28" i="3"/>
  <c r="AZ68" i="3"/>
  <c r="AZ12" i="3"/>
  <c r="AZ66" i="3"/>
  <c r="AZ14" i="3"/>
  <c r="AZ15" i="3"/>
  <c r="AZ69" i="3"/>
  <c r="AZ67" i="3"/>
  <c r="AZ16" i="3"/>
  <c r="AD23" i="4"/>
  <c r="AD26" i="4"/>
  <c r="D69" i="3"/>
  <c r="D28" i="3"/>
  <c r="E28" i="3" s="1"/>
  <c r="F28" i="3" s="1"/>
  <c r="G28" i="3" s="1"/>
  <c r="H28" i="3" s="1"/>
  <c r="I28" i="3" s="1"/>
  <c r="J28" i="3" s="1"/>
  <c r="K28" i="3" s="1"/>
  <c r="L28" i="3" s="1"/>
  <c r="M28" i="3" s="1"/>
  <c r="W69" i="3"/>
  <c r="W15" i="3"/>
  <c r="W16" i="3"/>
  <c r="W13" i="3"/>
  <c r="W14" i="3"/>
  <c r="W12" i="3"/>
  <c r="AD12" i="3"/>
  <c r="AD13" i="3"/>
  <c r="AD69" i="3"/>
  <c r="AD68" i="3"/>
  <c r="AD67" i="3"/>
  <c r="AD14" i="3"/>
  <c r="AD66" i="3"/>
  <c r="AD70" i="3" s="1"/>
  <c r="AD65" i="3"/>
  <c r="AD15" i="3"/>
  <c r="AD16" i="3"/>
  <c r="AD28" i="3"/>
  <c r="BA23" i="4"/>
  <c r="BA26" i="4"/>
  <c r="AP13" i="3"/>
  <c r="AP14" i="3"/>
  <c r="AP15" i="3"/>
  <c r="AP16" i="3"/>
  <c r="AP68" i="3"/>
  <c r="AP69" i="3"/>
  <c r="AP67" i="3"/>
  <c r="AP66" i="3"/>
  <c r="AP65" i="3"/>
  <c r="AP28" i="3"/>
  <c r="AP12" i="3"/>
  <c r="X69" i="3"/>
  <c r="X15" i="3"/>
  <c r="X16" i="3"/>
  <c r="X12" i="3"/>
  <c r="X13" i="3"/>
  <c r="X14" i="3"/>
  <c r="G69" i="3"/>
  <c r="G12" i="3"/>
  <c r="G13" i="3"/>
  <c r="G14" i="3"/>
  <c r="G15" i="3"/>
  <c r="G16" i="3"/>
  <c r="AS14" i="3"/>
  <c r="AS15" i="3"/>
  <c r="AS67" i="3"/>
  <c r="AS16" i="3"/>
  <c r="AS66" i="3"/>
  <c r="AS28" i="3"/>
  <c r="AS69" i="3"/>
  <c r="AS68" i="3"/>
  <c r="AS65" i="3"/>
  <c r="AS12" i="3"/>
  <c r="AS13" i="3"/>
  <c r="AU26" i="4"/>
  <c r="AU23" i="4"/>
  <c r="AT15" i="3"/>
  <c r="AT16" i="3"/>
  <c r="AT68" i="3"/>
  <c r="AT69" i="3"/>
  <c r="AT28" i="3"/>
  <c r="AT67" i="3"/>
  <c r="AT66" i="3"/>
  <c r="AT65" i="3"/>
  <c r="AT12" i="3"/>
  <c r="AT13" i="3"/>
  <c r="AT14" i="3"/>
  <c r="V69" i="3"/>
  <c r="V15" i="3"/>
  <c r="V13" i="3"/>
  <c r="V16" i="3"/>
  <c r="V14" i="3"/>
  <c r="V12" i="3"/>
  <c r="M69" i="3"/>
  <c r="M12" i="3"/>
  <c r="M14" i="3"/>
  <c r="M15" i="3"/>
  <c r="M13" i="3"/>
  <c r="M16" i="3"/>
  <c r="AK12" i="3"/>
  <c r="AK67" i="3"/>
  <c r="AK13" i="3"/>
  <c r="AK14" i="3"/>
  <c r="AK15" i="3"/>
  <c r="AK66" i="3"/>
  <c r="AK16" i="3"/>
  <c r="AK69" i="3"/>
  <c r="AK68" i="3"/>
  <c r="AK28" i="3"/>
  <c r="AK65" i="3"/>
  <c r="AU16" i="3"/>
  <c r="AU15" i="3"/>
  <c r="AU68" i="3"/>
  <c r="AU65" i="3"/>
  <c r="AU69" i="3"/>
  <c r="AU67" i="3"/>
  <c r="AU66" i="3"/>
  <c r="AU70" i="3" s="1"/>
  <c r="AU28" i="3"/>
  <c r="AU12" i="3"/>
  <c r="AU13" i="3"/>
  <c r="AU14" i="3"/>
  <c r="AW23" i="4"/>
  <c r="AW26" i="4"/>
  <c r="X23" i="4"/>
  <c r="X26" i="4"/>
  <c r="BA67" i="3"/>
  <c r="BA66" i="3"/>
  <c r="BA28" i="3"/>
  <c r="BA68" i="3"/>
  <c r="BA12" i="3"/>
  <c r="BA69" i="3"/>
  <c r="BA13" i="3"/>
  <c r="BA14" i="3"/>
  <c r="BA65" i="3"/>
  <c r="BA15" i="3"/>
  <c r="BA16" i="3"/>
  <c r="AF23" i="4"/>
  <c r="AF26" i="4"/>
  <c r="AZ23" i="4"/>
  <c r="AZ26" i="4"/>
  <c r="J69" i="3"/>
  <c r="J14" i="3"/>
  <c r="J12" i="3"/>
  <c r="J15" i="3"/>
  <c r="J13" i="3"/>
  <c r="J16" i="3"/>
  <c r="AF65" i="3"/>
  <c r="AF12" i="3"/>
  <c r="AF13" i="3"/>
  <c r="AF14" i="3"/>
  <c r="AF15" i="3"/>
  <c r="AF68" i="3"/>
  <c r="AF16" i="3"/>
  <c r="AF66" i="3"/>
  <c r="AF28" i="3"/>
  <c r="AF69" i="3"/>
  <c r="AF67" i="3"/>
  <c r="I69" i="3"/>
  <c r="I14" i="3"/>
  <c r="I12" i="3"/>
  <c r="I13" i="3"/>
  <c r="I15" i="3"/>
  <c r="I16" i="3"/>
  <c r="P69" i="3"/>
  <c r="P12" i="3"/>
  <c r="P13" i="3"/>
  <c r="P15" i="3"/>
  <c r="P16" i="3"/>
  <c r="P14" i="3"/>
  <c r="L69" i="3"/>
  <c r="L14" i="3"/>
  <c r="L12" i="3"/>
  <c r="L16" i="3"/>
  <c r="L15" i="3"/>
  <c r="L13" i="3"/>
  <c r="AH12" i="3"/>
  <c r="AH13" i="3"/>
  <c r="AH14" i="3"/>
  <c r="AH68" i="3"/>
  <c r="AH69" i="3"/>
  <c r="AH15" i="3"/>
  <c r="AH67" i="3"/>
  <c r="AH66" i="3"/>
  <c r="AH65" i="3"/>
  <c r="AH16" i="3"/>
  <c r="AH28" i="3"/>
  <c r="AM38" i="3"/>
  <c r="AM72" i="3"/>
  <c r="AM74" i="3" s="1"/>
  <c r="X26" i="2"/>
  <c r="X27" i="2"/>
  <c r="X24" i="2"/>
  <c r="X25" i="2"/>
  <c r="X23" i="2"/>
  <c r="AW16" i="3"/>
  <c r="AW12" i="3"/>
  <c r="AW67" i="3"/>
  <c r="AW66" i="3"/>
  <c r="AW28" i="3"/>
  <c r="AW68" i="3"/>
  <c r="AW69" i="3"/>
  <c r="AW65" i="3"/>
  <c r="AW13" i="3"/>
  <c r="AW14" i="3"/>
  <c r="AW15" i="3"/>
  <c r="AC23" i="4"/>
  <c r="AC26" i="4"/>
  <c r="AT23" i="4"/>
  <c r="AT26" i="4"/>
  <c r="S69" i="3"/>
  <c r="S65" i="3"/>
  <c r="S68" i="3" s="1"/>
  <c r="S14" i="3"/>
  <c r="S15" i="3"/>
  <c r="S13" i="3"/>
  <c r="S16" i="3"/>
  <c r="S12" i="3"/>
  <c r="O69" i="3"/>
  <c r="O12" i="3"/>
  <c r="O14" i="3"/>
  <c r="O15" i="3"/>
  <c r="O13" i="3"/>
  <c r="O16" i="3"/>
  <c r="AC16" i="3"/>
  <c r="AC66" i="3"/>
  <c r="AC67" i="3"/>
  <c r="AC12" i="3"/>
  <c r="AC13" i="3"/>
  <c r="AC14" i="3"/>
  <c r="AC15" i="3"/>
  <c r="AC69" i="3"/>
  <c r="AC68" i="3"/>
  <c r="AC65" i="3"/>
  <c r="AC28" i="3"/>
  <c r="AQ26" i="4"/>
  <c r="AQ23" i="4"/>
  <c r="AY16" i="3"/>
  <c r="AY68" i="3"/>
  <c r="AY69" i="3"/>
  <c r="AY67" i="3"/>
  <c r="AY66" i="3"/>
  <c r="AY65" i="3"/>
  <c r="AY28" i="3"/>
  <c r="AY12" i="3"/>
  <c r="AY13" i="3"/>
  <c r="AY14" i="3"/>
  <c r="AY15" i="3"/>
  <c r="Y23" i="4"/>
  <c r="Y26" i="4"/>
  <c r="AS26" i="4"/>
  <c r="AS23" i="4"/>
  <c r="AN65" i="3"/>
  <c r="AN13" i="3"/>
  <c r="AN14" i="3"/>
  <c r="AN15" i="3"/>
  <c r="AN16" i="3"/>
  <c r="AN68" i="3"/>
  <c r="AN28" i="3"/>
  <c r="AN66" i="3"/>
  <c r="AN69" i="3"/>
  <c r="AN67" i="3"/>
  <c r="AN12" i="3"/>
  <c r="R69" i="3"/>
  <c r="R65" i="3"/>
  <c r="R68" i="3" s="1"/>
  <c r="R15" i="3"/>
  <c r="R13" i="3"/>
  <c r="R12" i="3"/>
  <c r="R14" i="3"/>
  <c r="R16" i="3"/>
  <c r="Y28" i="3"/>
  <c r="Y66" i="3"/>
  <c r="Y67" i="3"/>
  <c r="Y12" i="3"/>
  <c r="Y13" i="3"/>
  <c r="Y14" i="3"/>
  <c r="Y69" i="3"/>
  <c r="Y68" i="3"/>
  <c r="Y15" i="3"/>
  <c r="Y65" i="3"/>
  <c r="Y16" i="3"/>
  <c r="AV15" i="3"/>
  <c r="AV65" i="3"/>
  <c r="AV69" i="3"/>
  <c r="AV16" i="3"/>
  <c r="AV28" i="3"/>
  <c r="AV68" i="3"/>
  <c r="AV66" i="3"/>
  <c r="AV12" i="3"/>
  <c r="AV13" i="3"/>
  <c r="AV14" i="3"/>
  <c r="AV67" i="3"/>
  <c r="F69" i="3"/>
  <c r="F16" i="3"/>
  <c r="F14" i="3"/>
  <c r="F12" i="3"/>
  <c r="F15" i="3"/>
  <c r="F13" i="3"/>
  <c r="AH23" i="4"/>
  <c r="AH26" i="4"/>
  <c r="AL13" i="3"/>
  <c r="AL12" i="3"/>
  <c r="AL14" i="3"/>
  <c r="AL15" i="3"/>
  <c r="AL68" i="3"/>
  <c r="AL69" i="3"/>
  <c r="AL16" i="3"/>
  <c r="AL67" i="3"/>
  <c r="AL66" i="3"/>
  <c r="AL65" i="3"/>
  <c r="AL28" i="3"/>
  <c r="AE26" i="4"/>
  <c r="AE23" i="4"/>
  <c r="AV23" i="4"/>
  <c r="AV26" i="4"/>
  <c r="AX26" i="4"/>
  <c r="AX23" i="4"/>
  <c r="U69" i="3"/>
  <c r="U65" i="3"/>
  <c r="U68" i="3" s="1"/>
  <c r="U15" i="3"/>
  <c r="U13" i="3"/>
  <c r="U16" i="3"/>
  <c r="U12" i="3"/>
  <c r="U14" i="3"/>
  <c r="AE68" i="3"/>
  <c r="AE69" i="3"/>
  <c r="AE67" i="3"/>
  <c r="AE66" i="3"/>
  <c r="AE12" i="3"/>
  <c r="AE65" i="3"/>
  <c r="AE13"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Y27"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W3" i="3"/>
  <c r="W65" i="3" s="1"/>
  <c r="W68" i="3" s="1"/>
  <c r="AH3" i="3"/>
  <c r="AF3" i="3"/>
  <c r="X3" i="3"/>
  <c r="X65" i="3" s="1"/>
  <c r="X68" i="3" s="1"/>
  <c r="O3" i="3"/>
  <c r="O65" i="3" s="1"/>
  <c r="O68" i="3" s="1"/>
  <c r="Q3" i="3"/>
  <c r="Q65" i="3" s="1"/>
  <c r="Q68" i="3" s="1"/>
  <c r="AD3" i="3"/>
  <c r="S3" i="3"/>
  <c r="AJ3" i="3"/>
  <c r="AG3" i="3"/>
  <c r="J3" i="3"/>
  <c r="J65" i="3" s="1"/>
  <c r="J68" i="3" s="1"/>
  <c r="I3" i="3"/>
  <c r="I65" i="3" s="1"/>
  <c r="I68" i="3" s="1"/>
  <c r="AB3" i="3"/>
  <c r="T3" i="3"/>
  <c r="T65" i="3" s="1"/>
  <c r="T68" i="3" s="1"/>
  <c r="K3" i="3"/>
  <c r="K65" i="3" s="1"/>
  <c r="K68" i="3" s="1"/>
  <c r="R3" i="3"/>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P70" i="3" l="1"/>
  <c r="V38" i="3"/>
  <c r="V72" i="3"/>
  <c r="V74" i="3" s="1"/>
  <c r="AU38" i="3"/>
  <c r="AU72" i="3"/>
  <c r="AU74" i="3" s="1"/>
  <c r="AE38" i="3"/>
  <c r="AE72" i="3"/>
  <c r="AE74" i="3" s="1"/>
  <c r="AX38" i="3"/>
  <c r="AX72" i="3"/>
  <c r="AX74" i="3" s="1"/>
  <c r="AD38" i="3"/>
  <c r="AD72" i="3"/>
  <c r="AD74" i="3" s="1"/>
  <c r="AC38" i="3"/>
  <c r="AC72" i="3"/>
  <c r="AC74" i="3" s="1"/>
  <c r="AR38" i="3"/>
  <c r="AR72" i="3"/>
  <c r="AR74" i="3" s="1"/>
  <c r="Q38" i="3"/>
  <c r="Q72" i="3"/>
  <c r="Q74" i="3" s="1"/>
  <c r="AK70" i="3"/>
  <c r="AI70" i="3"/>
  <c r="AT38" i="3"/>
  <c r="AT72" i="3"/>
  <c r="AT74" i="3" s="1"/>
  <c r="AJ38" i="3"/>
  <c r="AJ72" i="3"/>
  <c r="AJ74" i="3" s="1"/>
  <c r="AF38" i="3"/>
  <c r="AF72" i="3"/>
  <c r="AF74" i="3" s="1"/>
  <c r="AL38" i="3"/>
  <c r="AL72" i="3"/>
  <c r="AL74" i="3" s="1"/>
  <c r="AK38" i="3"/>
  <c r="AK72" i="3"/>
  <c r="AK74" i="3" s="1"/>
  <c r="AH70" i="3"/>
  <c r="AA38" i="3"/>
  <c r="AA72" i="3"/>
  <c r="AA74" i="3" s="1"/>
  <c r="AW38" i="3"/>
  <c r="AW72" i="3"/>
  <c r="AW74" i="3" s="1"/>
  <c r="AE70" i="3"/>
  <c r="Y70" i="3"/>
  <c r="AQ70" i="3"/>
  <c r="AB70" i="3"/>
  <c r="AY70" i="3"/>
  <c r="AB38" i="3"/>
  <c r="AB72" i="3"/>
  <c r="AB74" i="3" s="1"/>
  <c r="T38" i="3"/>
  <c r="T72" i="3"/>
  <c r="T74" i="3" s="1"/>
  <c r="BA38" i="3"/>
  <c r="BA72" i="3"/>
  <c r="BA74" i="3" s="1"/>
  <c r="AV38" i="3"/>
  <c r="AV72" i="3"/>
  <c r="AV74" i="3" s="1"/>
  <c r="N38" i="3"/>
  <c r="N72" i="3"/>
  <c r="N74" i="3" s="1"/>
  <c r="AH38" i="3"/>
  <c r="AH72" i="3"/>
  <c r="AH74" i="3" s="1"/>
  <c r="BA70" i="3"/>
  <c r="AF70" i="3"/>
  <c r="X38" i="3"/>
  <c r="X72" i="3"/>
  <c r="X74" i="3" s="1"/>
  <c r="U38" i="3"/>
  <c r="U72" i="3"/>
  <c r="U74" i="3" s="1"/>
  <c r="P38" i="3"/>
  <c r="P72" i="3"/>
  <c r="P74" i="3" s="1"/>
  <c r="AA70" i="3"/>
  <c r="AZ38" i="3"/>
  <c r="AZ72" i="3"/>
  <c r="AZ74" i="3" s="1"/>
  <c r="AS70" i="3"/>
  <c r="J38" i="3"/>
  <c r="J72" i="3"/>
  <c r="J74" i="3" s="1"/>
  <c r="AN70" i="3"/>
  <c r="F38" i="3"/>
  <c r="F72" i="3"/>
  <c r="F74" i="3" s="1"/>
  <c r="AY38" i="3"/>
  <c r="AY72" i="3"/>
  <c r="AY74" i="3" s="1"/>
  <c r="AV70" i="3"/>
  <c r="AZ70" i="3"/>
  <c r="AO38" i="3"/>
  <c r="AO72" i="3"/>
  <c r="AO74" i="3" s="1"/>
  <c r="AC70" i="3"/>
  <c r="AW70" i="3"/>
  <c r="D38" i="3"/>
  <c r="D72" i="3"/>
  <c r="D74" i="3" s="1"/>
  <c r="AQ38" i="3"/>
  <c r="AQ72" i="3"/>
  <c r="AQ74" i="3" s="1"/>
  <c r="K38" i="3"/>
  <c r="K72" i="3"/>
  <c r="K74" i="3" s="1"/>
  <c r="AG38" i="3"/>
  <c r="AG72" i="3"/>
  <c r="AG74" i="3" s="1"/>
  <c r="AN38" i="3"/>
  <c r="AN72" i="3"/>
  <c r="AN74" i="3" s="1"/>
  <c r="AJ70" i="3"/>
  <c r="AG70" i="3"/>
  <c r="H38" i="3"/>
  <c r="H72" i="3"/>
  <c r="H74" i="3" s="1"/>
  <c r="AR70" i="3"/>
  <c r="AS38" i="3"/>
  <c r="AS72" i="3"/>
  <c r="AS74" i="3" s="1"/>
  <c r="AP38" i="3"/>
  <c r="AP72" i="3"/>
  <c r="AP74" i="3" s="1"/>
  <c r="I38" i="3"/>
  <c r="I72" i="3"/>
  <c r="I74" i="3" s="1"/>
  <c r="AI38" i="3"/>
  <c r="AI72" i="3"/>
  <c r="AI74" i="3" s="1"/>
  <c r="AL70" i="3"/>
  <c r="AT70" i="3"/>
  <c r="AX70" i="3"/>
  <c r="U66" i="3"/>
  <c r="U67" i="3"/>
  <c r="I67" i="3"/>
  <c r="I66" i="3"/>
  <c r="K66" i="3"/>
  <c r="K67" i="3"/>
  <c r="P67" i="3"/>
  <c r="P66" i="3"/>
  <c r="M67" i="3"/>
  <c r="M66" i="3"/>
  <c r="V67" i="3"/>
  <c r="V66" i="3"/>
  <c r="T67" i="3"/>
  <c r="T66" i="3"/>
  <c r="X67" i="3"/>
  <c r="X66" i="3"/>
  <c r="O67" i="3"/>
  <c r="O66" i="3"/>
  <c r="F67" i="3"/>
  <c r="F66" i="3"/>
  <c r="N67" i="3"/>
  <c r="N66" i="3"/>
  <c r="G67" i="3"/>
  <c r="G66" i="3"/>
  <c r="E67" i="3"/>
  <c r="E66" i="3"/>
  <c r="W66" i="3"/>
  <c r="W67" i="3"/>
  <c r="L67" i="3"/>
  <c r="L66" i="3"/>
  <c r="R67" i="3"/>
  <c r="R66" i="3"/>
  <c r="J67" i="3"/>
  <c r="J66" i="3"/>
  <c r="H66" i="3"/>
  <c r="H67" i="3"/>
  <c r="S66" i="3"/>
  <c r="S67"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E38" i="3"/>
  <c r="E72" i="3"/>
  <c r="E74" i="3" s="1"/>
  <c r="W38" i="3"/>
  <c r="W72" i="3"/>
  <c r="W74" i="3" s="1"/>
  <c r="Y38" i="3"/>
  <c r="Y72" i="3"/>
  <c r="Y74" i="3" s="1"/>
  <c r="Z38" i="3"/>
  <c r="Z72" i="3"/>
  <c r="Z74" i="3" s="1"/>
  <c r="E78" i="3" s="1"/>
  <c r="O38" i="3"/>
  <c r="E49" i="3" s="1"/>
  <c r="O72" i="3"/>
  <c r="O74" i="3" s="1"/>
  <c r="J70" i="3"/>
  <c r="I70" i="3"/>
  <c r="O70" i="3"/>
  <c r="R70" i="3"/>
  <c r="L70" i="3"/>
  <c r="V70" i="3"/>
  <c r="E70" i="3"/>
  <c r="Q70" i="3"/>
  <c r="G70" i="3"/>
  <c r="X70" i="3"/>
  <c r="T70" i="3"/>
  <c r="P70" i="3"/>
  <c r="S70" i="3"/>
  <c r="K70" i="3"/>
  <c r="N70" i="3"/>
  <c r="H70" i="3"/>
  <c r="W70" i="3"/>
  <c r="F70" i="3"/>
  <c r="M70" i="3"/>
  <c r="U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C49" i="3" s="1"/>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N28" i="3" l="1"/>
  <c r="O28" i="3" s="1"/>
  <c r="P28" i="3" s="1"/>
  <c r="Q28" i="3" s="1"/>
  <c r="R28" i="3" s="1"/>
  <c r="S28" i="3" s="1"/>
  <c r="T28" i="3" s="1"/>
  <c r="U28" i="3" s="1"/>
  <c r="V28" i="3" s="1"/>
  <c r="W28" i="3" s="1"/>
  <c r="X28" i="3" s="1"/>
  <c r="C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Y37" i="5" l="1"/>
  <c r="Y40" i="5"/>
  <c r="AB37" i="5"/>
  <c r="AB40" i="5"/>
  <c r="Z37" i="5"/>
  <c r="Z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V37" i="5" l="1"/>
  <c r="V40" i="5"/>
  <c r="L37" i="5"/>
  <c r="L40" i="5"/>
  <c r="S37" i="5"/>
  <c r="S40" i="5"/>
  <c r="N37" i="5"/>
  <c r="N40" i="5"/>
  <c r="M37" i="5"/>
  <c r="M40" i="5"/>
  <c r="X37" i="5"/>
  <c r="X40" i="5"/>
  <c r="O37" i="5"/>
  <c r="O40" i="5"/>
  <c r="U37" i="5"/>
  <c r="U40" i="5"/>
  <c r="E37" i="5"/>
  <c r="E40" i="5"/>
  <c r="K37" i="5"/>
  <c r="K40" i="5"/>
  <c r="AJ37" i="5"/>
  <c r="AJ40" i="5"/>
  <c r="AH37" i="5"/>
  <c r="AH40" i="5"/>
  <c r="AG37" i="5"/>
  <c r="AG40" i="5"/>
  <c r="AD37" i="5"/>
  <c r="AD40" i="5"/>
  <c r="T37" i="5"/>
  <c r="T40" i="5"/>
  <c r="AC37" i="5"/>
  <c r="AC40" i="5"/>
  <c r="H37" i="5"/>
  <c r="H40" i="5"/>
  <c r="R37" i="5"/>
  <c r="R40" i="5"/>
  <c r="D37" i="5"/>
  <c r="D40" i="5"/>
  <c r="Q37" i="5"/>
  <c r="Q40" i="5"/>
  <c r="G37" i="5"/>
  <c r="G40" i="5"/>
  <c r="F37" i="5"/>
  <c r="F40" i="5"/>
  <c r="AI37" i="5"/>
  <c r="AI40" i="5"/>
  <c r="AF37" i="5"/>
  <c r="AF40" i="5"/>
  <c r="I37" i="5"/>
  <c r="I40" i="5"/>
  <c r="W37" i="5"/>
  <c r="W40" i="5"/>
  <c r="J37" i="5"/>
  <c r="J40" i="5"/>
  <c r="AE37" i="5"/>
  <c r="AE40" i="5"/>
  <c r="AA37" i="5"/>
  <c r="AA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Y40" i="8" l="1"/>
  <c r="Z73" i="3"/>
  <c r="AE73" i="3"/>
  <c r="AD40" i="8"/>
  <c r="AJ73" i="3"/>
  <c r="AI40" i="8"/>
  <c r="AD73" i="3"/>
  <c r="AC40" i="8"/>
  <c r="Y73" i="3"/>
  <c r="X40" i="8"/>
  <c r="AQ73" i="3"/>
  <c r="AP40" i="8"/>
  <c r="AP44" i="8" s="1"/>
  <c r="AX73" i="3"/>
  <c r="AW40" i="8"/>
  <c r="AW44" i="8" s="1"/>
  <c r="AH73" i="3"/>
  <c r="AG40" i="8"/>
  <c r="AS73" i="3"/>
  <c r="AR40" i="8"/>
  <c r="AR44" i="8" s="1"/>
  <c r="AN73" i="3"/>
  <c r="AM40" i="8"/>
  <c r="AM44" i="8" s="1"/>
  <c r="AE40" i="8"/>
  <c r="AF73" i="3"/>
  <c r="AS40" i="8"/>
  <c r="AS44" i="8" s="1"/>
  <c r="AT73" i="3"/>
  <c r="AG73" i="3"/>
  <c r="AF40" i="8"/>
  <c r="AB40" i="8"/>
  <c r="AC73" i="3"/>
  <c r="AM73" i="3"/>
  <c r="AL40" i="8"/>
  <c r="AL44" i="8" s="1"/>
  <c r="Z40" i="8"/>
  <c r="AA73" i="3"/>
  <c r="AU73" i="3"/>
  <c r="AT40" i="8"/>
  <c r="AT44" i="8" s="1"/>
  <c r="AL73" i="3"/>
  <c r="AK40" i="8"/>
  <c r="AK44" i="8" s="1"/>
  <c r="AR73" i="3"/>
  <c r="AQ40" i="8"/>
  <c r="AQ44" i="8" s="1"/>
  <c r="BA73" i="3"/>
  <c r="AZ40" i="8"/>
  <c r="AZ44" i="8" s="1"/>
  <c r="AV73" i="3"/>
  <c r="AU40" i="8"/>
  <c r="AU44" i="8" s="1"/>
  <c r="AY73" i="3"/>
  <c r="AX40" i="8"/>
  <c r="AX44" i="8" s="1"/>
  <c r="AV40" i="8"/>
  <c r="AV44" i="8" s="1"/>
  <c r="AW73" i="3"/>
  <c r="AB73" i="3"/>
  <c r="AA40" i="8"/>
  <c r="AH40" i="8"/>
  <c r="AI73" i="3"/>
  <c r="AP73" i="3"/>
  <c r="AO40" i="8"/>
  <c r="AO44" i="8" s="1"/>
  <c r="AK73" i="3"/>
  <c r="AJ40" i="8"/>
  <c r="AJ44" i="8" s="1"/>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6" i="3"/>
  <c r="D67"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M44" i="8" s="1"/>
  <c r="C50" i="3"/>
  <c r="C51" i="3" s="1"/>
  <c r="N23" i="4"/>
  <c r="N44" i="4" s="1"/>
  <c r="L73" i="3"/>
  <c r="L23" i="4"/>
  <c r="S73" i="3"/>
  <c r="S23" i="4"/>
  <c r="T73" i="3"/>
  <c r="T23" i="4"/>
  <c r="J73" i="3"/>
  <c r="J23" i="4"/>
  <c r="K73" i="3"/>
  <c r="K23" i="4"/>
  <c r="N73" i="3"/>
  <c r="C79" i="3"/>
  <c r="C80" i="3" s="1"/>
  <c r="E33" i="3"/>
  <c r="E71" i="3"/>
  <c r="D40" i="8" s="1"/>
  <c r="N33" i="3"/>
  <c r="J33" i="3"/>
  <c r="L33" i="3"/>
  <c r="S44" i="4"/>
  <c r="S33" i="3"/>
  <c r="K33" i="3"/>
  <c r="T44" i="4"/>
  <c r="T33" i="3"/>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Q73" i="3" l="1"/>
  <c r="Q23" i="4"/>
  <c r="Q44" i="4" s="1"/>
  <c r="E73" i="3"/>
  <c r="E23" i="4"/>
  <c r="U73" i="3"/>
  <c r="U23" i="4"/>
  <c r="D73" i="3"/>
  <c r="D23" i="4"/>
  <c r="I73" i="3"/>
  <c r="I23" i="4"/>
  <c r="R73" i="3"/>
  <c r="R23" i="4"/>
  <c r="R44" i="4" s="1"/>
  <c r="W73" i="3"/>
  <c r="W23" i="4"/>
  <c r="W44" i="4" s="1"/>
  <c r="P73" i="3"/>
  <c r="P23" i="4"/>
  <c r="P44" i="4" s="1"/>
  <c r="X71" i="3"/>
  <c r="W40" i="8" s="1"/>
  <c r="K44" i="8"/>
  <c r="L7" i="4" s="1"/>
  <c r="D44" i="8"/>
  <c r="E7" i="4" s="1"/>
  <c r="R44" i="8"/>
  <c r="S7" i="4" s="1"/>
  <c r="J44" i="8"/>
  <c r="K7" i="4" s="1"/>
  <c r="D33" i="3"/>
  <c r="U44" i="4"/>
  <c r="U33" i="3"/>
  <c r="R33" i="3"/>
  <c r="I33" i="3"/>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E34" i="3" l="1"/>
  <c r="M73" i="3"/>
  <c r="M23" i="4"/>
  <c r="V73" i="3"/>
  <c r="V23" i="4"/>
  <c r="V44" i="4" s="1"/>
  <c r="G73" i="3"/>
  <c r="G23" i="4"/>
  <c r="H73" i="3"/>
  <c r="H23" i="4"/>
  <c r="F73" i="3"/>
  <c r="F23" i="4"/>
  <c r="S34" i="3"/>
  <c r="X73" i="3"/>
  <c r="E79" i="3"/>
  <c r="E80" i="3" s="1"/>
  <c r="K34" i="3"/>
  <c r="O33" i="3"/>
  <c r="O71" i="3"/>
  <c r="N40" i="8" s="1"/>
  <c r="L34" i="3"/>
  <c r="Q50" i="8"/>
  <c r="Q44" i="8"/>
  <c r="R34" i="3" s="1"/>
  <c r="H44" i="8"/>
  <c r="I7" i="4" s="1"/>
  <c r="X7" i="4"/>
  <c r="W44" i="8"/>
  <c r="X34" i="3" s="1"/>
  <c r="AO47" i="8"/>
  <c r="AZ47" i="8"/>
  <c r="AV47" i="8"/>
  <c r="AR47" i="8"/>
  <c r="AN47" i="8"/>
  <c r="AY47" i="8"/>
  <c r="AU47" i="8"/>
  <c r="AP47" i="8"/>
  <c r="AM47" i="8"/>
  <c r="AX47" i="8"/>
  <c r="AS47" i="8"/>
  <c r="AQ47" i="8"/>
  <c r="AL47" i="8"/>
  <c r="AW47" i="8"/>
  <c r="AT47" i="8"/>
  <c r="G33" i="3"/>
  <c r="V33" i="3"/>
  <c r="H33" i="3"/>
  <c r="M44" i="4"/>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E52" i="3" s="1"/>
  <c r="D15" i="2" s="1"/>
  <c r="C48" i="3"/>
  <c r="C77" i="3"/>
  <c r="C81" i="3" s="1"/>
  <c r="C82" i="3" s="1"/>
  <c r="O73" i="3"/>
  <c r="E77" i="3" s="1"/>
  <c r="O23" i="4"/>
  <c r="O44" i="4" s="1"/>
  <c r="I34" i="3"/>
  <c r="N44" i="8"/>
  <c r="O7" i="4" s="1"/>
  <c r="G44" i="8"/>
  <c r="H7" i="4" s="1"/>
  <c r="L44" i="8"/>
  <c r="M34" i="3" s="1"/>
  <c r="U44" i="8"/>
  <c r="V7" i="4" s="1"/>
  <c r="F44" i="8"/>
  <c r="G7" i="4" s="1"/>
  <c r="G114" i="10"/>
  <c r="C62" i="3"/>
  <c r="D16" i="2" s="1"/>
  <c r="R7" i="4"/>
  <c r="P34" i="3"/>
  <c r="U34" i="3"/>
  <c r="U7" i="4"/>
  <c r="W34" i="3"/>
  <c r="W7" i="4"/>
  <c r="C7" i="4" s="1"/>
  <c r="Q34" i="3"/>
  <c r="Q7" i="4"/>
  <c r="D34" i="3"/>
  <c r="C52" i="3"/>
  <c r="D6" i="4"/>
  <c r="D11" i="9"/>
  <c r="D12" i="9" s="1"/>
  <c r="E50" i="8"/>
  <c r="G50" i="8"/>
  <c r="V34" i="3"/>
  <c r="U50" i="8"/>
  <c r="F50" i="8"/>
  <c r="G34" i="3"/>
  <c r="N50" i="8"/>
  <c r="L50" i="8"/>
  <c r="F56" i="4" l="1"/>
  <c r="G68" i="10" s="1"/>
  <c r="F57" i="4"/>
  <c r="E81" i="3"/>
  <c r="K109" i="10" s="1"/>
  <c r="F55" i="4"/>
  <c r="H34" i="3"/>
  <c r="O34" i="3"/>
  <c r="M7" i="4"/>
  <c r="F2" i="2"/>
  <c r="V2" i="2"/>
  <c r="G112" i="10"/>
  <c r="G111" i="10" s="1"/>
  <c r="D57" i="4"/>
  <c r="E69" i="10" s="1"/>
  <c r="K112" i="10"/>
  <c r="K111" i="10" s="1"/>
  <c r="F34" i="3"/>
  <c r="F7" i="4"/>
  <c r="D13" i="9"/>
  <c r="E11" i="9" s="1"/>
  <c r="E12" i="9" s="1"/>
  <c r="E59" i="3"/>
  <c r="C53" i="3"/>
  <c r="C59" i="3"/>
  <c r="C60" i="3" s="1"/>
  <c r="E53" i="3"/>
  <c r="G69" i="10" l="1"/>
  <c r="AG14" i="2"/>
  <c r="G67" i="10"/>
  <c r="AF14" i="2"/>
  <c r="D55" i="4"/>
  <c r="E67" i="10" s="1"/>
  <c r="D56" i="4"/>
  <c r="E68" i="10" s="1"/>
  <c r="G109" i="10"/>
  <c r="E82" i="3"/>
  <c r="AD14" i="2" s="1"/>
  <c r="E13" i="9"/>
  <c r="F11" i="9" s="1"/>
  <c r="F12" i="9" s="1"/>
  <c r="E60" i="3"/>
  <c r="E6" i="4"/>
  <c r="G108" i="10" l="1"/>
  <c r="D13" i="2"/>
  <c r="K108" i="10"/>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0" i="4" l="1"/>
  <c r="X59" i="4"/>
  <c r="X61" i="4"/>
  <c r="AI60" i="4"/>
  <c r="AI61" i="4"/>
  <c r="AI59" i="4"/>
  <c r="Y59" i="4"/>
  <c r="Y60" i="4"/>
  <c r="Y61" i="4"/>
  <c r="AJ61" i="4"/>
  <c r="AJ59" i="4"/>
  <c r="AJ60" i="4"/>
  <c r="AF59" i="4"/>
  <c r="AF60" i="4"/>
  <c r="AF61" i="4"/>
  <c r="AE59" i="4"/>
  <c r="AE60" i="4"/>
  <c r="AE61" i="4"/>
  <c r="AC59" i="4"/>
  <c r="AC60" i="4"/>
  <c r="AC61" i="4"/>
  <c r="Z59" i="4"/>
  <c r="Z60" i="4"/>
  <c r="Z61" i="4"/>
  <c r="AG59" i="4"/>
  <c r="AG60" i="4"/>
  <c r="AG61" i="4"/>
  <c r="AH60" i="4"/>
  <c r="AH61" i="4"/>
  <c r="AH59" i="4"/>
  <c r="AD59" i="4"/>
  <c r="AD60" i="4"/>
  <c r="AD61" i="4"/>
  <c r="AB59" i="4"/>
  <c r="AB60" i="4"/>
  <c r="AB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N59" i="4" l="1"/>
  <c r="AN60" i="4"/>
  <c r="AN61" i="4"/>
  <c r="AR59" i="4"/>
  <c r="AR60" i="4"/>
  <c r="AR61" i="4"/>
  <c r="AL59" i="4"/>
  <c r="AL60" i="4"/>
  <c r="AL61" i="4"/>
  <c r="AY59" i="4"/>
  <c r="AY60" i="4"/>
  <c r="AY61" i="4"/>
  <c r="AZ59" i="4"/>
  <c r="AZ60" i="4"/>
  <c r="AZ61" i="4"/>
  <c r="AQ59" i="4"/>
  <c r="AQ60" i="4"/>
  <c r="AQ61" i="4"/>
  <c r="AV60" i="4"/>
  <c r="AV59" i="4"/>
  <c r="AV61" i="4"/>
  <c r="BA59" i="4"/>
  <c r="BA60" i="4"/>
  <c r="BA61" i="4"/>
  <c r="AK61" i="4"/>
  <c r="AK59" i="4"/>
  <c r="AK60" i="4"/>
  <c r="AS59" i="4"/>
  <c r="AS60" i="4"/>
  <c r="AS61" i="4"/>
  <c r="AO59" i="4"/>
  <c r="AO60" i="4"/>
  <c r="AO61" i="4"/>
  <c r="AP59" i="4"/>
  <c r="AP60" i="4"/>
  <c r="AP61" i="4"/>
  <c r="AU59" i="4"/>
  <c r="AU60" i="4"/>
  <c r="AU61" i="4"/>
  <c r="AX59" i="4"/>
  <c r="AX60" i="4"/>
  <c r="AX61" i="4"/>
  <c r="AW60" i="4"/>
  <c r="AW59" i="4"/>
  <c r="AW61" i="4"/>
  <c r="AT59" i="4"/>
  <c r="AT60" i="4"/>
  <c r="AT61" i="4"/>
  <c r="AM59" i="4"/>
  <c r="AM60"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59" i="4"/>
  <c r="E55" i="4" s="1"/>
  <c r="G55" i="4" s="1"/>
  <c r="AA60" i="4"/>
  <c r="E56" i="4" s="1"/>
  <c r="G56" i="4" s="1"/>
  <c r="AA61" i="4"/>
  <c r="E57" i="4" s="1"/>
  <c r="D69" i="10" s="1"/>
  <c r="AE14" i="2"/>
  <c r="AI14" i="2"/>
  <c r="AH14" i="2"/>
  <c r="AA33" i="4"/>
  <c r="AA38" i="4" s="1"/>
  <c r="D41" i="4" s="1"/>
  <c r="G105" i="10" l="1"/>
  <c r="D68" i="10"/>
  <c r="K105" i="10"/>
  <c r="G57" i="4"/>
  <c r="D6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<sst xmlns="http://schemas.openxmlformats.org/spreadsheetml/2006/main" count="551" uniqueCount="426">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</sst>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4">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4"/>
      <c r="C1" s="504"/>
      <c r="D1" s="504"/>
      <c r="E1" s="504"/>
      <c r="F1" s="504"/>
      <c r="G1" s="504"/>
      <c r="H1" s="504"/>
      <c r="I1" s="504"/>
      <c r="J1" s="648" t="s">
        <v>0</v>
      </c>
      <c r="K1" s="648"/>
      <c r="L1" s="648"/>
      <c r="M1" s="648"/>
      <c r="N1" s="648"/>
      <c r="O1" s="648"/>
      <c r="P1" s="648"/>
      <c r="Q1" s="648"/>
      <c r="R1" s="504"/>
      <c r="S1" s="504"/>
      <c r="T1" s="504"/>
      <c r="U1" s="504"/>
      <c r="V1" s="504"/>
      <c r="W1" s="504"/>
      <c r="X1" s="504"/>
      <c r="Y1" s="504"/>
    </row>
    <row r="2" spans="2:25" ht="30">
      <c r="B2" s="479" t="s">
        <v>1</v>
      </c>
      <c r="C2" s="480"/>
      <c r="D2" s="381"/>
      <c r="E2" s="381"/>
      <c r="F2" s="381"/>
      <c r="G2" s="481"/>
      <c r="H2" s="504"/>
      <c r="I2" s="504"/>
      <c r="J2" s="648"/>
      <c r="K2" s="648"/>
      <c r="L2" s="648"/>
      <c r="M2" s="648"/>
      <c r="N2" s="648"/>
      <c r="O2" s="648"/>
      <c r="P2" s="648"/>
      <c r="Q2" s="648"/>
      <c r="R2" s="648" t="s">
        <v>2</v>
      </c>
      <c r="S2" s="648"/>
      <c r="T2" s="648"/>
      <c r="U2" s="13"/>
      <c r="V2" s="13"/>
      <c r="W2" s="13"/>
      <c r="X2" s="13"/>
      <c r="Y2" s="13"/>
    </row>
    <row r="3" spans="2:25" ht="22.5" customHeight="1">
      <c r="B3" s="645" t="s">
        <v>3</v>
      </c>
      <c r="C3" s="646"/>
      <c r="D3" s="646"/>
      <c r="E3" s="646"/>
      <c r="F3" s="646"/>
      <c r="G3" s="647"/>
      <c r="H3" s="504"/>
      <c r="I3" s="504"/>
      <c r="J3" s="648"/>
      <c r="K3" s="648"/>
      <c r="L3" s="648"/>
      <c r="M3" s="648"/>
      <c r="N3" s="648"/>
      <c r="O3" s="648"/>
      <c r="P3" s="648"/>
      <c r="Q3" s="648"/>
      <c r="R3" s="648"/>
      <c r="S3" s="648"/>
      <c r="T3" s="648"/>
      <c r="U3" s="13"/>
      <c r="V3" s="13"/>
      <c r="W3" s="13"/>
      <c r="X3" s="13"/>
      <c r="Y3" s="13"/>
    </row>
    <row r="4" spans="2:25" ht="15" customHeight="1">
      <c r="B4" s="505" t="s">
        <v>4</v>
      </c>
      <c r="C4" s="506"/>
      <c r="D4" s="506"/>
      <c r="E4" s="506"/>
      <c r="F4" s="506"/>
      <c r="G4" s="507" t="s">
        <v>5</v>
      </c>
      <c r="H4" s="504"/>
      <c r="I4" s="504"/>
      <c r="J4" s="648"/>
      <c r="K4" s="648"/>
      <c r="L4" s="648"/>
      <c r="M4" s="648"/>
      <c r="N4" s="648"/>
      <c r="O4" s="648"/>
      <c r="P4" s="648"/>
      <c r="Q4" s="648"/>
      <c r="R4" s="13"/>
      <c r="S4" s="13"/>
      <c r="T4" s="13"/>
      <c r="U4" s="13"/>
      <c r="V4" s="13"/>
      <c r="W4" s="13"/>
      <c r="X4" s="13"/>
      <c r="Y4" s="13"/>
    </row>
    <row r="5" spans="2:25" ht="15" customHeight="1">
      <c r="B5" s="14" t="s">
        <v>6</v>
      </c>
      <c r="C5" s="15"/>
      <c r="D5" s="508"/>
      <c r="E5" s="509"/>
      <c r="F5" s="509"/>
      <c r="G5" s="497" t="s">
        <v>5</v>
      </c>
      <c r="H5" s="504"/>
      <c r="I5" s="504"/>
      <c r="J5" s="504"/>
      <c r="K5" s="16"/>
      <c r="L5" s="17"/>
      <c r="M5" s="504"/>
      <c r="N5" s="504"/>
      <c r="O5" s="504"/>
      <c r="P5" s="504"/>
      <c r="Q5" s="504"/>
      <c r="R5" s="13"/>
      <c r="S5" s="13" t="s">
        <v>7</v>
      </c>
      <c r="T5" s="13"/>
      <c r="U5" s="13"/>
      <c r="V5" s="13"/>
      <c r="W5" s="13"/>
      <c r="X5" s="13"/>
      <c r="Y5" s="13"/>
    </row>
    <row r="6" spans="2:25" ht="15">
      <c r="B6" s="18" t="s">
        <v>8</v>
      </c>
      <c r="C6" s="19"/>
      <c r="D6" s="504"/>
      <c r="E6" s="510"/>
      <c r="F6" s="511"/>
      <c r="G6" s="497" t="s">
        <v>5</v>
      </c>
      <c r="H6" s="504"/>
      <c r="I6" s="504"/>
      <c r="J6" s="504"/>
      <c r="K6" s="20" t="str">
        <f>'2. Kalkyldata'!$G$6</f>
        <v>Fyll i</v>
      </c>
      <c r="L6" s="21"/>
      <c r="M6" s="504"/>
      <c r="N6" s="504"/>
      <c r="O6" s="504"/>
      <c r="P6" s="504"/>
      <c r="Q6" s="504"/>
      <c r="R6" s="512" t="s">
        <v>9</v>
      </c>
      <c r="S6" s="513"/>
      <c r="T6" s="504"/>
      <c r="U6" s="504"/>
      <c r="V6" s="504"/>
      <c r="W6" s="504"/>
      <c r="X6" s="504"/>
      <c r="Y6" s="504"/>
    </row>
    <row r="7" spans="2:25" ht="15">
      <c r="B7" s="18" t="s">
        <v>10</v>
      </c>
      <c r="C7" s="19"/>
      <c r="D7" s="504"/>
      <c r="E7" s="510"/>
      <c r="F7" s="511"/>
      <c r="G7" s="497" t="s">
        <v>5</v>
      </c>
      <c r="H7" s="504"/>
      <c r="I7" s="504"/>
      <c r="J7" s="504"/>
      <c r="K7" s="22"/>
      <c r="L7" s="21"/>
      <c r="M7" s="504"/>
      <c r="N7" s="504"/>
      <c r="O7" s="504"/>
      <c r="P7" s="504"/>
      <c r="Q7" s="504"/>
      <c r="R7" s="498" t="s">
        <v>11</v>
      </c>
      <c r="S7" s="514" t="s">
        <v>12</v>
      </c>
      <c r="T7" s="504"/>
      <c r="U7" s="504"/>
      <c r="V7" s="504"/>
      <c r="W7" s="504"/>
      <c r="X7" s="504"/>
      <c r="Y7" s="504"/>
    </row>
    <row r="8" spans="2:25" ht="15">
      <c r="B8" s="18" t="s">
        <v>13</v>
      </c>
      <c r="C8" s="19"/>
      <c r="D8" s="504"/>
      <c r="E8" s="510"/>
      <c r="F8" s="510"/>
      <c r="G8" s="497" t="s">
        <v>5</v>
      </c>
      <c r="H8" s="504"/>
      <c r="I8" s="504"/>
      <c r="J8" s="504"/>
      <c r="K8" s="22" t="str">
        <f>'2. Kalkyldata'!$J$6</f>
        <v>Fyll i</v>
      </c>
      <c r="L8" s="21"/>
      <c r="M8" s="515"/>
      <c r="N8" s="504"/>
      <c r="O8" s="504"/>
      <c r="P8" s="504"/>
      <c r="Q8" s="504"/>
      <c r="R8" s="498" t="s">
        <v>14</v>
      </c>
      <c r="S8" s="514" t="s">
        <v>12</v>
      </c>
      <c r="T8" s="504"/>
      <c r="U8" s="504"/>
      <c r="V8" s="504"/>
      <c r="W8" s="504"/>
      <c r="X8" s="504"/>
      <c r="Y8" s="504"/>
    </row>
    <row r="9" spans="2:25" ht="15">
      <c r="B9" s="18" t="s">
        <v>15</v>
      </c>
      <c r="C9" s="19"/>
      <c r="D9" s="504"/>
      <c r="E9" s="510"/>
      <c r="F9" s="510"/>
      <c r="G9" s="497" t="s">
        <v>5</v>
      </c>
      <c r="H9" s="504"/>
      <c r="I9" s="504"/>
      <c r="J9" s="504"/>
      <c r="K9" s="22" t="str">
        <f>'2. Kalkyldata'!$I$6</f>
        <v>Fyll i</v>
      </c>
      <c r="L9" s="21"/>
      <c r="M9" s="515"/>
      <c r="N9" s="504"/>
      <c r="O9" s="504"/>
      <c r="P9" s="504"/>
      <c r="Q9" s="504"/>
      <c r="R9" s="498" t="s">
        <v>16</v>
      </c>
      <c r="S9" s="514" t="s">
        <v>12</v>
      </c>
      <c r="T9" s="504"/>
      <c r="U9" s="504"/>
      <c r="V9" s="504"/>
      <c r="W9" s="504"/>
      <c r="X9" s="504"/>
      <c r="Y9" s="504"/>
    </row>
    <row r="10" spans="2:25" ht="15" customHeight="1">
      <c r="B10" s="18" t="s">
        <v>17</v>
      </c>
      <c r="C10" s="19"/>
      <c r="D10" s="504"/>
      <c r="E10" s="510"/>
      <c r="F10" s="510"/>
      <c r="G10" s="497" t="s">
        <v>5</v>
      </c>
      <c r="H10" s="504"/>
      <c r="I10" s="504"/>
      <c r="J10" s="504"/>
      <c r="K10" s="22"/>
      <c r="L10" s="21"/>
      <c r="M10" s="515"/>
      <c r="N10" s="504"/>
      <c r="O10" s="504"/>
      <c r="P10" s="504"/>
      <c r="Q10" s="504"/>
      <c r="R10" s="667" t="s">
        <v>18</v>
      </c>
      <c r="S10" s="681" t="s">
        <v>12</v>
      </c>
      <c r="T10" s="504"/>
      <c r="U10" s="504"/>
      <c r="V10" s="504"/>
      <c r="W10" s="504"/>
      <c r="X10" s="504"/>
      <c r="Y10" s="504"/>
    </row>
    <row r="11" spans="2:25" ht="15">
      <c r="B11" s="18" t="s">
        <v>19</v>
      </c>
      <c r="C11" s="19"/>
      <c r="D11" s="504"/>
      <c r="E11" s="511"/>
      <c r="F11" s="511"/>
      <c r="G11" s="497" t="s">
        <v>5</v>
      </c>
      <c r="H11" s="504"/>
      <c r="I11" s="504"/>
      <c r="J11" s="504"/>
      <c r="K11" s="23"/>
      <c r="L11" s="24"/>
      <c r="M11" s="504"/>
      <c r="N11" s="504"/>
      <c r="O11" s="504"/>
      <c r="P11" s="504"/>
      <c r="Q11" s="504"/>
      <c r="R11" s="667"/>
      <c r="S11" s="683"/>
      <c r="T11" s="504"/>
      <c r="U11" s="504"/>
      <c r="V11" s="504"/>
      <c r="W11" s="504"/>
      <c r="X11" s="504"/>
      <c r="Y11" s="504"/>
    </row>
    <row r="12" spans="2:25" ht="15">
      <c r="B12" s="18" t="s">
        <v>20</v>
      </c>
      <c r="C12" s="516"/>
      <c r="D12" s="504"/>
      <c r="E12" s="504"/>
      <c r="F12" s="517"/>
      <c r="G12" s="518" t="s">
        <v>5</v>
      </c>
      <c r="H12" s="504"/>
      <c r="I12" s="504"/>
      <c r="J12" s="504"/>
      <c r="K12" s="25"/>
      <c r="L12" s="26"/>
      <c r="M12" s="504"/>
      <c r="N12" s="504"/>
      <c r="O12" s="504"/>
      <c r="P12" s="504"/>
      <c r="Q12" s="504"/>
      <c r="R12" s="667"/>
      <c r="S12" s="682"/>
      <c r="T12" s="504"/>
      <c r="U12" s="504"/>
      <c r="V12" s="504"/>
      <c r="W12" s="504"/>
      <c r="X12" s="504"/>
      <c r="Y12" s="504"/>
    </row>
    <row r="13" spans="2:25" ht="15">
      <c r="B13" s="27" t="s">
        <v>21</v>
      </c>
      <c r="C13" s="519"/>
      <c r="D13" s="506"/>
      <c r="E13" s="506"/>
      <c r="F13" s="520"/>
      <c r="G13" s="521" t="s">
        <v>5</v>
      </c>
      <c r="H13" s="504"/>
      <c r="I13" s="504"/>
      <c r="J13" s="504"/>
      <c r="K13" s="25"/>
      <c r="L13" s="26"/>
      <c r="M13" s="504"/>
      <c r="N13" s="504"/>
      <c r="O13" s="504"/>
      <c r="P13" s="504"/>
      <c r="Q13" s="504"/>
      <c r="R13" s="498" t="s">
        <v>22</v>
      </c>
      <c r="S13" s="514" t="s">
        <v>12</v>
      </c>
      <c r="T13" s="504"/>
      <c r="U13" s="504"/>
      <c r="V13" s="504"/>
      <c r="W13" s="504"/>
      <c r="X13" s="504"/>
      <c r="Y13" s="504"/>
    </row>
    <row r="14" spans="2:25" ht="8.1" customHeight="1">
      <c r="B14" s="19"/>
      <c r="C14" s="19"/>
      <c r="D14" s="504"/>
      <c r="E14" s="522"/>
      <c r="F14" s="522"/>
      <c r="G14" s="523"/>
      <c r="H14" s="504"/>
      <c r="I14" s="504"/>
      <c r="J14" s="504"/>
      <c r="K14" s="25"/>
      <c r="L14" s="26"/>
      <c r="M14" s="504"/>
      <c r="N14" s="504"/>
      <c r="O14" s="504"/>
      <c r="P14" s="504"/>
      <c r="Q14" s="504"/>
      <c r="R14" s="498"/>
      <c r="S14" s="514"/>
      <c r="T14" s="504"/>
      <c r="U14" s="504"/>
      <c r="V14" s="504"/>
      <c r="W14" s="504"/>
      <c r="X14" s="504"/>
      <c r="Y14" s="504"/>
    </row>
    <row r="15" spans="2:25" ht="23.25" customHeight="1">
      <c r="B15" s="28" t="s">
        <v>23</v>
      </c>
      <c r="C15" s="29"/>
      <c r="D15" s="30"/>
      <c r="E15" s="31"/>
      <c r="F15" s="32"/>
      <c r="G15" s="33"/>
      <c r="H15" s="504"/>
      <c r="I15" s="504"/>
      <c r="J15" s="504"/>
      <c r="K15" s="34" t="s">
        <v>24</v>
      </c>
      <c r="L15" s="34" t="s">
        <v>25</v>
      </c>
      <c r="M15" s="34" t="s">
        <v>26</v>
      </c>
      <c r="N15" s="35" t="s">
        <v>27</v>
      </c>
      <c r="O15" s="34" t="s">
        <v>28</v>
      </c>
      <c r="P15" s="36" t="s">
        <v>29</v>
      </c>
      <c r="Q15" s="504"/>
      <c r="R15" s="498" t="s">
        <v>30</v>
      </c>
      <c r="S15" s="514" t="s">
        <v>12</v>
      </c>
      <c r="T15" s="504"/>
      <c r="U15" s="504"/>
      <c r="V15" s="504"/>
      <c r="W15" s="504"/>
      <c r="X15" s="504"/>
      <c r="Y15" s="504"/>
    </row>
    <row r="16" spans="2:25" ht="15" customHeight="1">
      <c r="B16" s="37" t="s">
        <v>31</v>
      </c>
      <c r="C16" s="38"/>
      <c r="D16" s="38"/>
      <c r="E16" s="38" t="s">
        <v>32</v>
      </c>
      <c r="F16" s="38" t="s">
        <v>26</v>
      </c>
      <c r="G16" s="38" t="s">
        <v>27</v>
      </c>
      <c r="H16" s="504"/>
      <c r="I16" s="504"/>
      <c r="J16" s="504"/>
      <c r="K16" s="17"/>
      <c r="L16" s="17"/>
      <c r="M16" s="17"/>
      <c r="N16" s="39"/>
      <c r="O16" s="40"/>
      <c r="P16" s="41"/>
      <c r="Q16" s="504"/>
      <c r="R16" s="668" t="s">
        <v>33</v>
      </c>
      <c r="S16" s="681" t="s">
        <v>12</v>
      </c>
      <c r="T16" s="504"/>
      <c r="U16" s="504"/>
      <c r="V16" s="504"/>
      <c r="W16" s="504"/>
      <c r="X16" s="504"/>
      <c r="Y16" s="504"/>
    </row>
    <row r="17" spans="2:25">
      <c r="B17" s="524" t="str">
        <f>'Kontoplan RR'!E6</f>
        <v>Befintligt</v>
      </c>
      <c r="C17" s="525"/>
      <c r="D17" s="525"/>
      <c r="E17" s="525">
        <f>SUMIF('2. Kalkyldata'!$E$23:$E$27,LEFT('1. Framskrivningsunderlag'!$B17,3),'2. Kalkyldata'!$H$23:$H$28)</f>
        <v>0</v>
      </c>
      <c r="F17" s="526">
        <f>SUMIF('2. Kalkyldata'!$E$23:$E$27,LEFT('1. Framskrivningsunderlag'!$B17,3),'2. Kalkyldata'!$W$23:$W$28)</f>
        <v>0</v>
      </c>
      <c r="G17" s="527">
        <f>IFERROR($M17/E17,0)</f>
        <v>0</v>
      </c>
      <c r="H17" s="504"/>
      <c r="I17" s="504"/>
      <c r="J17" s="504"/>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4"/>
      <c r="R17" s="668"/>
      <c r="S17" s="682"/>
      <c r="T17" s="504"/>
      <c r="U17" s="504"/>
      <c r="V17" s="504"/>
      <c r="W17" s="504"/>
      <c r="X17" s="504"/>
      <c r="Y17" s="504"/>
    </row>
    <row r="18" spans="2:25">
      <c r="B18" s="524" t="str">
        <f>'Kontoplan RR'!E7</f>
        <v>Ombyggnad</v>
      </c>
      <c r="C18" s="525"/>
      <c r="D18" s="525"/>
      <c r="E18" s="525">
        <f>SUMIF('2. Kalkyldata'!$E$23:$E$27,LEFT('1. Framskrivningsunderlag'!$B18,3),'2. Kalkyldata'!$H$23:$H$28)</f>
        <v>0</v>
      </c>
      <c r="F18" s="526">
        <f>SUMIF('2. Kalkyldata'!$E$23:$E$27,LEFT('1. Framskrivningsunderlag'!$B18,3),'2. Kalkyldata'!$W$23:$W$28)</f>
        <v>0</v>
      </c>
      <c r="G18" s="527">
        <f t="shared" ref="G18:G21" si="1">IFERROR($M18/E18,0)</f>
        <v>0</v>
      </c>
      <c r="H18" s="504"/>
      <c r="I18" s="504"/>
      <c r="J18" s="504"/>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4"/>
      <c r="R18" s="498" t="s">
        <v>34</v>
      </c>
      <c r="S18" s="514" t="s">
        <v>12</v>
      </c>
      <c r="T18" s="504"/>
      <c r="U18" s="504"/>
      <c r="V18" s="504"/>
      <c r="W18" s="504"/>
      <c r="X18" s="504"/>
      <c r="Y18" s="504"/>
    </row>
    <row r="19" spans="2:25">
      <c r="B19" s="524" t="str">
        <f>'Kontoplan RR'!E8</f>
        <v>Nybyggnad</v>
      </c>
      <c r="C19" s="525"/>
      <c r="D19" s="525"/>
      <c r="E19" s="525">
        <f>SUMIF('2. Kalkyldata'!$E$23:$E$27,LEFT('1. Framskrivningsunderlag'!$B19,3),'2. Kalkyldata'!$H$23:$H$28)</f>
        <v>6100</v>
      </c>
      <c r="F19" s="526">
        <f>SUMIF('2. Kalkyldata'!$E$23:$E$27,LEFT('1. Framskrivningsunderlag'!$B19,3),'2. Kalkyldata'!$W$23:$W$28)</f>
        <v>239999999.99999997</v>
      </c>
      <c r="G19" s="527">
        <f t="shared" si="1"/>
        <v>39344.262295081964</v>
      </c>
      <c r="H19" s="504"/>
      <c r="I19" s="504"/>
      <c r="J19" s="504"/>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4"/>
      <c r="R19" s="498" t="s">
        <v>35</v>
      </c>
      <c r="S19" s="514" t="s">
        <v>12</v>
      </c>
      <c r="T19" s="504"/>
      <c r="U19" s="504"/>
      <c r="V19" s="504"/>
      <c r="W19" s="504"/>
      <c r="X19" s="504"/>
      <c r="Y19" s="504"/>
    </row>
    <row r="20" spans="2:25">
      <c r="B20" s="524" t="str">
        <f>'Kontoplan RR'!E9</f>
        <v>Installationer</v>
      </c>
      <c r="C20" s="525"/>
      <c r="D20" s="525"/>
      <c r="E20" s="525">
        <f>SUMIF('2. Kalkyldata'!$E$23:$E$27,LEFT('1. Framskrivningsunderlag'!$B20,3),'2. Kalkyldata'!$H$23:$H$28)</f>
        <v>0</v>
      </c>
      <c r="F20" s="526">
        <f>SUMIF('2. Kalkyldata'!$E$23:$E$27,LEFT('1. Framskrivningsunderlag'!$B20,3),'2. Kalkyldata'!$W$23:$W$28)</f>
        <v>0</v>
      </c>
      <c r="G20" s="527">
        <f t="shared" si="1"/>
        <v>0</v>
      </c>
      <c r="H20" s="504"/>
      <c r="I20" s="504"/>
      <c r="J20" s="504"/>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4"/>
      <c r="R20" s="498" t="s">
        <v>36</v>
      </c>
      <c r="S20" s="514" t="s">
        <v>12</v>
      </c>
      <c r="T20" s="504"/>
      <c r="U20" s="504"/>
      <c r="V20" s="504"/>
      <c r="W20" s="504"/>
      <c r="X20" s="504"/>
      <c r="Y20" s="504"/>
    </row>
    <row r="21" spans="2:25">
      <c r="B21" s="524" t="str">
        <f>'Kontoplan RR'!E10</f>
        <v>Mark</v>
      </c>
      <c r="C21" s="525"/>
      <c r="D21" s="528"/>
      <c r="E21" s="525">
        <f>SUMIF('2. Kalkyldata'!$E$23:$E$27,LEFT('1. Framskrivningsunderlag'!$B21,3),'2. Kalkyldata'!$H$23:$H$28)</f>
        <v>0</v>
      </c>
      <c r="F21" s="526">
        <f>SUMIF('2. Kalkyldata'!$E$23:$E$27,LEFT('1. Framskrivningsunderlag'!$B21,3),'2. Kalkyldata'!$W$23:$W$28)</f>
        <v>0</v>
      </c>
      <c r="G21" s="527">
        <f t="shared" si="1"/>
        <v>0</v>
      </c>
      <c r="H21" s="504"/>
      <c r="I21" s="504"/>
      <c r="J21" s="504"/>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4"/>
      <c r="R21" s="498" t="s">
        <v>37</v>
      </c>
      <c r="S21" s="514" t="s">
        <v>12</v>
      </c>
      <c r="T21" s="504"/>
      <c r="U21" s="504"/>
      <c r="V21" s="504"/>
      <c r="W21" s="504"/>
      <c r="X21" s="504"/>
      <c r="Y21" s="504"/>
    </row>
    <row r="22" spans="2:25" ht="15" customHeight="1">
      <c r="B22" s="47" t="s">
        <v>38</v>
      </c>
      <c r="C22" s="48"/>
      <c r="D22" s="49"/>
      <c r="E22" s="48">
        <f>SUM(E17:E21)</f>
        <v>6100</v>
      </c>
      <c r="F22" s="50">
        <f>SUM(F17:F21)</f>
        <v>239999999.99999997</v>
      </c>
      <c r="G22" s="51">
        <f t="shared" ref="G22" si="4">IFERROR($M22/D22,0)</f>
        <v>0</v>
      </c>
      <c r="H22" s="504"/>
      <c r="I22" s="504"/>
      <c r="J22" s="504"/>
      <c r="K22" s="52">
        <f>SUM(K17:K21)</f>
        <v>6100</v>
      </c>
      <c r="L22" s="53">
        <f t="shared" si="0"/>
        <v>0</v>
      </c>
      <c r="M22" s="54">
        <f>SUM(M17:M21)</f>
        <v>239999999.99999997</v>
      </c>
      <c r="N22" s="44">
        <f t="shared" si="2"/>
        <v>39344.262295081964</v>
      </c>
      <c r="O22" s="45">
        <f t="shared" si="3"/>
        <v>0</v>
      </c>
      <c r="P22" s="55">
        <f>SUM(P17:P21)</f>
        <v>0</v>
      </c>
      <c r="Q22" s="504"/>
      <c r="R22" s="498" t="s">
        <v>39</v>
      </c>
      <c r="S22" s="501" t="s">
        <v>12</v>
      </c>
      <c r="T22" s="504"/>
      <c r="U22" s="504"/>
      <c r="V22" s="504"/>
      <c r="W22" s="504"/>
      <c r="X22" s="504"/>
      <c r="Y22" s="504"/>
    </row>
    <row r="23" spans="2:25" ht="15" customHeight="1">
      <c r="B23" s="56" t="s">
        <v>40</v>
      </c>
      <c r="C23" s="57"/>
      <c r="D23" s="58"/>
      <c r="E23" s="59"/>
      <c r="F23" s="59">
        <f>IFERROR('2. Kalkyldata'!$X$39/'2. Kalkyldata'!$H$28,0)</f>
        <v>0</v>
      </c>
      <c r="G23" s="60"/>
      <c r="H23" s="504"/>
      <c r="I23" s="504"/>
      <c r="J23" s="504"/>
      <c r="K23" s="52"/>
      <c r="L23" s="53"/>
      <c r="M23" s="54">
        <f>'2. Kalkyldata'!$X$39</f>
        <v>0</v>
      </c>
      <c r="N23"/>
      <c r="O23" s="62"/>
      <c r="P23" s="55"/>
      <c r="Q23" s="504"/>
      <c r="R23" s="498" t="s">
        <v>41</v>
      </c>
      <c r="S23" s="501" t="s">
        <v>12</v>
      </c>
      <c r="T23" s="504"/>
      <c r="U23" s="504"/>
      <c r="V23" s="504"/>
      <c r="W23" s="504"/>
      <c r="X23" s="504"/>
      <c r="Y23" s="504"/>
    </row>
    <row r="24" spans="2:25" ht="15" customHeight="1">
      <c r="B24" s="56" t="s">
        <v>42</v>
      </c>
      <c r="C24" s="57"/>
      <c r="D24" s="58"/>
      <c r="E24" s="59"/>
      <c r="F24" s="59">
        <v>0</v>
      </c>
      <c r="G24" s="60"/>
      <c r="H24" s="504"/>
      <c r="I24" s="504"/>
      <c r="J24" s="504"/>
      <c r="K24" s="52"/>
      <c r="L24" s="53"/>
      <c r="M24" s="54"/>
      <c r="N24" s="61"/>
      <c r="O24" s="62"/>
      <c r="P24" s="55"/>
      <c r="Q24" s="504"/>
      <c r="R24" s="498" t="s">
        <v>424</v>
      </c>
      <c r="S24" s="501" t="s">
        <v>425</v>
      </c>
      <c r="T24" s="504"/>
      <c r="U24" s="504"/>
      <c r="V24" s="504"/>
      <c r="W24" s="504"/>
      <c r="X24" s="504"/>
      <c r="Y24" s="504"/>
    </row>
    <row r="25" spans="2:25" ht="15">
      <c r="B25" s="47" t="s">
        <v>43</v>
      </c>
      <c r="C25" s="48"/>
      <c r="D25" s="63"/>
      <c r="E25" s="50"/>
      <c r="F25" s="50">
        <f>F22+F23+F24</f>
        <v>239999999.99999997</v>
      </c>
      <c r="G25" s="64"/>
      <c r="H25" s="504"/>
      <c r="I25" s="504"/>
      <c r="J25" s="504"/>
      <c r="K25" s="529"/>
      <c r="L25" s="65"/>
      <c r="M25" s="529"/>
      <c r="N25" s="66">
        <f>'2. Kalkyldata'!$X$39/'2. Kalkyldata'!$H$28</f>
        <v>0</v>
      </c>
      <c r="O25" s="67"/>
      <c r="P25" s="68"/>
      <c r="Q25" s="504"/>
      <c r="R25" s="498"/>
      <c r="S25" s="501"/>
      <c r="T25" s="504"/>
      <c r="U25" s="504"/>
      <c r="V25" s="504"/>
      <c r="W25" s="504"/>
      <c r="X25" s="504"/>
      <c r="Y25" s="504"/>
    </row>
    <row r="26" spans="2:25" ht="8.1" customHeight="1">
      <c r="B26" s="69"/>
      <c r="C26" s="69"/>
      <c r="D26" s="69"/>
      <c r="E26" s="70"/>
      <c r="F26" s="71"/>
      <c r="G26" s="72"/>
      <c r="H26" s="504"/>
      <c r="I26" s="504"/>
      <c r="J26" s="504"/>
      <c r="K26" s="530"/>
      <c r="L26" s="74"/>
      <c r="M26" s="504"/>
      <c r="N26" s="75"/>
      <c r="O26" s="516"/>
      <c r="P26" s="504"/>
      <c r="Q26" s="504"/>
      <c r="R26" s="498"/>
      <c r="S26" s="501"/>
      <c r="T26" s="504"/>
      <c r="U26" s="504"/>
      <c r="V26" s="504"/>
      <c r="W26" s="504"/>
      <c r="X26" s="504"/>
      <c r="Y26" s="504"/>
    </row>
    <row r="27" spans="2:25" ht="15">
      <c r="B27" s="664" t="s">
        <v>44</v>
      </c>
      <c r="C27" s="665"/>
      <c r="D27" s="665"/>
      <c r="E27" s="665"/>
      <c r="F27" s="665"/>
      <c r="G27" s="666"/>
      <c r="H27" s="504"/>
      <c r="I27" s="504"/>
      <c r="J27" s="504"/>
      <c r="K27" s="530"/>
      <c r="L27" s="74"/>
      <c r="M27" s="504"/>
      <c r="N27" s="75"/>
      <c r="O27" s="516"/>
      <c r="P27" s="504"/>
      <c r="Q27" s="504"/>
      <c r="R27" s="498"/>
      <c r="S27" s="501"/>
      <c r="T27" s="504"/>
      <c r="U27" s="504"/>
      <c r="V27" s="504"/>
      <c r="W27" s="504"/>
      <c r="X27" s="504"/>
      <c r="Y27" s="504"/>
    </row>
    <row r="28" spans="2:25">
      <c r="B28" s="655" t="s">
        <v>5</v>
      </c>
      <c r="C28" s="656"/>
      <c r="D28" s="656"/>
      <c r="E28" s="656"/>
      <c r="F28" s="656"/>
      <c r="G28" s="657"/>
      <c r="H28" s="504"/>
      <c r="I28" s="504"/>
      <c r="J28" s="504"/>
      <c r="K28" s="530"/>
      <c r="L28" s="74"/>
      <c r="M28" s="504"/>
      <c r="N28" s="75"/>
      <c r="O28" s="516"/>
      <c r="P28" s="504"/>
      <c r="Q28" s="504"/>
      <c r="R28" s="498"/>
      <c r="S28" s="501"/>
      <c r="T28" s="504"/>
      <c r="U28" s="504"/>
      <c r="V28" s="504"/>
      <c r="W28" s="504"/>
      <c r="X28" s="504"/>
      <c r="Y28" s="504"/>
    </row>
    <row r="29" spans="2:25">
      <c r="B29" s="655"/>
      <c r="C29" s="656"/>
      <c r="D29" s="656"/>
      <c r="E29" s="656"/>
      <c r="F29" s="656"/>
      <c r="G29" s="657"/>
      <c r="H29" s="504"/>
      <c r="I29" s="504"/>
      <c r="J29" s="504"/>
      <c r="K29" s="530"/>
      <c r="L29" s="74"/>
      <c r="M29" s="75"/>
      <c r="N29" s="516"/>
      <c r="O29" s="504"/>
      <c r="P29" s="504"/>
      <c r="Q29" s="504"/>
      <c r="R29" s="531"/>
      <c r="S29" s="532"/>
      <c r="T29" s="504"/>
      <c r="U29" s="504"/>
      <c r="V29" s="504"/>
      <c r="W29" s="504"/>
      <c r="X29" s="504"/>
      <c r="Y29" s="504"/>
    </row>
    <row r="30" spans="2:25">
      <c r="B30" s="655"/>
      <c r="C30" s="656"/>
      <c r="D30" s="656"/>
      <c r="E30" s="656"/>
      <c r="F30" s="656"/>
      <c r="G30" s="657"/>
      <c r="H30" s="504"/>
      <c r="I30" s="504"/>
      <c r="J30" s="504"/>
      <c r="K30" s="530"/>
      <c r="L30" s="74"/>
      <c r="M30" s="75"/>
      <c r="N30" s="516"/>
      <c r="O30" s="504"/>
      <c r="P30" s="504"/>
      <c r="Q30" s="504"/>
      <c r="R30" s="504"/>
      <c r="S30" s="504"/>
      <c r="T30" s="504"/>
      <c r="U30" s="504"/>
      <c r="V30" s="504"/>
      <c r="W30" s="504"/>
      <c r="X30" s="504"/>
      <c r="Y30" s="504"/>
    </row>
    <row r="31" spans="2:25">
      <c r="B31" s="655"/>
      <c r="C31" s="656"/>
      <c r="D31" s="656"/>
      <c r="E31" s="656"/>
      <c r="F31" s="656"/>
      <c r="G31" s="657"/>
      <c r="H31" s="504"/>
      <c r="I31" s="504"/>
      <c r="J31" s="504"/>
      <c r="K31" s="530"/>
      <c r="L31" s="74"/>
      <c r="M31" s="75"/>
      <c r="N31" s="516"/>
      <c r="O31" s="504"/>
      <c r="P31" s="504"/>
      <c r="Q31" s="504"/>
      <c r="R31" s="504"/>
      <c r="S31" s="504"/>
      <c r="T31" s="504"/>
      <c r="U31" s="504"/>
      <c r="V31" s="504"/>
      <c r="W31" s="504"/>
      <c r="X31" s="504"/>
      <c r="Y31" s="504"/>
    </row>
    <row r="32" spans="2:25">
      <c r="B32" s="655"/>
      <c r="C32" s="656"/>
      <c r="D32" s="656"/>
      <c r="E32" s="656"/>
      <c r="F32" s="656"/>
      <c r="G32" s="657"/>
      <c r="H32" s="504"/>
      <c r="I32" s="504"/>
      <c r="J32" s="504"/>
      <c r="K32" s="530"/>
      <c r="L32" s="74"/>
      <c r="M32" s="75"/>
      <c r="N32" s="516"/>
      <c r="O32" s="504"/>
      <c r="P32" s="504"/>
      <c r="Q32" s="504"/>
      <c r="R32" s="504"/>
      <c r="S32" s="504"/>
      <c r="T32" s="504"/>
      <c r="U32" s="504"/>
      <c r="V32" s="504"/>
      <c r="W32" s="504"/>
      <c r="X32" s="504"/>
      <c r="Y32" s="504"/>
    </row>
    <row r="33" spans="2:25">
      <c r="B33" s="655"/>
      <c r="C33" s="656"/>
      <c r="D33" s="656"/>
      <c r="E33" s="656"/>
      <c r="F33" s="656"/>
      <c r="G33" s="657"/>
      <c r="H33" s="504"/>
      <c r="I33" s="504"/>
      <c r="J33" s="504"/>
      <c r="K33" s="530"/>
      <c r="L33" s="74"/>
      <c r="M33" s="75"/>
      <c r="N33" s="516"/>
      <c r="O33" s="504"/>
      <c r="P33" s="504"/>
      <c r="Q33" s="504"/>
      <c r="R33" s="504"/>
      <c r="S33" s="504"/>
      <c r="T33" s="504"/>
      <c r="U33" s="504"/>
      <c r="V33" s="504"/>
      <c r="W33" s="504"/>
      <c r="X33" s="504"/>
      <c r="Y33" s="504"/>
    </row>
    <row r="34" spans="2:25">
      <c r="B34" s="655"/>
      <c r="C34" s="656"/>
      <c r="D34" s="656"/>
      <c r="E34" s="656"/>
      <c r="F34" s="656"/>
      <c r="G34" s="657"/>
      <c r="H34" s="504"/>
      <c r="I34" s="504"/>
      <c r="J34" s="504"/>
      <c r="K34" s="530"/>
      <c r="L34" s="74"/>
      <c r="M34" s="75"/>
      <c r="N34" s="516"/>
      <c r="O34" s="504"/>
      <c r="P34" s="504"/>
      <c r="Q34" s="504"/>
      <c r="R34" s="504"/>
      <c r="S34" s="504"/>
      <c r="T34" s="504"/>
      <c r="U34" s="504"/>
      <c r="V34" s="504"/>
      <c r="W34" s="504"/>
      <c r="X34" s="504"/>
      <c r="Y34" s="504"/>
    </row>
    <row r="35" spans="2:25" ht="15" customHeight="1">
      <c r="B35" s="669" t="s">
        <v>45</v>
      </c>
      <c r="C35" s="670"/>
      <c r="D35" s="670"/>
      <c r="E35" s="670" t="s">
        <v>46</v>
      </c>
      <c r="F35" s="670"/>
      <c r="G35" s="673"/>
      <c r="H35" s="504"/>
      <c r="I35" s="504"/>
      <c r="J35" s="504"/>
      <c r="K35" s="530"/>
      <c r="L35" s="74"/>
      <c r="M35" s="75"/>
      <c r="N35" s="516"/>
      <c r="O35" s="504"/>
      <c r="P35" s="504"/>
      <c r="Q35" s="504"/>
      <c r="R35" s="504"/>
      <c r="S35" s="504"/>
      <c r="T35" s="504"/>
      <c r="U35" s="504"/>
      <c r="V35" s="504"/>
      <c r="W35" s="504"/>
      <c r="X35" s="504"/>
      <c r="Y35" s="504"/>
    </row>
    <row r="36" spans="2:25" ht="15" customHeight="1">
      <c r="B36" s="669"/>
      <c r="C36" s="670"/>
      <c r="D36" s="670"/>
      <c r="E36" s="670"/>
      <c r="F36" s="670"/>
      <c r="G36" s="673"/>
      <c r="H36" s="504"/>
      <c r="I36" s="504"/>
      <c r="J36" s="504"/>
      <c r="K36" s="530"/>
      <c r="L36" s="74"/>
      <c r="M36" s="75"/>
      <c r="N36" s="516"/>
      <c r="O36" s="504"/>
      <c r="P36" s="504"/>
      <c r="Q36" s="504"/>
      <c r="R36" s="504"/>
      <c r="S36" s="504"/>
      <c r="T36" s="504"/>
      <c r="U36" s="504"/>
      <c r="V36" s="504"/>
      <c r="W36" s="504"/>
      <c r="X36" s="504"/>
      <c r="Y36" s="504"/>
    </row>
    <row r="37" spans="2:25" ht="15" customHeight="1">
      <c r="B37" s="669"/>
      <c r="C37" s="670"/>
      <c r="D37" s="670"/>
      <c r="E37" s="670"/>
      <c r="F37" s="670"/>
      <c r="G37" s="673"/>
      <c r="H37" s="504"/>
      <c r="I37" s="504"/>
      <c r="J37" s="504"/>
      <c r="K37" s="530"/>
      <c r="L37" s="74"/>
      <c r="M37" s="75"/>
      <c r="N37" s="516"/>
      <c r="O37" s="504"/>
      <c r="P37" s="504"/>
      <c r="Q37" s="504"/>
      <c r="R37" s="504"/>
      <c r="S37" s="504"/>
      <c r="T37" s="504"/>
      <c r="U37" s="504"/>
      <c r="V37" s="504"/>
      <c r="W37" s="504"/>
      <c r="X37" s="504"/>
      <c r="Y37" s="504"/>
    </row>
    <row r="38" spans="2:25" ht="15" customHeight="1">
      <c r="B38" s="669"/>
      <c r="C38" s="670"/>
      <c r="D38" s="670"/>
      <c r="E38" s="670"/>
      <c r="F38" s="670"/>
      <c r="G38" s="673"/>
      <c r="H38" s="504"/>
      <c r="I38" s="504"/>
      <c r="J38" s="504"/>
      <c r="K38" s="530"/>
      <c r="L38" s="74"/>
      <c r="M38" s="75"/>
      <c r="N38" s="516"/>
      <c r="O38" s="504"/>
      <c r="P38" s="504"/>
      <c r="Q38" s="504"/>
      <c r="R38" s="504"/>
      <c r="S38" s="504"/>
      <c r="T38" s="504"/>
      <c r="U38" s="504"/>
      <c r="V38" s="504"/>
      <c r="W38" s="504"/>
      <c r="X38" s="504"/>
      <c r="Y38" s="504"/>
    </row>
    <row r="39" spans="2:25" ht="15" customHeight="1">
      <c r="B39" s="669"/>
      <c r="C39" s="670"/>
      <c r="D39" s="670"/>
      <c r="E39" s="670"/>
      <c r="F39" s="670"/>
      <c r="G39" s="673"/>
      <c r="H39" s="504"/>
      <c r="I39" s="504"/>
      <c r="J39" s="504"/>
      <c r="K39" s="530"/>
      <c r="L39" s="74"/>
      <c r="M39" s="75"/>
      <c r="N39" s="516"/>
      <c r="O39" s="504"/>
      <c r="P39" s="504"/>
      <c r="Q39" s="504"/>
      <c r="R39" s="504"/>
      <c r="S39" s="504"/>
      <c r="T39" s="504"/>
      <c r="U39" s="504"/>
      <c r="V39" s="504"/>
      <c r="W39" s="504"/>
      <c r="X39" s="504"/>
      <c r="Y39" s="504"/>
    </row>
    <row r="40" spans="2:25" ht="15" customHeight="1">
      <c r="B40" s="669"/>
      <c r="C40" s="670"/>
      <c r="D40" s="670"/>
      <c r="E40" s="670"/>
      <c r="F40" s="670"/>
      <c r="G40" s="673"/>
      <c r="H40" s="504"/>
      <c r="I40" s="504"/>
      <c r="J40" s="504"/>
      <c r="K40" s="530"/>
      <c r="L40" s="74"/>
      <c r="M40" s="75"/>
      <c r="N40" s="516"/>
      <c r="O40" s="504"/>
      <c r="P40" s="504"/>
      <c r="Q40" s="504"/>
      <c r="R40" s="504"/>
      <c r="S40" s="504"/>
      <c r="T40" s="504"/>
      <c r="U40" s="504"/>
      <c r="V40" s="504"/>
      <c r="W40" s="504"/>
      <c r="X40" s="504"/>
      <c r="Y40" s="504"/>
    </row>
    <row r="41" spans="2:25" ht="15" customHeight="1">
      <c r="B41" s="669"/>
      <c r="C41" s="670"/>
      <c r="D41" s="670"/>
      <c r="E41" s="670"/>
      <c r="F41" s="670"/>
      <c r="G41" s="673"/>
      <c r="H41" s="504"/>
      <c r="I41" s="504"/>
      <c r="J41" s="504"/>
      <c r="K41" s="530"/>
      <c r="L41" s="74"/>
      <c r="M41" s="75"/>
      <c r="N41" s="516"/>
      <c r="O41" s="504"/>
      <c r="P41" s="504"/>
      <c r="Q41" s="504"/>
      <c r="R41" s="504"/>
      <c r="S41" s="504"/>
      <c r="T41" s="504"/>
      <c r="U41" s="504"/>
      <c r="V41" s="504"/>
      <c r="W41" s="504"/>
      <c r="X41" s="504"/>
      <c r="Y41" s="504"/>
    </row>
    <row r="42" spans="2:25" ht="15" customHeight="1">
      <c r="B42" s="669"/>
      <c r="C42" s="670"/>
      <c r="D42" s="670"/>
      <c r="E42" s="670"/>
      <c r="F42" s="670"/>
      <c r="G42" s="673"/>
      <c r="H42" s="504"/>
      <c r="I42" s="504"/>
      <c r="J42" s="504"/>
      <c r="K42" s="530"/>
      <c r="L42" s="74"/>
      <c r="M42" s="75"/>
      <c r="N42" s="516"/>
      <c r="O42" s="504"/>
      <c r="P42" s="504"/>
      <c r="Q42" s="504"/>
      <c r="R42" s="504"/>
      <c r="S42" s="504"/>
      <c r="T42" s="504"/>
      <c r="U42" s="504"/>
      <c r="V42" s="504"/>
      <c r="W42" s="504"/>
      <c r="X42" s="504"/>
      <c r="Y42" s="504"/>
    </row>
    <row r="43" spans="2:25" ht="15" customHeight="1">
      <c r="B43" s="669"/>
      <c r="C43" s="670"/>
      <c r="D43" s="670"/>
      <c r="E43" s="670"/>
      <c r="F43" s="670"/>
      <c r="G43" s="673"/>
      <c r="H43" s="504"/>
      <c r="I43" s="504"/>
      <c r="J43" s="504"/>
      <c r="K43" s="530"/>
      <c r="L43" s="74"/>
      <c r="M43" s="75"/>
      <c r="N43" s="516"/>
      <c r="O43" s="504"/>
      <c r="P43" s="504"/>
      <c r="Q43" s="504"/>
      <c r="R43" s="504"/>
      <c r="S43" s="504"/>
      <c r="T43" s="504"/>
      <c r="U43" s="504"/>
      <c r="V43" s="504"/>
      <c r="W43" s="504"/>
      <c r="X43" s="504"/>
      <c r="Y43" s="504"/>
    </row>
    <row r="44" spans="2:25" ht="15" customHeight="1">
      <c r="B44" s="669"/>
      <c r="C44" s="670"/>
      <c r="D44" s="670"/>
      <c r="E44" s="670"/>
      <c r="F44" s="670"/>
      <c r="G44" s="673"/>
      <c r="H44" s="504"/>
      <c r="I44" s="504"/>
      <c r="J44" s="504"/>
      <c r="K44" s="530"/>
      <c r="L44" s="74"/>
      <c r="M44" s="75"/>
      <c r="N44" s="516"/>
      <c r="O44" s="504"/>
      <c r="P44" s="504"/>
      <c r="Q44" s="504"/>
      <c r="R44" s="504"/>
      <c r="S44" s="504"/>
      <c r="T44" s="504"/>
      <c r="U44" s="504"/>
      <c r="V44" s="504"/>
      <c r="W44" s="504"/>
      <c r="X44" s="504"/>
      <c r="Y44" s="504"/>
    </row>
    <row r="45" spans="2:25" ht="15" customHeight="1">
      <c r="B45" s="669"/>
      <c r="C45" s="670"/>
      <c r="D45" s="670"/>
      <c r="E45" s="670"/>
      <c r="F45" s="670"/>
      <c r="G45" s="673"/>
      <c r="H45" s="504"/>
      <c r="I45" s="504"/>
      <c r="J45" s="504"/>
      <c r="K45" s="530"/>
      <c r="L45" s="74"/>
      <c r="M45" s="75"/>
      <c r="N45" s="516"/>
      <c r="O45" s="504"/>
      <c r="P45" s="504"/>
      <c r="Q45" s="504"/>
      <c r="R45" s="504"/>
      <c r="S45" s="504"/>
      <c r="T45" s="504"/>
      <c r="U45" s="504"/>
      <c r="V45" s="504"/>
      <c r="W45" s="504"/>
      <c r="X45" s="504"/>
      <c r="Y45" s="504"/>
    </row>
    <row r="46" spans="2:25" ht="15" customHeight="1">
      <c r="B46" s="669"/>
      <c r="C46" s="670"/>
      <c r="D46" s="670"/>
      <c r="E46" s="670"/>
      <c r="F46" s="670"/>
      <c r="G46" s="673"/>
      <c r="H46" s="504"/>
      <c r="I46" s="504"/>
      <c r="J46" s="504"/>
      <c r="K46" s="530"/>
      <c r="L46" s="74"/>
      <c r="M46" s="75"/>
      <c r="N46" s="516"/>
      <c r="O46" s="504"/>
      <c r="P46" s="504"/>
      <c r="Q46" s="504"/>
      <c r="R46" s="504"/>
      <c r="S46" s="504"/>
      <c r="T46" s="504"/>
      <c r="U46" s="504"/>
      <c r="V46" s="504"/>
      <c r="W46" s="504"/>
      <c r="X46" s="504"/>
      <c r="Y46" s="504"/>
    </row>
    <row r="47" spans="2:25" ht="15" customHeight="1">
      <c r="B47" s="669"/>
      <c r="C47" s="670"/>
      <c r="D47" s="670"/>
      <c r="E47" s="670"/>
      <c r="F47" s="670"/>
      <c r="G47" s="673"/>
      <c r="H47" s="504"/>
      <c r="I47" s="504"/>
      <c r="J47" s="504"/>
      <c r="K47" s="530"/>
      <c r="L47" s="74"/>
      <c r="M47" s="75"/>
      <c r="N47" s="516"/>
      <c r="O47" s="504"/>
      <c r="P47" s="504"/>
      <c r="Q47" s="504"/>
      <c r="R47" s="504"/>
      <c r="S47" s="504"/>
      <c r="T47" s="504"/>
      <c r="U47" s="504"/>
      <c r="V47" s="504"/>
      <c r="W47" s="504"/>
      <c r="X47" s="504"/>
      <c r="Y47" s="504"/>
    </row>
    <row r="48" spans="2:25" ht="15" customHeight="1">
      <c r="B48" s="669"/>
      <c r="C48" s="670"/>
      <c r="D48" s="670"/>
      <c r="E48" s="670"/>
      <c r="F48" s="670"/>
      <c r="G48" s="673"/>
      <c r="H48" s="504"/>
      <c r="I48" s="504"/>
      <c r="J48" s="504"/>
      <c r="K48" s="530"/>
      <c r="L48" s="74"/>
      <c r="M48" s="75"/>
      <c r="N48" s="516"/>
      <c r="O48" s="504"/>
      <c r="P48" s="504"/>
      <c r="Q48" s="504"/>
      <c r="R48" s="504"/>
      <c r="S48" s="504"/>
      <c r="T48" s="504"/>
      <c r="U48" s="504"/>
      <c r="V48" s="504"/>
      <c r="W48" s="504"/>
      <c r="X48" s="504"/>
      <c r="Y48" s="504"/>
    </row>
    <row r="49" spans="2:25" ht="15" customHeight="1">
      <c r="B49" s="669"/>
      <c r="C49" s="670"/>
      <c r="D49" s="670"/>
      <c r="E49" s="670"/>
      <c r="F49" s="670"/>
      <c r="G49" s="673"/>
      <c r="H49" s="504"/>
      <c r="I49" s="504"/>
      <c r="J49" s="504"/>
      <c r="K49" s="530"/>
      <c r="L49" s="504"/>
      <c r="M49" s="75"/>
      <c r="N49" s="504"/>
      <c r="O49" s="504"/>
      <c r="P49" s="504"/>
      <c r="Q49" s="504"/>
      <c r="R49" s="504"/>
      <c r="S49" s="504"/>
      <c r="T49" s="504"/>
      <c r="U49" s="504"/>
      <c r="V49" s="504"/>
      <c r="W49" s="504"/>
      <c r="X49" s="504"/>
      <c r="Y49" s="504"/>
    </row>
    <row r="50" spans="2:25" ht="15" customHeight="1">
      <c r="B50" s="669"/>
      <c r="C50" s="670"/>
      <c r="D50" s="670"/>
      <c r="E50" s="670"/>
      <c r="F50" s="670"/>
      <c r="G50" s="673"/>
      <c r="H50" s="504"/>
      <c r="I50" s="504"/>
      <c r="J50" s="504"/>
      <c r="K50" s="530"/>
      <c r="L50" s="504"/>
      <c r="M50" s="75"/>
      <c r="N50" s="504"/>
      <c r="O50" s="504"/>
      <c r="P50" s="504"/>
      <c r="Q50" s="504"/>
      <c r="R50" s="504"/>
      <c r="S50" s="504"/>
      <c r="T50" s="504"/>
      <c r="U50" s="504"/>
      <c r="V50" s="504"/>
      <c r="W50" s="504"/>
      <c r="X50" s="504"/>
      <c r="Y50" s="504"/>
    </row>
    <row r="51" spans="2:25" ht="15" customHeight="1">
      <c r="B51" s="669"/>
      <c r="C51" s="670"/>
      <c r="D51" s="670"/>
      <c r="E51" s="670"/>
      <c r="F51" s="670"/>
      <c r="G51" s="673"/>
      <c r="H51" s="504"/>
      <c r="I51" s="504"/>
      <c r="J51" s="504"/>
      <c r="K51" s="530"/>
      <c r="L51" s="504"/>
      <c r="M51" s="75"/>
      <c r="N51" s="504"/>
      <c r="O51" s="504"/>
      <c r="P51" s="504"/>
      <c r="Q51" s="504"/>
      <c r="R51" s="504"/>
      <c r="S51" s="504"/>
      <c r="T51" s="504"/>
      <c r="U51" s="504"/>
      <c r="V51" s="504"/>
      <c r="W51" s="504"/>
      <c r="X51" s="504"/>
      <c r="Y51" s="504"/>
    </row>
    <row r="52" spans="2:25" ht="15" customHeight="1">
      <c r="B52" s="671"/>
      <c r="C52" s="672"/>
      <c r="D52" s="672"/>
      <c r="E52" s="672"/>
      <c r="F52" s="672"/>
      <c r="G52" s="674"/>
      <c r="H52" s="504"/>
      <c r="I52" s="504"/>
      <c r="J52" s="504"/>
      <c r="K52" s="530"/>
      <c r="L52" s="504"/>
      <c r="M52" s="75"/>
      <c r="N52" s="504"/>
      <c r="O52" s="504"/>
      <c r="P52" s="504"/>
      <c r="Q52" s="504"/>
      <c r="R52" s="504"/>
      <c r="S52" s="504"/>
      <c r="T52" s="504"/>
      <c r="U52" s="504"/>
      <c r="V52" s="504"/>
      <c r="W52" s="504"/>
      <c r="X52" s="504"/>
      <c r="Y52" s="504"/>
    </row>
    <row r="53" spans="2:25">
      <c r="B53" s="76"/>
      <c r="C53" s="76"/>
      <c r="D53" s="76"/>
      <c r="E53" s="76"/>
      <c r="F53" s="76"/>
      <c r="G53" s="76"/>
      <c r="H53" s="76"/>
      <c r="I53" s="76"/>
      <c r="J53" s="76"/>
      <c r="K53" s="530"/>
      <c r="L53" s="504"/>
      <c r="M53" s="504"/>
      <c r="N53" s="504"/>
      <c r="O53" s="504"/>
      <c r="P53" s="504"/>
      <c r="Q53" s="504"/>
      <c r="R53" s="504"/>
      <c r="S53" s="504"/>
      <c r="T53" s="504"/>
      <c r="U53" s="504"/>
      <c r="V53" s="504"/>
      <c r="W53" s="504"/>
      <c r="X53" s="504"/>
      <c r="Y53" s="504"/>
    </row>
    <row r="54" spans="2:25" ht="23.25">
      <c r="B54" s="28" t="s">
        <v>47</v>
      </c>
      <c r="C54" s="29"/>
      <c r="D54" s="30"/>
      <c r="E54" s="31"/>
      <c r="F54" s="32"/>
      <c r="G54" s="33"/>
      <c r="H54" s="504"/>
      <c r="I54" s="504"/>
      <c r="J54" s="504"/>
      <c r="K54" s="26"/>
      <c r="L54" s="26"/>
      <c r="M54" s="77"/>
      <c r="N54" s="78"/>
      <c r="O54" s="79"/>
      <c r="P54" s="504"/>
      <c r="Q54" s="504"/>
      <c r="R54" s="504"/>
      <c r="S54" s="504"/>
      <c r="T54" s="504"/>
      <c r="U54" s="504"/>
      <c r="V54" s="504"/>
      <c r="W54" s="504"/>
      <c r="X54" s="504"/>
      <c r="Y54" s="504"/>
    </row>
    <row r="55" spans="2:25" ht="15">
      <c r="B55" s="80" t="s">
        <v>48</v>
      </c>
      <c r="C55" s="81"/>
      <c r="D55" s="82"/>
      <c r="E55" s="82"/>
      <c r="F55" s="82"/>
      <c r="G55" s="83">
        <v>0</v>
      </c>
      <c r="H55" s="504"/>
      <c r="I55" s="504"/>
      <c r="J55" s="504"/>
      <c r="K55" s="530"/>
      <c r="L55" s="504"/>
      <c r="M55" s="504"/>
      <c r="N55" s="504"/>
      <c r="O55" s="504"/>
      <c r="P55" s="504"/>
      <c r="Q55" s="504"/>
      <c r="R55" s="504"/>
      <c r="S55" s="504"/>
      <c r="T55" s="504"/>
      <c r="U55" s="504"/>
      <c r="V55" s="504"/>
      <c r="W55" s="504"/>
      <c r="X55" s="504"/>
      <c r="Y55" s="504"/>
    </row>
    <row r="56" spans="2:25" ht="8.1" customHeight="1">
      <c r="B56" s="84"/>
      <c r="C56" s="84"/>
      <c r="D56" s="533"/>
      <c r="E56" s="534"/>
      <c r="F56" s="534"/>
      <c r="G56" s="535"/>
      <c r="H56" s="504"/>
      <c r="I56" s="504"/>
      <c r="J56" s="504"/>
      <c r="K56" s="530"/>
      <c r="L56" s="504"/>
      <c r="M56" s="504"/>
      <c r="N56" s="504"/>
      <c r="O56" s="504"/>
      <c r="P56" s="504"/>
      <c r="Q56" s="504"/>
      <c r="R56" s="504"/>
      <c r="S56" s="504"/>
      <c r="T56" s="504"/>
      <c r="U56" s="504"/>
      <c r="V56" s="504"/>
      <c r="W56" s="504"/>
      <c r="X56" s="504"/>
      <c r="Y56" s="504"/>
    </row>
    <row r="57" spans="2:25" ht="15">
      <c r="B57" s="37" t="s">
        <v>49</v>
      </c>
      <c r="C57" s="15"/>
      <c r="D57" s="508"/>
      <c r="E57" s="508"/>
      <c r="F57" s="508"/>
      <c r="G57" s="536"/>
      <c r="H57" s="504"/>
      <c r="I57" s="504"/>
      <c r="J57" s="504"/>
      <c r="K57" s="85" t="s">
        <v>50</v>
      </c>
      <c r="L57" s="86"/>
      <c r="M57" s="87"/>
      <c r="N57" s="88"/>
      <c r="O57" s="88" t="s">
        <v>51</v>
      </c>
      <c r="P57" s="89" t="s">
        <v>52</v>
      </c>
      <c r="Q57" s="504"/>
      <c r="R57" s="504"/>
      <c r="S57" s="504"/>
      <c r="T57" s="504"/>
      <c r="U57" s="504"/>
      <c r="V57" s="504"/>
      <c r="W57" s="504"/>
      <c r="X57" s="504"/>
      <c r="Y57" s="504"/>
    </row>
    <row r="58" spans="2:25" ht="15" customHeight="1">
      <c r="B58" s="655" t="s">
        <v>53</v>
      </c>
      <c r="C58" s="656"/>
      <c r="D58" s="656"/>
      <c r="E58" s="656"/>
      <c r="F58" s="656"/>
      <c r="G58" s="657"/>
      <c r="H58" s="504"/>
      <c r="I58" s="504"/>
      <c r="J58" s="504"/>
      <c r="K58" s="90" t="s">
        <v>54</v>
      </c>
      <c r="L58" s="69"/>
      <c r="M58" s="76"/>
      <c r="N58" s="91"/>
      <c r="O58" s="92">
        <v>0</v>
      </c>
      <c r="P58" s="93">
        <v>0</v>
      </c>
      <c r="Q58" s="504"/>
      <c r="R58" s="504"/>
      <c r="S58" s="504"/>
      <c r="T58" s="504"/>
      <c r="U58" s="504"/>
      <c r="V58" s="504"/>
      <c r="W58" s="504"/>
      <c r="X58" s="504"/>
      <c r="Y58" s="504"/>
    </row>
    <row r="59" spans="2:25" ht="15">
      <c r="B59" s="655"/>
      <c r="C59" s="656"/>
      <c r="D59" s="656"/>
      <c r="E59" s="656"/>
      <c r="F59" s="656"/>
      <c r="G59" s="657"/>
      <c r="H59" s="504"/>
      <c r="I59" s="504"/>
      <c r="J59" s="504"/>
      <c r="K59" s="90" t="s">
        <v>55</v>
      </c>
      <c r="L59" s="69"/>
      <c r="M59" s="76"/>
      <c r="N59" s="91"/>
      <c r="O59" s="92">
        <v>0</v>
      </c>
      <c r="P59" s="93">
        <v>0</v>
      </c>
      <c r="Q59" s="504"/>
      <c r="R59" s="504"/>
      <c r="S59" s="504"/>
      <c r="T59" s="504"/>
      <c r="U59" s="504"/>
      <c r="V59" s="504"/>
      <c r="W59" s="504"/>
      <c r="X59" s="504"/>
      <c r="Y59" s="504"/>
    </row>
    <row r="60" spans="2:25" ht="15">
      <c r="B60" s="655"/>
      <c r="C60" s="656"/>
      <c r="D60" s="656"/>
      <c r="E60" s="656"/>
      <c r="F60" s="656"/>
      <c r="G60" s="657"/>
      <c r="H60" s="504"/>
      <c r="I60" s="504"/>
      <c r="J60" s="504"/>
      <c r="K60" s="80" t="s">
        <v>56</v>
      </c>
      <c r="L60" s="81"/>
      <c r="M60" s="82"/>
      <c r="N60" s="94"/>
      <c r="O60" s="94">
        <f>SUM(O58:O59)</f>
        <v>0</v>
      </c>
      <c r="P60" s="95">
        <f>SUM(P58:P59)</f>
        <v>0</v>
      </c>
      <c r="Q60" s="504"/>
      <c r="R60" s="504"/>
      <c r="S60" s="504"/>
      <c r="T60" s="504"/>
      <c r="U60" s="504"/>
      <c r="V60" s="504"/>
      <c r="W60" s="504"/>
      <c r="X60" s="504"/>
      <c r="Y60" s="504"/>
    </row>
    <row r="61" spans="2:25" ht="15" customHeight="1">
      <c r="B61" s="655"/>
      <c r="C61" s="656"/>
      <c r="D61" s="656"/>
      <c r="E61" s="656"/>
      <c r="F61" s="656"/>
      <c r="G61" s="657"/>
      <c r="H61" s="504"/>
      <c r="I61" s="504"/>
      <c r="J61" s="504"/>
      <c r="K61" s="530"/>
      <c r="L61" s="504"/>
      <c r="M61" s="504"/>
      <c r="N61" s="504"/>
      <c r="O61" s="504"/>
      <c r="P61" s="504"/>
      <c r="Q61" s="504"/>
      <c r="R61" s="504"/>
      <c r="S61" s="504"/>
      <c r="T61" s="504"/>
      <c r="U61" s="504"/>
      <c r="V61" s="504"/>
      <c r="W61" s="504"/>
      <c r="X61" s="504"/>
      <c r="Y61" s="504"/>
    </row>
    <row r="62" spans="2:25">
      <c r="B62" s="655"/>
      <c r="C62" s="656"/>
      <c r="D62" s="656"/>
      <c r="E62" s="656"/>
      <c r="F62" s="656"/>
      <c r="G62" s="657"/>
      <c r="H62" s="504"/>
      <c r="I62" s="504"/>
      <c r="J62" s="504"/>
      <c r="K62" s="530"/>
      <c r="L62" s="504"/>
      <c r="M62" s="504"/>
      <c r="N62" s="504"/>
      <c r="O62" s="504"/>
      <c r="P62" s="504"/>
      <c r="Q62" s="504"/>
      <c r="R62" s="504"/>
      <c r="S62" s="504"/>
      <c r="T62" s="504"/>
      <c r="U62" s="504"/>
      <c r="V62" s="504"/>
      <c r="W62" s="504"/>
      <c r="X62" s="504"/>
      <c r="Y62" s="504"/>
    </row>
    <row r="63" spans="2:25">
      <c r="B63" s="658"/>
      <c r="C63" s="659"/>
      <c r="D63" s="659"/>
      <c r="E63" s="659"/>
      <c r="F63" s="659"/>
      <c r="G63" s="660"/>
      <c r="H63" s="504"/>
      <c r="I63" s="504"/>
      <c r="J63" s="504"/>
      <c r="K63" s="530"/>
      <c r="L63" s="504"/>
      <c r="M63" s="504"/>
      <c r="N63" s="504"/>
      <c r="O63" s="504"/>
      <c r="P63" s="504"/>
      <c r="Q63" s="504"/>
      <c r="R63" s="504"/>
      <c r="S63" s="504"/>
      <c r="T63" s="504"/>
      <c r="U63" s="504"/>
      <c r="V63" s="504"/>
      <c r="W63" s="504"/>
      <c r="X63" s="504"/>
      <c r="Y63" s="504"/>
    </row>
    <row r="64" spans="2:25" ht="8.1" customHeight="1">
      <c r="B64" s="84"/>
      <c r="C64" s="84"/>
      <c r="D64" s="533"/>
      <c r="E64" s="534"/>
      <c r="F64" s="534"/>
      <c r="G64" s="535"/>
      <c r="H64" s="504"/>
      <c r="I64" s="504"/>
      <c r="J64" s="504"/>
      <c r="K64" s="530"/>
      <c r="L64" s="504"/>
      <c r="M64" s="504"/>
      <c r="N64" s="504"/>
      <c r="O64" s="504"/>
      <c r="P64" s="504"/>
      <c r="Q64" s="504"/>
      <c r="R64" s="504"/>
      <c r="S64" s="504"/>
      <c r="T64" s="504"/>
      <c r="U64" s="504"/>
      <c r="V64" s="504"/>
      <c r="W64" s="504"/>
      <c r="X64" s="504"/>
      <c r="Y64" s="504"/>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4"/>
      <c r="I65" s="504"/>
      <c r="J65" s="504"/>
      <c r="K65" s="530"/>
      <c r="L65" s="504"/>
      <c r="M65" s="504"/>
      <c r="N65" s="504"/>
      <c r="O65" s="504"/>
      <c r="P65" s="504"/>
      <c r="Q65" s="504"/>
      <c r="R65" s="504"/>
      <c r="S65" s="504"/>
      <c r="T65" s="504"/>
      <c r="U65" s="504"/>
      <c r="V65" s="504"/>
      <c r="W65" s="504"/>
      <c r="X65" s="504"/>
      <c r="Y65" s="504"/>
    </row>
    <row r="66" spans="1:25" ht="15">
      <c r="B66" s="223" t="s">
        <v>399</v>
      </c>
      <c r="C66" s="756" t="s">
        <v>400</v>
      </c>
      <c r="D66" s="757" t="s">
        <v>401</v>
      </c>
      <c r="E66" s="225" t="s">
        <v>410</v>
      </c>
      <c r="F66" s="756" t="s">
        <v>422</v>
      </c>
      <c r="G66" s="226" t="s">
        <v>395</v>
      </c>
      <c r="H66" s="19"/>
      <c r="I66" s="504"/>
      <c r="J66" s="504"/>
      <c r="K66" s="530"/>
      <c r="L66" s="504"/>
      <c r="M66" s="504"/>
      <c r="N66" s="504"/>
      <c r="O66" s="504"/>
      <c r="P66" s="504"/>
      <c r="Q66" s="504"/>
      <c r="R66" s="504"/>
      <c r="S66" s="504"/>
      <c r="T66" s="504"/>
      <c r="U66" s="504"/>
      <c r="V66" s="504"/>
      <c r="W66" s="504"/>
      <c r="X66" s="504"/>
      <c r="Y66" s="504"/>
    </row>
    <row r="67" spans="1:25" ht="15">
      <c r="B67" s="154" t="str">
        <f>'5. IRR'!B55</f>
        <v>Optimistisk (−1,00 pp)</v>
      </c>
      <c r="C67" s="758">
        <f>'5. IRR'!C55</f>
        <v>5.5E-2</v>
      </c>
      <c r="D67" s="759">
        <f>'5. IRR'!E55</f>
        <v>8.6746597783198709E-2</v>
      </c>
      <c r="E67" s="158">
        <f>'5. IRR'!D55</f>
        <v>317318181.81818181</v>
      </c>
      <c r="F67" s="763">
        <f>'5. IRR'!H55</f>
        <v>2384</v>
      </c>
      <c r="G67" s="158">
        <f>'5. IRR'!F55</f>
        <v>32760000.00000003</v>
      </c>
      <c r="H67" s="19"/>
      <c r="I67" s="504"/>
      <c r="J67" s="504"/>
      <c r="K67" s="530"/>
      <c r="L67" s="504"/>
      <c r="M67" s="504"/>
      <c r="N67" s="504"/>
      <c r="O67" s="504"/>
      <c r="P67" s="504"/>
      <c r="Q67" s="504"/>
      <c r="R67" s="504"/>
      <c r="S67" s="504"/>
      <c r="T67" s="504"/>
      <c r="U67" s="504"/>
      <c r="V67" s="504"/>
      <c r="W67" s="504"/>
      <c r="X67" s="504"/>
      <c r="Y67" s="504"/>
    </row>
    <row r="68" spans="1:25" ht="15">
      <c r="B68" s="154" t="str">
        <f>'5. IRR'!B56</f>
        <v>Bedömt (Indata sektion 5)</v>
      </c>
      <c r="C68" s="758">
        <f>'5. IRR'!C56</f>
        <v>6.5000000000000002E-2</v>
      </c>
      <c r="D68" s="759">
        <f>'5. IRR'!E56</f>
        <v>8.0324062183164679E-2</v>
      </c>
      <c r="E68" s="158">
        <f>'5. IRR'!D56</f>
        <v>268500000</v>
      </c>
      <c r="F68" s="763">
        <f>'5. IRR'!H56</f>
        <v>2559</v>
      </c>
      <c r="G68" s="158">
        <f>'5. IRR'!F56</f>
        <v>10300000.00000003</v>
      </c>
      <c r="H68" s="19"/>
      <c r="I68" s="504"/>
      <c r="J68" s="504"/>
      <c r="K68" s="530"/>
      <c r="L68" s="504"/>
      <c r="M68" s="504"/>
      <c r="N68" s="504"/>
      <c r="O68" s="504"/>
      <c r="P68" s="504"/>
      <c r="Q68" s="504"/>
      <c r="R68" s="504"/>
      <c r="S68" s="504"/>
      <c r="T68" s="504"/>
      <c r="U68" s="504"/>
      <c r="V68" s="504"/>
      <c r="W68" s="504"/>
      <c r="X68" s="504"/>
      <c r="Y68" s="504"/>
    </row>
    <row r="69" spans="1:25" ht="15">
      <c r="B69" s="154" t="str">
        <f>'5. IRR'!B57</f>
        <v>Pessimistisk (+1,00 pp)</v>
      </c>
      <c r="C69" s="758">
        <f>'5. IRR'!C57</f>
        <v>7.4999999999999997E-2</v>
      </c>
      <c r="D69" s="759">
        <f>'5. IRR'!E57</f>
        <v>7.5045257152375866E-2</v>
      </c>
      <c r="E69" s="158">
        <f>'5. IRR'!D57</f>
        <v>232700000</v>
      </c>
      <c r="F69" s="763">
        <f>'5. IRR'!H57</f>
        <v>2693</v>
      </c>
      <c r="G69" s="158">
        <f>'5. IRR'!F57</f>
        <v>-4529999.9999999702</v>
      </c>
      <c r="H69" s="19"/>
      <c r="I69" s="504"/>
      <c r="J69" s="504"/>
      <c r="K69" s="530"/>
      <c r="L69" s="504"/>
      <c r="M69" s="504"/>
      <c r="N69" s="504"/>
      <c r="O69" s="504"/>
      <c r="P69" s="504"/>
      <c r="Q69" s="504"/>
      <c r="R69" s="504"/>
      <c r="S69" s="504"/>
      <c r="T69" s="504"/>
      <c r="U69" s="504"/>
      <c r="V69" s="504"/>
      <c r="W69" s="504"/>
      <c r="X69" s="504"/>
      <c r="Y69" s="504"/>
    </row>
    <row r="70" spans="1:25" ht="8.1" customHeight="1">
      <c r="B70" s="84"/>
      <c r="C70" s="84"/>
      <c r="D70" s="533"/>
      <c r="E70" s="534"/>
      <c r="F70" s="534"/>
      <c r="G70" s="535"/>
      <c r="H70" s="504"/>
      <c r="I70" s="504"/>
      <c r="J70" s="504"/>
      <c r="K70" s="530"/>
      <c r="L70" s="504"/>
      <c r="M70" s="504"/>
      <c r="N70" s="504"/>
      <c r="O70" s="504"/>
      <c r="P70" s="504"/>
      <c r="Q70" s="504"/>
      <c r="R70" s="504"/>
      <c r="S70" s="504"/>
      <c r="T70" s="504"/>
      <c r="U70" s="504"/>
      <c r="V70" s="504"/>
      <c r="W70" s="504"/>
      <c r="X70" s="504"/>
      <c r="Y70" s="504"/>
    </row>
    <row r="71" spans="1:25" ht="15">
      <c r="B71" s="96"/>
      <c r="C71" s="96"/>
      <c r="D71" s="96"/>
      <c r="E71" s="96"/>
      <c r="F71" s="97"/>
      <c r="G71" s="98"/>
      <c r="H71" s="504"/>
      <c r="I71" s="504"/>
      <c r="J71" s="504"/>
      <c r="K71" s="530"/>
      <c r="L71" s="504"/>
      <c r="M71" s="504"/>
      <c r="N71" s="504"/>
      <c r="O71" s="504"/>
      <c r="P71" s="504"/>
      <c r="Q71" s="504"/>
      <c r="R71" s="504"/>
      <c r="S71" s="504"/>
      <c r="T71" s="504"/>
      <c r="U71" s="504"/>
      <c r="V71" s="504"/>
      <c r="W71" s="504"/>
      <c r="X71" s="504"/>
      <c r="Y71" s="504"/>
    </row>
    <row r="72" spans="1:25" ht="23.25">
      <c r="A72" s="504"/>
      <c r="B72" s="28" t="s">
        <v>57</v>
      </c>
      <c r="C72" s="29"/>
      <c r="D72" s="30"/>
      <c r="E72" s="31"/>
      <c r="F72" s="99"/>
      <c r="G72" s="33"/>
      <c r="H72" s="504"/>
      <c r="I72" s="504"/>
      <c r="J72" s="504"/>
      <c r="K72" s="17"/>
      <c r="L72" s="100"/>
      <c r="M72" s="26"/>
      <c r="N72" s="504"/>
      <c r="O72" s="504"/>
      <c r="P72" s="504"/>
      <c r="Q72" s="504"/>
      <c r="R72" s="504"/>
      <c r="S72" s="504"/>
      <c r="T72" s="504"/>
      <c r="U72" s="504"/>
      <c r="V72" s="504"/>
      <c r="W72" s="504"/>
      <c r="X72" s="504"/>
      <c r="Y72" s="504"/>
    </row>
    <row r="73" spans="1:25">
      <c r="A73" s="504"/>
      <c r="B73" s="537" t="s">
        <v>58</v>
      </c>
      <c r="C73" s="508"/>
      <c r="D73" s="536"/>
      <c r="E73" s="537"/>
      <c r="F73" s="538"/>
      <c r="G73" s="539">
        <f>'2. Kalkyldata'!$P17</f>
        <v>20</v>
      </c>
      <c r="H73" s="504"/>
      <c r="I73" s="504"/>
      <c r="J73" s="530"/>
      <c r="K73" s="17">
        <f>'2. Kalkyldata'!$P17</f>
        <v>20</v>
      </c>
      <c r="L73" s="504"/>
      <c r="M73" s="504"/>
      <c r="N73" s="504"/>
      <c r="O73" s="504"/>
      <c r="P73" s="504"/>
      <c r="Q73" s="504"/>
      <c r="R73" s="504"/>
      <c r="S73" s="504"/>
      <c r="T73" s="504"/>
      <c r="U73" s="504"/>
      <c r="V73" s="504"/>
      <c r="W73" s="504"/>
      <c r="X73" s="504"/>
      <c r="Y73" s="504"/>
    </row>
    <row r="74" spans="1:25">
      <c r="A74" s="504"/>
      <c r="B74" s="540" t="s">
        <v>59</v>
      </c>
      <c r="C74" s="504"/>
      <c r="D74" s="541"/>
      <c r="E74" s="540"/>
      <c r="F74" s="530"/>
      <c r="G74" s="542">
        <f>'2. Kalkyldata'!$P16</f>
        <v>33</v>
      </c>
      <c r="H74" s="504"/>
      <c r="I74" s="504"/>
      <c r="J74" s="530"/>
      <c r="K74" s="21">
        <f>'2. Kalkyldata'!$P16</f>
        <v>33</v>
      </c>
      <c r="L74" s="504"/>
      <c r="M74" s="504"/>
      <c r="N74" s="504"/>
      <c r="O74" s="504"/>
      <c r="P74" s="504"/>
      <c r="Q74" s="504"/>
      <c r="R74" s="504"/>
      <c r="S74" s="504"/>
      <c r="T74" s="504"/>
      <c r="U74" s="504"/>
      <c r="V74" s="504"/>
      <c r="W74" s="504"/>
      <c r="X74" s="504"/>
      <c r="Y74" s="504"/>
    </row>
    <row r="75" spans="1:25">
      <c r="A75" s="504"/>
      <c r="B75" s="540" t="s">
        <v>372</v>
      </c>
      <c r="C75" s="504"/>
      <c r="D75" s="541"/>
      <c r="E75" s="540"/>
      <c r="F75" s="530"/>
      <c r="G75" s="543">
        <f>'2. Kalkyldata'!$M$11</f>
        <v>6.5000000000000002E-2</v>
      </c>
      <c r="H75" s="504"/>
      <c r="I75" s="504"/>
      <c r="J75" s="530"/>
      <c r="K75" s="101">
        <f>'2. Kalkyldata'!$M$11</f>
        <v>6.5000000000000002E-2</v>
      </c>
      <c r="L75" s="504"/>
      <c r="M75" s="504"/>
      <c r="N75" s="504"/>
      <c r="O75" s="504"/>
      <c r="P75" s="504"/>
      <c r="Q75" s="504"/>
      <c r="R75" s="504"/>
      <c r="S75" s="504"/>
      <c r="T75" s="504"/>
      <c r="U75" s="504"/>
      <c r="V75" s="504"/>
      <c r="W75" s="504"/>
      <c r="X75" s="504"/>
      <c r="Y75" s="504"/>
    </row>
    <row r="76" spans="1:25">
      <c r="A76" s="504"/>
      <c r="B76" s="540" t="s">
        <v>61</v>
      </c>
      <c r="C76" s="504"/>
      <c r="D76" s="541"/>
      <c r="E76" s="540"/>
      <c r="F76" s="530"/>
      <c r="G76" s="544">
        <f>'2. Kalkyldata'!$M7</f>
        <v>4.5499999999999999E-2</v>
      </c>
      <c r="H76" s="504"/>
      <c r="I76" s="504"/>
      <c r="J76" s="530"/>
      <c r="K76" s="101">
        <f>'2. Kalkyldata'!$M7</f>
        <v>4.5499999999999999E-2</v>
      </c>
      <c r="L76" s="504"/>
      <c r="M76" s="504"/>
      <c r="N76" s="504"/>
      <c r="O76" s="504"/>
      <c r="P76" s="504"/>
      <c r="Q76" s="504"/>
      <c r="R76" s="504"/>
      <c r="S76" s="504"/>
      <c r="T76" s="504"/>
      <c r="U76" s="504"/>
      <c r="V76" s="504"/>
      <c r="W76" s="504"/>
      <c r="X76" s="504"/>
      <c r="Y76" s="504"/>
    </row>
    <row r="77" spans="1:25">
      <c r="A77" s="504"/>
      <c r="B77" s="540" t="s">
        <v>62</v>
      </c>
      <c r="C77" s="504"/>
      <c r="D77" s="541"/>
      <c r="E77" s="540"/>
      <c r="F77" s="530"/>
      <c r="G77" s="543">
        <f>'2. Kalkyldata'!$M8</f>
        <v>8.5000000000000006E-2</v>
      </c>
      <c r="H77" s="504"/>
      <c r="I77" s="504"/>
      <c r="J77" s="530"/>
      <c r="K77" s="101">
        <f>'2. Kalkyldata'!$M8</f>
        <v>8.5000000000000006E-2</v>
      </c>
      <c r="L77" s="504"/>
      <c r="M77" s="504"/>
      <c r="N77" s="504"/>
      <c r="O77" s="504"/>
      <c r="P77" s="504"/>
      <c r="Q77" s="504"/>
      <c r="R77" s="504"/>
      <c r="S77" s="504"/>
      <c r="T77" s="504"/>
      <c r="U77" s="504"/>
      <c r="V77" s="504"/>
      <c r="W77" s="504"/>
      <c r="X77" s="504"/>
      <c r="Y77" s="504"/>
    </row>
    <row r="78" spans="1:25">
      <c r="A78" s="504"/>
      <c r="B78" s="540" t="s">
        <v>63</v>
      </c>
      <c r="C78" s="504"/>
      <c r="D78" s="541"/>
      <c r="E78" s="540"/>
      <c r="F78" s="530"/>
      <c r="G78" s="543">
        <f>'2. Kalkyldata'!$M9</f>
        <v>0.02</v>
      </c>
      <c r="H78" s="504"/>
      <c r="I78" s="504"/>
      <c r="J78" s="530"/>
      <c r="K78" s="101">
        <f>'2. Kalkyldata'!$M9</f>
        <v>0.02</v>
      </c>
      <c r="L78" s="504"/>
      <c r="M78" s="504"/>
      <c r="N78" s="504"/>
      <c r="O78" s="504"/>
      <c r="P78" s="504"/>
      <c r="Q78" s="504"/>
      <c r="R78" s="504"/>
      <c r="S78" s="504"/>
      <c r="T78" s="504"/>
      <c r="U78" s="504"/>
      <c r="V78" s="504"/>
      <c r="W78" s="504"/>
      <c r="X78" s="504"/>
      <c r="Y78" s="504"/>
    </row>
    <row r="79" spans="1:25" ht="8.1" customHeight="1">
      <c r="A79" s="504"/>
      <c r="B79" s="540"/>
      <c r="C79" s="516"/>
      <c r="D79" s="541"/>
      <c r="E79" s="540"/>
      <c r="F79" s="517"/>
      <c r="G79" s="545"/>
      <c r="H79" s="504"/>
      <c r="I79" s="504"/>
      <c r="J79" s="504"/>
      <c r="K79" s="102"/>
      <c r="L79" s="504"/>
      <c r="M79" s="504"/>
      <c r="N79" s="504"/>
      <c r="O79" s="504"/>
      <c r="P79" s="504"/>
      <c r="Q79" s="504"/>
      <c r="R79" s="504"/>
      <c r="S79" s="504"/>
      <c r="T79" s="504"/>
      <c r="U79" s="504"/>
      <c r="V79" s="504"/>
      <c r="W79" s="504"/>
      <c r="X79" s="504"/>
      <c r="Y79" s="504"/>
    </row>
    <row r="80" spans="1:25">
      <c r="A80" s="504"/>
      <c r="B80" s="540" t="s">
        <v>64</v>
      </c>
      <c r="C80" s="504"/>
      <c r="D80" s="541"/>
      <c r="E80" s="540"/>
      <c r="F80" s="517"/>
      <c r="G80" s="546">
        <f>'2. Kalkyldata'!$L$28-SUMIF('2. Kalkyldata'!$E$23:$E$27,"nyb",'2. Kalkyldata'!$L$23:$L$27)</f>
        <v>0</v>
      </c>
      <c r="H80" s="504"/>
      <c r="I80" s="504"/>
      <c r="J80" s="504"/>
      <c r="K80" s="102">
        <f>'2. Kalkyldata'!$L$28-SUMIF('2. Kalkyldata'!$E$23:$E$27,"nyb",'2. Kalkyldata'!$L$23:$L$27)</f>
        <v>0</v>
      </c>
      <c r="L80" s="504"/>
      <c r="M80" s="504"/>
      <c r="N80" s="504"/>
      <c r="O80" s="504"/>
      <c r="P80" s="504"/>
      <c r="Q80" s="504"/>
      <c r="R80" s="504"/>
      <c r="S80" s="504"/>
      <c r="T80" s="504"/>
      <c r="U80" s="504"/>
      <c r="V80" s="504"/>
      <c r="W80" s="504"/>
      <c r="X80" s="504"/>
      <c r="Y80" s="504"/>
    </row>
    <row r="81" spans="1:25">
      <c r="A81" s="504"/>
      <c r="B81" s="103" t="s">
        <v>65</v>
      </c>
      <c r="C81" s="104"/>
      <c r="D81" s="105"/>
      <c r="E81" s="106"/>
      <c r="F81" s="107"/>
      <c r="G81" s="108">
        <f>IFERROR($K$80/('2. Kalkyldata'!$H$28-SUMIF('2. Kalkyldata'!$E$23:$E$27,"nyb",'2. Kalkyldata'!$H$23:$H$27)),0)</f>
        <v>0</v>
      </c>
      <c r="H81" s="504"/>
      <c r="I81" s="504"/>
      <c r="J81" s="517"/>
      <c r="K81" s="44">
        <f>IFERROR($K$80/('2. Kalkyldata'!$H$28-SUMIF('2. Kalkyldata'!$E$23:$E$27,"nyb",'2. Kalkyldata'!$H$23:$H$27)),0)</f>
        <v>0</v>
      </c>
      <c r="L81" s="504"/>
      <c r="M81" s="504"/>
      <c r="N81" s="504"/>
      <c r="O81" s="504"/>
      <c r="P81" s="504"/>
      <c r="Q81" s="504"/>
      <c r="R81" s="504"/>
      <c r="S81" s="504"/>
      <c r="T81" s="504"/>
      <c r="U81" s="504"/>
      <c r="V81" s="504"/>
      <c r="W81" s="504"/>
      <c r="X81" s="504"/>
      <c r="Y81" s="504"/>
    </row>
    <row r="82" spans="1:25">
      <c r="A82" s="504"/>
      <c r="B82" s="540" t="s">
        <v>66</v>
      </c>
      <c r="C82" s="504"/>
      <c r="D82" s="541"/>
      <c r="E82" s="540"/>
      <c r="F82" s="517"/>
      <c r="G82" s="546">
        <f>SUMIF('2. Kalkyldata'!$E$23:$E$27,"nyb",'2. Kalkyldata'!$L$23:$L$27)</f>
        <v>16165000</v>
      </c>
      <c r="H82" s="504"/>
      <c r="I82" s="504"/>
      <c r="J82" s="504"/>
      <c r="K82" s="102">
        <f>SUMIF('2. Kalkyldata'!$E$23:$E$27,"nyb",'2. Kalkyldata'!$L$23:$L$27)</f>
        <v>16165000</v>
      </c>
      <c r="L82" s="504"/>
      <c r="M82" s="504"/>
      <c r="N82" s="504"/>
      <c r="O82" s="504"/>
      <c r="P82" s="504"/>
      <c r="Q82" s="504"/>
      <c r="R82" s="504"/>
      <c r="S82" s="504"/>
      <c r="T82" s="504"/>
      <c r="U82" s="504"/>
      <c r="V82" s="504"/>
      <c r="W82" s="504"/>
      <c r="X82" s="504"/>
      <c r="Y82" s="504"/>
    </row>
    <row r="83" spans="1:25">
      <c r="A83" s="504"/>
      <c r="B83" s="103" t="s">
        <v>65</v>
      </c>
      <c r="C83" s="104"/>
      <c r="D83" s="105"/>
      <c r="E83" s="106"/>
      <c r="F83" s="107"/>
      <c r="G83" s="108">
        <f>IFERROR(G82/(SUMIF('2. Kalkyldata'!$E23:$E27,"nyb",'2. Kalkyldata'!$H23:$H27)),0)</f>
        <v>2650</v>
      </c>
      <c r="H83" s="504"/>
      <c r="I83" s="504"/>
      <c r="J83" s="517"/>
      <c r="K83" s="44">
        <f>K82/(SUMIF('2. Kalkyldata'!$E23:$E27,"nyb",'2. Kalkyldata'!$H23:$H27))</f>
        <v>2650</v>
      </c>
      <c r="L83" s="504"/>
      <c r="M83" s="504"/>
      <c r="N83" s="504"/>
      <c r="O83" s="504"/>
      <c r="P83" s="504"/>
      <c r="Q83" s="504"/>
      <c r="R83" s="504"/>
      <c r="S83" s="504"/>
      <c r="T83" s="504"/>
      <c r="U83" s="504"/>
      <c r="V83" s="504"/>
      <c r="W83" s="504"/>
      <c r="X83" s="504"/>
      <c r="Y83" s="504"/>
    </row>
    <row r="84" spans="1:25" s="115" customFormat="1" ht="15">
      <c r="A84" s="19"/>
      <c r="B84" s="37" t="s">
        <v>67</v>
      </c>
      <c r="C84" s="15"/>
      <c r="D84" s="109"/>
      <c r="E84" s="110"/>
      <c r="F84" s="111"/>
      <c r="G84" s="112">
        <f>G80+G82</f>
        <v>16165000</v>
      </c>
      <c r="H84" s="19"/>
      <c r="I84" s="19"/>
      <c r="J84" s="113"/>
      <c r="K84" s="114">
        <f>K80+K82</f>
        <v>16165000</v>
      </c>
      <c r="L84" s="19"/>
      <c r="M84" s="504"/>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4"/>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4"/>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5" t="s">
        <v>69</v>
      </c>
      <c r="C88" s="506"/>
      <c r="D88" s="547"/>
      <c r="E88" s="548"/>
      <c r="F88" s="506"/>
      <c r="G88" s="549">
        <f>'2. Kalkyldata'!$M14</f>
        <v>0</v>
      </c>
      <c r="H88" s="504"/>
      <c r="I88" s="504"/>
      <c r="J88" s="504"/>
      <c r="K88" s="134">
        <f>'2. Kalkyldata'!$M14</f>
        <v>0</v>
      </c>
      <c r="L88" s="504"/>
      <c r="M88" s="504"/>
      <c r="N88" s="504"/>
      <c r="O88" s="504"/>
      <c r="P88" s="504"/>
      <c r="Q88" s="504"/>
      <c r="R88" s="504"/>
      <c r="S88" s="504"/>
      <c r="T88" s="504"/>
      <c r="U88" s="504"/>
      <c r="V88" s="504"/>
      <c r="W88" s="504"/>
      <c r="X88" s="504"/>
      <c r="Y88" s="504"/>
    </row>
    <row r="89" spans="1:25">
      <c r="B89" s="550" t="s">
        <v>70</v>
      </c>
      <c r="C89" s="533"/>
      <c r="D89" s="551"/>
      <c r="E89" s="684" t="s">
        <v>71</v>
      </c>
      <c r="F89" s="685"/>
      <c r="G89" s="552">
        <f>'4. NPV'!$D$32</f>
        <v>-405</v>
      </c>
      <c r="H89" s="504"/>
      <c r="I89" s="504"/>
      <c r="J89" s="504"/>
      <c r="K89" s="44">
        <f>'4. NPV'!$D$32</f>
        <v>-405</v>
      </c>
      <c r="L89" s="504"/>
      <c r="M89" s="504"/>
      <c r="N89" s="504"/>
      <c r="O89" s="504"/>
      <c r="P89" s="504"/>
      <c r="Q89" s="504"/>
      <c r="R89" s="504"/>
      <c r="S89" s="504"/>
      <c r="T89" s="504"/>
      <c r="U89" s="504"/>
      <c r="V89" s="504"/>
      <c r="W89" s="504"/>
      <c r="X89" s="504"/>
      <c r="Y89" s="504"/>
    </row>
    <row r="90" spans="1:25">
      <c r="B90" s="504"/>
      <c r="C90" s="504"/>
      <c r="D90" s="504"/>
      <c r="E90" s="504"/>
      <c r="F90" s="504"/>
      <c r="G90" s="553"/>
      <c r="H90" s="504"/>
      <c r="I90" s="504"/>
      <c r="J90" s="504"/>
      <c r="K90" s="43"/>
      <c r="L90" s="504"/>
      <c r="M90" s="504"/>
      <c r="N90" s="504"/>
      <c r="O90" s="504"/>
      <c r="P90" s="504"/>
      <c r="Q90" s="504"/>
      <c r="R90" s="504"/>
      <c r="S90" s="504"/>
      <c r="T90" s="504"/>
      <c r="U90" s="504"/>
      <c r="V90" s="504"/>
      <c r="W90" s="504"/>
      <c r="X90" s="504"/>
      <c r="Y90" s="504"/>
    </row>
    <row r="91" spans="1:25" ht="15">
      <c r="B91" s="661" t="s">
        <v>49</v>
      </c>
      <c r="C91" s="662"/>
      <c r="D91" s="662"/>
      <c r="E91" s="662"/>
      <c r="F91" s="662"/>
      <c r="G91" s="663"/>
      <c r="H91" s="504"/>
      <c r="I91" s="504"/>
      <c r="J91" s="504"/>
      <c r="K91" s="135"/>
      <c r="L91" s="504"/>
      <c r="M91" s="504"/>
      <c r="N91" s="504"/>
      <c r="O91" s="504"/>
      <c r="P91" s="504"/>
      <c r="Q91" s="504"/>
      <c r="R91" s="504"/>
      <c r="S91" s="504"/>
      <c r="T91" s="504"/>
      <c r="U91" s="504"/>
      <c r="V91" s="504"/>
      <c r="W91" s="504"/>
      <c r="X91" s="504"/>
      <c r="Y91" s="504"/>
    </row>
    <row r="92" spans="1:25">
      <c r="B92" s="649" t="s">
        <v>5</v>
      </c>
      <c r="C92" s="650"/>
      <c r="D92" s="650"/>
      <c r="E92" s="650"/>
      <c r="F92" s="650"/>
      <c r="G92" s="651"/>
      <c r="H92" s="504"/>
      <c r="I92" s="504"/>
      <c r="J92" s="504"/>
      <c r="K92" s="43"/>
      <c r="L92" s="504"/>
      <c r="M92" s="504"/>
      <c r="N92" s="504"/>
      <c r="O92" s="504"/>
      <c r="P92" s="504"/>
      <c r="Q92" s="504"/>
      <c r="R92" s="504"/>
      <c r="S92" s="504"/>
      <c r="T92" s="504"/>
      <c r="U92" s="504"/>
      <c r="V92" s="504"/>
      <c r="W92" s="504"/>
      <c r="X92" s="504"/>
      <c r="Y92" s="504"/>
    </row>
    <row r="93" spans="1:25" ht="15" customHeight="1">
      <c r="B93" s="649"/>
      <c r="C93" s="650"/>
      <c r="D93" s="650"/>
      <c r="E93" s="650"/>
      <c r="F93" s="650"/>
      <c r="G93" s="651"/>
      <c r="H93" s="504"/>
      <c r="I93" s="504"/>
      <c r="J93" s="554"/>
      <c r="K93" s="43"/>
      <c r="L93" s="504"/>
      <c r="M93" s="504"/>
      <c r="N93" s="504"/>
      <c r="O93" s="504"/>
      <c r="P93" s="504"/>
      <c r="Q93" s="504"/>
      <c r="R93" s="504"/>
      <c r="S93" s="504"/>
      <c r="T93" s="504"/>
      <c r="U93" s="504"/>
      <c r="V93" s="504"/>
      <c r="W93" s="504"/>
      <c r="X93" s="504"/>
      <c r="Y93" s="504"/>
    </row>
    <row r="94" spans="1:25">
      <c r="B94" s="649"/>
      <c r="C94" s="650"/>
      <c r="D94" s="650"/>
      <c r="E94" s="650"/>
      <c r="F94" s="650"/>
      <c r="G94" s="651"/>
      <c r="H94" s="504"/>
      <c r="I94" s="504"/>
      <c r="J94" s="555"/>
      <c r="K94" s="43"/>
      <c r="L94" s="504"/>
      <c r="M94" s="504"/>
      <c r="N94" s="556"/>
      <c r="O94" s="504"/>
      <c r="P94" s="504"/>
      <c r="Q94" s="504"/>
      <c r="R94" s="504"/>
      <c r="S94" s="504"/>
      <c r="T94" s="504"/>
      <c r="U94" s="504"/>
      <c r="V94" s="504"/>
      <c r="W94" s="504"/>
      <c r="X94" s="504"/>
      <c r="Y94" s="504"/>
    </row>
    <row r="95" spans="1:25">
      <c r="B95" s="649"/>
      <c r="C95" s="650"/>
      <c r="D95" s="650"/>
      <c r="E95" s="650"/>
      <c r="F95" s="650"/>
      <c r="G95" s="651"/>
      <c r="H95" s="504"/>
      <c r="I95" s="504"/>
      <c r="J95" s="554"/>
      <c r="K95" s="43"/>
      <c r="L95" s="504"/>
      <c r="M95" s="504"/>
      <c r="N95" s="556"/>
      <c r="O95" s="504"/>
      <c r="P95" s="504"/>
      <c r="Q95" s="504"/>
      <c r="R95" s="504"/>
      <c r="S95" s="504"/>
      <c r="T95" s="504"/>
      <c r="U95" s="504"/>
      <c r="V95" s="504"/>
      <c r="W95" s="504"/>
      <c r="X95" s="504"/>
      <c r="Y95" s="504"/>
    </row>
    <row r="96" spans="1:25">
      <c r="B96" s="652"/>
      <c r="C96" s="653"/>
      <c r="D96" s="653"/>
      <c r="E96" s="653"/>
      <c r="F96" s="653"/>
      <c r="G96" s="654"/>
      <c r="H96" s="504"/>
      <c r="I96" s="504"/>
      <c r="J96" s="555"/>
      <c r="K96" s="136"/>
      <c r="L96" s="504"/>
      <c r="M96" s="504"/>
      <c r="N96" s="556"/>
      <c r="O96" s="504"/>
      <c r="P96" s="504"/>
      <c r="Q96" s="504"/>
      <c r="R96" s="504"/>
      <c r="S96" s="504"/>
      <c r="T96" s="504"/>
      <c r="U96" s="504"/>
      <c r="V96" s="504"/>
      <c r="W96" s="504"/>
      <c r="X96" s="504"/>
      <c r="Y96" s="504"/>
    </row>
    <row r="97" spans="1:25">
      <c r="B97" s="504"/>
      <c r="C97" s="504"/>
      <c r="D97" s="504"/>
      <c r="E97" s="504"/>
      <c r="F97" s="504"/>
      <c r="G97" s="553"/>
      <c r="H97" s="504"/>
      <c r="I97" s="504"/>
      <c r="J97" s="504"/>
      <c r="K97" s="137"/>
      <c r="L97" s="504"/>
      <c r="M97" s="504"/>
      <c r="N97" s="504"/>
      <c r="O97" s="504"/>
      <c r="P97" s="504"/>
      <c r="Q97" s="504"/>
      <c r="R97" s="504"/>
      <c r="S97" s="504"/>
      <c r="T97" s="504"/>
      <c r="U97" s="504"/>
      <c r="V97" s="504"/>
      <c r="W97" s="504"/>
      <c r="X97" s="504"/>
      <c r="Y97" s="504"/>
    </row>
    <row r="98" spans="1:25" ht="23.25">
      <c r="B98" s="28" t="s">
        <v>72</v>
      </c>
      <c r="C98" s="29"/>
      <c r="D98" s="138"/>
      <c r="E98" s="138"/>
      <c r="F98" s="99"/>
      <c r="G98" s="139"/>
      <c r="H98" s="504"/>
      <c r="I98" s="504"/>
      <c r="J98" s="504"/>
      <c r="K98" s="140"/>
      <c r="L98" s="504"/>
      <c r="M98" s="504"/>
      <c r="N98" s="504"/>
      <c r="O98" s="504"/>
      <c r="P98" s="504"/>
      <c r="Q98" s="504"/>
      <c r="R98" s="504"/>
      <c r="S98" s="504"/>
      <c r="T98" s="504"/>
      <c r="U98" s="504"/>
      <c r="V98" s="504"/>
      <c r="W98" s="504"/>
      <c r="X98" s="504"/>
      <c r="Y98" s="504"/>
    </row>
    <row r="99" spans="1:25">
      <c r="B99" s="537" t="s">
        <v>73</v>
      </c>
      <c r="C99" s="508"/>
      <c r="D99" s="536"/>
      <c r="E99" s="509"/>
      <c r="F99" s="508"/>
      <c r="G99" s="557">
        <f>'3. Finansiering'!$C$7</f>
        <v>3.0700000000000002E-2</v>
      </c>
      <c r="H99" s="504"/>
      <c r="I99" s="504"/>
      <c r="J99" s="504"/>
      <c r="K99" s="134">
        <f>'3. Finansiering'!$C$7</f>
        <v>3.0700000000000002E-2</v>
      </c>
      <c r="L99" s="504"/>
      <c r="M99" s="504"/>
      <c r="N99" s="504"/>
      <c r="O99" s="504"/>
      <c r="P99" s="504"/>
      <c r="Q99" s="504"/>
      <c r="R99" s="504"/>
      <c r="S99" s="504"/>
      <c r="T99" s="504"/>
      <c r="U99" s="504"/>
      <c r="V99" s="504"/>
      <c r="W99" s="504"/>
      <c r="X99" s="504"/>
      <c r="Y99" s="504"/>
    </row>
    <row r="100" spans="1:25">
      <c r="B100" s="540" t="s">
        <v>74</v>
      </c>
      <c r="C100" s="504"/>
      <c r="D100" s="541"/>
      <c r="E100" s="511"/>
      <c r="F100" s="504"/>
      <c r="G100" s="558">
        <f>'3. Finansiering'!$C$8</f>
        <v>4.5499999999999999E-2</v>
      </c>
      <c r="H100" s="504"/>
      <c r="I100" s="504"/>
      <c r="J100" s="504"/>
      <c r="K100" s="134">
        <f>'3. Finansiering'!$C$8</f>
        <v>4.5499999999999999E-2</v>
      </c>
      <c r="L100" s="504"/>
      <c r="M100" s="504"/>
      <c r="N100" s="504"/>
      <c r="O100" s="504"/>
      <c r="P100" s="504"/>
      <c r="Q100" s="504"/>
      <c r="R100" s="504"/>
      <c r="S100" s="504"/>
      <c r="T100" s="504"/>
      <c r="U100" s="504"/>
      <c r="V100" s="504"/>
      <c r="W100" s="504"/>
      <c r="X100" s="504"/>
      <c r="Y100" s="504"/>
    </row>
    <row r="101" spans="1:25">
      <c r="B101" s="540" t="s">
        <v>75</v>
      </c>
      <c r="C101" s="504"/>
      <c r="D101" s="541"/>
      <c r="E101" s="511"/>
      <c r="F101" s="504"/>
      <c r="G101" s="559">
        <f>'3. Finansiering'!$C$9</f>
        <v>0.03</v>
      </c>
      <c r="H101" s="504"/>
      <c r="I101" s="504"/>
      <c r="J101" s="504"/>
      <c r="K101" s="134">
        <f>'3. Finansiering'!$C$9</f>
        <v>0.03</v>
      </c>
      <c r="L101" s="504"/>
      <c r="M101" s="504"/>
      <c r="N101" s="504"/>
      <c r="O101" s="504"/>
      <c r="P101" s="504"/>
      <c r="Q101" s="504"/>
      <c r="R101" s="504"/>
      <c r="S101" s="504"/>
      <c r="T101" s="504"/>
      <c r="U101" s="504"/>
      <c r="V101" s="504"/>
      <c r="W101" s="504"/>
      <c r="X101" s="504"/>
      <c r="Y101" s="504"/>
    </row>
    <row r="102" spans="1:25">
      <c r="B102" s="505" t="s">
        <v>76</v>
      </c>
      <c r="C102" s="506"/>
      <c r="D102" s="547"/>
      <c r="E102" s="560"/>
      <c r="F102" s="506"/>
      <c r="G102" s="549">
        <f>'3. Finansiering'!$C$10</f>
        <v>0.37</v>
      </c>
      <c r="H102" s="504"/>
      <c r="I102" s="504"/>
      <c r="J102" s="504"/>
      <c r="K102" s="141">
        <f>'3. Finansiering'!$C$10</f>
        <v>0.37</v>
      </c>
      <c r="L102" s="504"/>
      <c r="M102" s="504"/>
      <c r="N102" s="504"/>
      <c r="O102" s="504"/>
      <c r="P102" s="504"/>
      <c r="Q102" s="504"/>
      <c r="R102" s="504"/>
      <c r="S102" s="504"/>
      <c r="T102" s="504"/>
      <c r="U102" s="504"/>
      <c r="V102" s="504"/>
      <c r="W102" s="504"/>
      <c r="X102" s="504"/>
      <c r="Y102" s="504"/>
    </row>
    <row r="103" spans="1:25">
      <c r="B103" s="504"/>
      <c r="C103" s="504"/>
      <c r="D103" s="504"/>
      <c r="E103" s="504"/>
      <c r="F103" s="504"/>
      <c r="G103" s="553"/>
      <c r="H103" s="504"/>
      <c r="I103" s="504"/>
      <c r="J103" s="504"/>
      <c r="K103" s="142"/>
      <c r="L103" s="504"/>
      <c r="M103" s="504"/>
      <c r="N103" s="504"/>
      <c r="O103" s="504"/>
      <c r="P103" s="504"/>
      <c r="Q103" s="504"/>
      <c r="R103" s="504"/>
      <c r="S103" s="504"/>
      <c r="T103" s="504"/>
      <c r="U103" s="504"/>
      <c r="V103" s="504"/>
      <c r="W103" s="504"/>
      <c r="X103" s="504"/>
      <c r="Y103" s="504"/>
    </row>
    <row r="104" spans="1:25" ht="23.25">
      <c r="A104" s="504"/>
      <c r="B104" s="28" t="s">
        <v>77</v>
      </c>
      <c r="C104" s="143"/>
      <c r="D104" s="144" t="s">
        <v>78</v>
      </c>
      <c r="E104" s="145" t="s">
        <v>58</v>
      </c>
      <c r="F104" s="146"/>
      <c r="G104" s="147"/>
      <c r="H104" s="504"/>
      <c r="I104" s="504"/>
      <c r="J104" s="504"/>
      <c r="K104" s="148"/>
      <c r="L104" s="504"/>
      <c r="M104" s="504"/>
      <c r="N104" s="504"/>
      <c r="O104" s="504"/>
      <c r="P104" s="504"/>
      <c r="Q104" s="504"/>
      <c r="R104" s="504"/>
      <c r="S104" s="504"/>
      <c r="T104" s="504"/>
      <c r="U104" s="504"/>
      <c r="V104" s="504"/>
      <c r="W104" s="504"/>
      <c r="X104" s="504"/>
      <c r="Y104" s="504"/>
    </row>
    <row r="105" spans="1:25" ht="15">
      <c r="A105" s="504"/>
      <c r="B105" s="223" t="str">
        <f>"IRR före skatt, ("&amp;G102*100&amp;"% belåning)"</f>
        <v>IRR före skatt, (37% belåning)</v>
      </c>
      <c r="C105" s="224"/>
      <c r="D105" s="503">
        <f>'2. Kalkyldata'!F14</f>
        <v>6.3399999999999998E-2</v>
      </c>
      <c r="E105" s="225">
        <f>'2. Kalkyldata'!$Q$17</f>
        <v>20</v>
      </c>
      <c r="F105" s="224"/>
      <c r="G105" s="226">
        <f>'5. IRR'!$D$40</f>
        <v>8.0324062183164679E-2</v>
      </c>
      <c r="H105" s="19"/>
      <c r="I105" s="19"/>
      <c r="J105" s="19"/>
      <c r="K105" s="134">
        <f>'5. IRR'!$D$40</f>
        <v>8.0324062183164679E-2</v>
      </c>
      <c r="L105" s="504"/>
      <c r="M105" s="504"/>
      <c r="N105" s="504"/>
      <c r="O105" s="504"/>
      <c r="P105" s="504"/>
      <c r="Q105" s="504"/>
      <c r="R105" s="504"/>
      <c r="S105" s="504"/>
      <c r="T105" s="504"/>
      <c r="U105" s="504"/>
      <c r="V105" s="504"/>
      <c r="W105" s="504"/>
      <c r="X105" s="504"/>
      <c r="Y105" s="504"/>
    </row>
    <row r="106" spans="1:25" ht="8.1" customHeight="1">
      <c r="A106" s="504"/>
      <c r="B106" s="149"/>
      <c r="C106" s="150"/>
      <c r="D106" s="151"/>
      <c r="E106" s="88"/>
      <c r="F106" s="87"/>
      <c r="G106" s="152"/>
      <c r="H106" s="504"/>
      <c r="I106" s="504"/>
      <c r="J106" s="504"/>
      <c r="K106" s="153"/>
      <c r="L106" s="504"/>
      <c r="M106" s="504"/>
      <c r="N106" s="504"/>
      <c r="O106" s="504"/>
      <c r="P106" s="504"/>
      <c r="Q106" s="504"/>
      <c r="R106" s="504"/>
      <c r="S106" s="504"/>
      <c r="T106" s="504"/>
      <c r="U106" s="504"/>
      <c r="V106" s="504"/>
      <c r="W106" s="504"/>
      <c r="X106" s="504"/>
      <c r="Y106" s="504"/>
    </row>
    <row r="107" spans="1:25" ht="15" customHeight="1">
      <c r="A107" s="504"/>
      <c r="B107" s="154" t="s">
        <v>423</v>
      </c>
      <c r="C107" s="155"/>
      <c r="D107" s="156" t="str">
        <f>'2. Kalkyldata'!$AE$19</f>
        <v>NPV binder</v>
      </c>
      <c r="E107" s="157"/>
      <c r="F107" s="155"/>
      <c r="G107" s="762">
        <f>'2. Kalkyldata'!$D$17</f>
        <v>2559</v>
      </c>
      <c r="H107" s="19"/>
      <c r="I107" s="504"/>
      <c r="J107" s="504"/>
      <c r="K107" s="153"/>
      <c r="L107" s="504"/>
      <c r="M107" s="504"/>
      <c r="N107" s="504"/>
      <c r="O107" s="504"/>
      <c r="P107" s="504"/>
      <c r="Q107" s="504"/>
      <c r="R107" s="504"/>
      <c r="S107" s="504"/>
      <c r="T107" s="504"/>
      <c r="U107" s="504"/>
      <c r="V107" s="504"/>
      <c r="W107" s="504"/>
      <c r="X107" s="504"/>
      <c r="Y107" s="504"/>
    </row>
    <row r="108" spans="1:25" ht="15">
      <c r="A108" s="504"/>
      <c r="B108" s="471" t="s">
        <v>79</v>
      </c>
      <c r="C108" s="327"/>
      <c r="D108" s="472" t="str">
        <f>'2. Kalkyldata'!F13</f>
        <v>&gt;0</v>
      </c>
      <c r="E108" s="473">
        <f>$G$73</f>
        <v>20</v>
      </c>
      <c r="F108" s="327"/>
      <c r="G108" s="474">
        <f>'4. NPV'!$E$82</f>
        <v>10300000.00000003</v>
      </c>
      <c r="H108" s="19"/>
      <c r="I108" s="19"/>
      <c r="J108" s="19"/>
      <c r="K108" s="43">
        <f>'4. NPV'!$E$82</f>
        <v>10300000.00000003</v>
      </c>
      <c r="L108" s="504"/>
      <c r="M108" s="504"/>
      <c r="N108" s="504"/>
      <c r="O108" s="504"/>
      <c r="P108" s="504"/>
      <c r="Q108" s="504"/>
      <c r="R108" s="504"/>
      <c r="S108" s="504"/>
      <c r="T108" s="504"/>
      <c r="U108" s="504"/>
      <c r="V108" s="504"/>
      <c r="W108" s="504"/>
      <c r="X108" s="504"/>
      <c r="Y108" s="504"/>
    </row>
    <row r="109" spans="1:25" ht="15">
      <c r="A109" s="504"/>
      <c r="B109" s="154" t="str">
        <f>CONCATENATE("PV ",'2. Kalkyldata'!$M$3)</f>
        <v>PV 2026</v>
      </c>
      <c r="C109" s="155"/>
      <c r="D109" s="156"/>
      <c r="E109" s="157"/>
      <c r="F109" s="155"/>
      <c r="G109" s="158">
        <f>'4. NPV'!$E$81</f>
        <v>250300000</v>
      </c>
      <c r="H109" s="19"/>
      <c r="I109" s="19"/>
      <c r="J109" s="19"/>
      <c r="K109" s="43">
        <f>'4. NPV'!$E$81</f>
        <v>250300000</v>
      </c>
      <c r="L109" s="504"/>
      <c r="M109" s="504"/>
      <c r="N109" s="504"/>
      <c r="O109" s="504"/>
      <c r="P109" s="504"/>
      <c r="Q109" s="504"/>
      <c r="R109" s="504"/>
      <c r="S109" s="504"/>
      <c r="T109" s="504"/>
      <c r="U109" s="504"/>
      <c r="V109" s="504"/>
      <c r="W109" s="504"/>
      <c r="X109" s="504"/>
      <c r="Y109" s="504"/>
    </row>
    <row r="110" spans="1:25" ht="15">
      <c r="A110" s="504"/>
      <c r="B110" s="154" t="s">
        <v>80</v>
      </c>
      <c r="C110" s="155"/>
      <c r="D110" s="156"/>
      <c r="E110" s="157"/>
      <c r="F110" s="155"/>
      <c r="G110" s="158">
        <f>'4. NPV'!$E$56</f>
        <v>-239999999.99999997</v>
      </c>
      <c r="H110" s="19"/>
      <c r="I110" s="19"/>
      <c r="J110" s="19"/>
      <c r="K110" s="43">
        <f>'4. NPV'!$E$56</f>
        <v>-239999999.99999997</v>
      </c>
      <c r="L110" s="504"/>
      <c r="M110" s="504"/>
      <c r="N110" s="504"/>
      <c r="O110" s="504"/>
      <c r="P110" s="504"/>
      <c r="Q110" s="159"/>
      <c r="R110" s="504"/>
      <c r="S110" s="504"/>
      <c r="T110" s="504"/>
      <c r="U110" s="504"/>
      <c r="V110" s="504"/>
      <c r="W110" s="504"/>
      <c r="X110" s="504"/>
      <c r="Y110" s="504"/>
    </row>
    <row r="111" spans="1:25" ht="15">
      <c r="A111" s="504"/>
      <c r="B111" s="471" t="s">
        <v>397</v>
      </c>
      <c r="C111" s="327"/>
      <c r="D111" s="475" t="str">
        <f>'2. Kalkyldata'!F15</f>
        <v>&gt;0</v>
      </c>
      <c r="E111" s="473">
        <f>$G$73</f>
        <v>20</v>
      </c>
      <c r="F111" s="327"/>
      <c r="G111" s="474">
        <f>G112-G113</f>
        <v>10300000.00000003</v>
      </c>
      <c r="H111" s="19"/>
      <c r="I111" s="19"/>
      <c r="J111" s="19"/>
      <c r="K111" s="43">
        <f>K112-K113</f>
        <v>10300000.00000003</v>
      </c>
      <c r="L111" s="504"/>
      <c r="M111" s="504"/>
      <c r="N111" s="504"/>
      <c r="O111" s="504"/>
      <c r="P111" s="504"/>
      <c r="Q111" s="159"/>
      <c r="R111" s="504"/>
      <c r="S111" s="504"/>
      <c r="T111" s="504"/>
      <c r="U111" s="504"/>
      <c r="V111" s="504"/>
      <c r="W111" s="504"/>
      <c r="X111" s="504"/>
      <c r="Y111" s="504"/>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400" t="s">
        <v>81</v>
      </c>
      <c r="C114" s="401"/>
      <c r="D114" s="476"/>
      <c r="E114" s="477">
        <f>$G$73</f>
        <v>20</v>
      </c>
      <c r="F114" s="224"/>
      <c r="G114" s="478">
        <f>AVERAGE('4. NPV'!D33:BA33)</f>
        <v>0.83777849926839332</v>
      </c>
      <c r="H114" s="504"/>
      <c r="I114" s="504"/>
      <c r="J114" s="504"/>
      <c r="K114" s="161"/>
      <c r="L114" s="19"/>
      <c r="M114" s="19"/>
      <c r="N114" s="19"/>
      <c r="O114" s="19"/>
      <c r="P114" s="19"/>
      <c r="Q114" s="96"/>
      <c r="R114" s="19"/>
      <c r="S114" s="19"/>
      <c r="T114" s="19"/>
      <c r="U114" s="19"/>
      <c r="V114" s="19"/>
      <c r="W114" s="19"/>
      <c r="X114" s="19"/>
      <c r="Y114" s="19"/>
    </row>
    <row r="115" spans="1:25" ht="8.1" customHeight="1">
      <c r="A115" s="504"/>
      <c r="B115" s="504"/>
      <c r="C115" s="504"/>
      <c r="D115" s="504"/>
      <c r="E115" s="504"/>
      <c r="F115" s="504"/>
      <c r="G115" s="553"/>
      <c r="H115" s="504"/>
      <c r="I115" s="504"/>
      <c r="J115" s="504"/>
      <c r="K115" s="43"/>
      <c r="L115" s="504"/>
      <c r="M115" s="504"/>
      <c r="N115" s="504"/>
      <c r="O115" s="504"/>
      <c r="P115" s="504"/>
      <c r="Q115" s="159"/>
      <c r="R115" s="504"/>
      <c r="S115" s="504"/>
      <c r="T115" s="504"/>
      <c r="U115" s="504"/>
      <c r="V115" s="504"/>
      <c r="W115" s="504"/>
      <c r="X115" s="504"/>
      <c r="Y115" s="504"/>
    </row>
    <row r="116" spans="1:25" ht="15" customHeight="1">
      <c r="A116" s="504"/>
      <c r="B116" s="701" t="s">
        <v>49</v>
      </c>
      <c r="C116" s="702"/>
      <c r="D116" s="702"/>
      <c r="E116" s="702"/>
      <c r="F116" s="702"/>
      <c r="G116" s="703"/>
      <c r="H116" s="504"/>
      <c r="I116" s="504"/>
      <c r="J116" s="504"/>
      <c r="K116" s="530"/>
      <c r="L116" s="162" t="s">
        <v>82</v>
      </c>
      <c r="M116" s="163"/>
      <c r="N116" s="164" t="s">
        <v>58</v>
      </c>
      <c r="O116" s="538"/>
      <c r="P116" s="508"/>
      <c r="Q116" s="165"/>
      <c r="R116" s="504"/>
      <c r="S116" s="504"/>
      <c r="T116" s="504"/>
      <c r="U116" s="504"/>
      <c r="V116" s="504"/>
      <c r="W116" s="504"/>
      <c r="X116" s="504"/>
      <c r="Y116" s="504"/>
    </row>
    <row r="117" spans="1:25">
      <c r="A117" s="504"/>
      <c r="B117" s="698" t="s">
        <v>5</v>
      </c>
      <c r="C117" s="699"/>
      <c r="D117" s="699"/>
      <c r="E117" s="699"/>
      <c r="F117" s="699"/>
      <c r="G117" s="700"/>
      <c r="H117" s="504"/>
      <c r="I117" s="504"/>
      <c r="J117" s="504"/>
      <c r="K117" s="530"/>
      <c r="L117" s="537" t="s">
        <v>58</v>
      </c>
      <c r="M117" s="561"/>
      <c r="N117" s="562"/>
      <c r="O117" s="538"/>
      <c r="P117" s="563">
        <v>0</v>
      </c>
      <c r="Q117" s="165">
        <f>'2. Kalkyldata'!$Q$17</f>
        <v>20</v>
      </c>
      <c r="R117" s="504"/>
      <c r="S117" s="504"/>
      <c r="T117" s="504"/>
      <c r="U117" s="504"/>
      <c r="V117" s="504"/>
      <c r="W117" s="504"/>
      <c r="X117" s="504"/>
      <c r="Y117" s="504"/>
    </row>
    <row r="118" spans="1:25">
      <c r="A118" s="504"/>
      <c r="B118" s="655"/>
      <c r="C118" s="656"/>
      <c r="D118" s="656"/>
      <c r="E118" s="656"/>
      <c r="F118" s="656"/>
      <c r="G118" s="657"/>
      <c r="H118" s="504"/>
      <c r="I118" s="504"/>
      <c r="J118" s="504"/>
      <c r="K118" s="530"/>
      <c r="L118" s="540" t="s">
        <v>83</v>
      </c>
      <c r="M118" s="564"/>
      <c r="N118" s="565">
        <f>$E$112</f>
        <v>0</v>
      </c>
      <c r="O118" s="530"/>
      <c r="P118" s="566">
        <v>0</v>
      </c>
      <c r="Q118" s="166">
        <f>'5. IRR'!$C$8</f>
        <v>94500000</v>
      </c>
      <c r="R118" s="504"/>
      <c r="S118" s="504"/>
      <c r="T118" s="504"/>
      <c r="U118" s="504"/>
      <c r="V118" s="504"/>
      <c r="W118" s="504"/>
      <c r="X118" s="504"/>
      <c r="Y118" s="504"/>
    </row>
    <row r="119" spans="1:25">
      <c r="A119" s="504"/>
      <c r="B119" s="655"/>
      <c r="C119" s="656"/>
      <c r="D119" s="656"/>
      <c r="E119" s="656"/>
      <c r="F119" s="656"/>
      <c r="G119" s="657"/>
      <c r="H119" s="504"/>
      <c r="I119" s="504"/>
      <c r="J119" s="504"/>
      <c r="K119" s="530"/>
      <c r="L119" s="505" t="s">
        <v>84</v>
      </c>
      <c r="M119" s="567"/>
      <c r="N119" s="568">
        <f>$E$112</f>
        <v>0</v>
      </c>
      <c r="O119" s="569"/>
      <c r="P119" s="570">
        <v>0</v>
      </c>
      <c r="Q119" s="166">
        <f>'5. IRR'!$C$9</f>
        <v>35500000</v>
      </c>
      <c r="R119" s="504"/>
      <c r="S119" s="504"/>
      <c r="T119" s="504"/>
      <c r="U119" s="504"/>
      <c r="V119" s="504"/>
      <c r="W119" s="504"/>
      <c r="X119" s="504"/>
      <c r="Y119" s="504"/>
    </row>
    <row r="120" spans="1:25">
      <c r="A120" s="504"/>
      <c r="B120" s="658"/>
      <c r="C120" s="659"/>
      <c r="D120" s="659"/>
      <c r="E120" s="659"/>
      <c r="F120" s="659"/>
      <c r="G120" s="660"/>
      <c r="H120" s="504"/>
      <c r="I120" s="504"/>
      <c r="J120" s="504"/>
      <c r="K120" s="530"/>
      <c r="L120" s="550" t="s">
        <v>85</v>
      </c>
      <c r="M120" s="571"/>
      <c r="N120" s="572">
        <f>$E$112</f>
        <v>0</v>
      </c>
      <c r="O120" s="533"/>
      <c r="P120" s="573">
        <v>0</v>
      </c>
      <c r="Q120" s="166">
        <f>'5. IRR'!$C$10</f>
        <v>268500000</v>
      </c>
      <c r="R120" s="504"/>
      <c r="S120" s="504"/>
      <c r="T120" s="504"/>
      <c r="U120" s="504"/>
      <c r="V120" s="504"/>
      <c r="W120" s="504"/>
      <c r="X120" s="504"/>
      <c r="Y120" s="504"/>
    </row>
    <row r="121" spans="1:25" ht="15">
      <c r="B121" s="504"/>
      <c r="C121" s="504"/>
      <c r="D121" s="504"/>
      <c r="E121" s="504"/>
      <c r="F121" s="504"/>
      <c r="G121" s="504"/>
      <c r="H121" s="504"/>
      <c r="I121" s="504"/>
      <c r="J121" s="504"/>
      <c r="K121" s="530"/>
      <c r="L121" s="167" t="s">
        <v>86</v>
      </c>
      <c r="M121" s="574"/>
      <c r="N121" s="504"/>
      <c r="O121" s="504"/>
      <c r="P121" s="504"/>
      <c r="Q121" s="159"/>
      <c r="R121" s="504"/>
      <c r="S121" s="504"/>
      <c r="T121" s="504"/>
      <c r="U121" s="504"/>
      <c r="V121" s="504"/>
      <c r="W121" s="504"/>
      <c r="X121" s="504"/>
      <c r="Y121" s="504"/>
    </row>
    <row r="122" spans="1:25" ht="23.25" hidden="1">
      <c r="B122" s="28" t="s">
        <v>87</v>
      </c>
      <c r="C122" s="29"/>
      <c r="D122" s="138"/>
      <c r="E122" s="138"/>
      <c r="F122" s="99"/>
      <c r="G122" s="139"/>
      <c r="H122" s="504"/>
      <c r="I122" s="504"/>
      <c r="J122" s="504"/>
      <c r="K122" s="530"/>
      <c r="L122" s="540" t="s">
        <v>88</v>
      </c>
      <c r="M122" s="541" t="s">
        <v>89</v>
      </c>
      <c r="N122" s="504"/>
      <c r="O122" s="504"/>
      <c r="P122" s="504"/>
      <c r="Q122" s="159"/>
      <c r="R122" s="504"/>
      <c r="S122" s="504"/>
      <c r="T122" s="504"/>
      <c r="U122" s="504"/>
      <c r="V122" s="504"/>
      <c r="W122" s="504"/>
      <c r="X122" s="504"/>
      <c r="Y122" s="504"/>
    </row>
    <row r="123" spans="1:25" hidden="1">
      <c r="B123" s="704" t="s">
        <v>90</v>
      </c>
      <c r="C123" s="575"/>
      <c r="D123" s="706" t="s">
        <v>91</v>
      </c>
      <c r="E123" s="706"/>
      <c r="F123" s="706"/>
      <c r="G123" s="707"/>
      <c r="H123" s="504"/>
      <c r="I123" s="504"/>
      <c r="J123" s="504"/>
      <c r="K123" s="530"/>
      <c r="L123" s="540"/>
      <c r="M123" s="541"/>
      <c r="N123" s="504"/>
      <c r="O123" s="504"/>
      <c r="P123" s="504"/>
      <c r="Q123" s="159"/>
      <c r="R123" s="504"/>
      <c r="S123" s="504"/>
      <c r="T123" s="504"/>
      <c r="U123" s="504"/>
      <c r="V123" s="504"/>
      <c r="W123" s="504"/>
      <c r="X123" s="504"/>
      <c r="Y123" s="504"/>
    </row>
    <row r="124" spans="1:25" hidden="1">
      <c r="B124" s="705"/>
      <c r="C124" s="577"/>
      <c r="D124" s="708"/>
      <c r="E124" s="708"/>
      <c r="F124" s="708"/>
      <c r="G124" s="709"/>
      <c r="H124" s="504"/>
      <c r="I124" s="504"/>
      <c r="J124" s="504"/>
      <c r="K124" s="530"/>
      <c r="L124" s="540"/>
      <c r="M124" s="541"/>
      <c r="N124" s="504"/>
      <c r="O124" s="504"/>
      <c r="P124" s="504"/>
      <c r="Q124" s="159"/>
      <c r="R124" s="504"/>
      <c r="S124" s="504"/>
      <c r="T124" s="504"/>
      <c r="U124" s="504"/>
      <c r="V124" s="504"/>
      <c r="W124" s="504"/>
      <c r="X124" s="504"/>
      <c r="Y124" s="504"/>
    </row>
    <row r="125" spans="1:25" hidden="1">
      <c r="B125" s="689" t="s">
        <v>92</v>
      </c>
      <c r="C125" s="690"/>
      <c r="D125" s="690"/>
      <c r="E125" s="690"/>
      <c r="F125" s="690"/>
      <c r="G125" s="691"/>
      <c r="H125" s="504"/>
      <c r="I125" s="504"/>
      <c r="J125" s="504"/>
      <c r="K125" s="530"/>
      <c r="L125" s="168"/>
      <c r="M125" s="169"/>
      <c r="N125" s="504"/>
      <c r="O125" s="504"/>
      <c r="P125" s="504"/>
      <c r="Q125" s="159"/>
      <c r="R125" s="504"/>
      <c r="S125" s="504"/>
      <c r="T125" s="504"/>
      <c r="U125" s="504"/>
      <c r="V125" s="504"/>
      <c r="W125" s="504"/>
      <c r="X125" s="504"/>
      <c r="Y125" s="504"/>
    </row>
    <row r="126" spans="1:25" hidden="1">
      <c r="B126" s="692"/>
      <c r="C126" s="693"/>
      <c r="D126" s="693"/>
      <c r="E126" s="693"/>
      <c r="F126" s="693"/>
      <c r="G126" s="694"/>
      <c r="H126" s="504"/>
      <c r="I126" s="504"/>
      <c r="J126" s="504"/>
      <c r="K126" s="530"/>
      <c r="L126" s="168"/>
      <c r="M126" s="169"/>
      <c r="N126" s="504"/>
      <c r="O126" s="504"/>
      <c r="P126" s="504"/>
      <c r="Q126" s="159"/>
      <c r="R126" s="504"/>
      <c r="S126" s="504"/>
      <c r="T126" s="504"/>
      <c r="U126" s="504"/>
      <c r="V126" s="504"/>
      <c r="W126" s="504"/>
      <c r="X126" s="504"/>
      <c r="Y126" s="504"/>
    </row>
    <row r="127" spans="1:25" hidden="1">
      <c r="B127" s="695"/>
      <c r="C127" s="696"/>
      <c r="D127" s="696"/>
      <c r="E127" s="696"/>
      <c r="F127" s="696"/>
      <c r="G127" s="697"/>
      <c r="H127" s="504"/>
      <c r="I127" s="504"/>
      <c r="J127" s="504"/>
      <c r="K127" s="530"/>
      <c r="L127" s="168"/>
      <c r="M127" s="169"/>
      <c r="N127" s="504"/>
      <c r="O127" s="504"/>
      <c r="P127" s="504"/>
      <c r="Q127" s="159"/>
      <c r="R127" s="504"/>
      <c r="S127" s="504"/>
      <c r="T127" s="504"/>
      <c r="U127" s="504"/>
      <c r="V127" s="504"/>
      <c r="W127" s="504"/>
      <c r="X127" s="504"/>
      <c r="Y127" s="504"/>
    </row>
    <row r="128" spans="1:25" hidden="1">
      <c r="B128" s="504"/>
      <c r="C128" s="504"/>
      <c r="D128" s="504"/>
      <c r="E128" s="504"/>
      <c r="F128" s="504"/>
      <c r="G128" s="504"/>
      <c r="H128" s="504"/>
      <c r="I128" s="504"/>
      <c r="J128" s="504"/>
      <c r="K128" s="530"/>
      <c r="L128" s="170"/>
      <c r="M128" s="171"/>
      <c r="N128" s="504"/>
      <c r="O128" s="504"/>
      <c r="P128" s="504"/>
      <c r="Q128" s="159"/>
      <c r="R128" s="504"/>
      <c r="S128" s="504"/>
      <c r="T128" s="504"/>
      <c r="U128" s="504"/>
      <c r="V128" s="504"/>
      <c r="W128" s="504"/>
      <c r="X128" s="504"/>
      <c r="Y128" s="504"/>
    </row>
    <row r="129" spans="1:25" hidden="1">
      <c r="B129" s="710" t="s">
        <v>90</v>
      </c>
      <c r="C129" s="576"/>
      <c r="D129" s="706" t="s">
        <v>91</v>
      </c>
      <c r="E129" s="706"/>
      <c r="F129" s="706"/>
      <c r="G129" s="707"/>
      <c r="H129" s="504"/>
      <c r="I129" s="504"/>
      <c r="J129" s="504"/>
      <c r="K129" s="530"/>
      <c r="L129" s="504"/>
      <c r="M129" s="504"/>
      <c r="N129" s="504"/>
      <c r="O129" s="504"/>
      <c r="P129" s="504"/>
      <c r="Q129" s="159"/>
      <c r="R129" s="504"/>
      <c r="S129" s="504"/>
      <c r="T129" s="504"/>
      <c r="U129" s="504"/>
      <c r="V129" s="504"/>
      <c r="W129" s="504"/>
      <c r="X129" s="504"/>
      <c r="Y129" s="504"/>
    </row>
    <row r="130" spans="1:25" hidden="1">
      <c r="B130" s="711"/>
      <c r="C130" s="578"/>
      <c r="D130" s="708"/>
      <c r="E130" s="708"/>
      <c r="F130" s="708"/>
      <c r="G130" s="709"/>
      <c r="H130" s="504"/>
      <c r="I130" s="504"/>
      <c r="J130" s="504"/>
      <c r="K130" s="530"/>
      <c r="L130" s="504"/>
      <c r="M130" s="504"/>
      <c r="N130" s="504"/>
      <c r="O130" s="504"/>
      <c r="P130" s="504"/>
      <c r="Q130" s="159"/>
      <c r="R130" s="504"/>
      <c r="S130" s="504"/>
      <c r="T130" s="504"/>
      <c r="U130" s="504"/>
      <c r="V130" s="504"/>
      <c r="W130" s="504"/>
      <c r="X130" s="504"/>
      <c r="Y130" s="504"/>
    </row>
    <row r="131" spans="1:25" hidden="1">
      <c r="B131" s="689" t="s">
        <v>92</v>
      </c>
      <c r="C131" s="690"/>
      <c r="D131" s="690"/>
      <c r="E131" s="690"/>
      <c r="F131" s="690"/>
      <c r="G131" s="691"/>
      <c r="H131" s="504"/>
      <c r="I131" s="504"/>
      <c r="J131" s="504"/>
      <c r="K131" s="172"/>
      <c r="L131" s="504"/>
      <c r="M131" s="504"/>
      <c r="N131" s="504"/>
      <c r="O131" s="504"/>
      <c r="P131" s="504"/>
      <c r="Q131" s="159"/>
      <c r="R131" s="504"/>
      <c r="S131" s="504"/>
      <c r="T131" s="504"/>
      <c r="U131" s="504"/>
      <c r="V131" s="504"/>
      <c r="W131" s="504"/>
      <c r="X131" s="504"/>
      <c r="Y131" s="504"/>
    </row>
    <row r="132" spans="1:25" hidden="1">
      <c r="B132" s="692"/>
      <c r="C132" s="693"/>
      <c r="D132" s="693"/>
      <c r="E132" s="693"/>
      <c r="F132" s="693"/>
      <c r="G132" s="694"/>
      <c r="H132" s="504"/>
      <c r="I132" s="504"/>
      <c r="J132" s="504"/>
      <c r="K132" s="172"/>
      <c r="L132" s="504"/>
      <c r="M132" s="504"/>
      <c r="N132" s="504"/>
      <c r="O132" s="504"/>
      <c r="P132" s="504"/>
      <c r="Q132" s="159"/>
      <c r="R132" s="504"/>
      <c r="S132" s="504"/>
      <c r="T132" s="504"/>
      <c r="U132" s="504"/>
      <c r="V132" s="504"/>
      <c r="W132" s="504"/>
      <c r="X132" s="504"/>
      <c r="Y132" s="504"/>
    </row>
    <row r="133" spans="1:25" hidden="1">
      <c r="B133" s="695"/>
      <c r="C133" s="696"/>
      <c r="D133" s="696"/>
      <c r="E133" s="696"/>
      <c r="F133" s="696"/>
      <c r="G133" s="697"/>
      <c r="H133" s="504"/>
      <c r="I133" s="504"/>
      <c r="J133" s="504"/>
      <c r="K133" s="530"/>
      <c r="L133" s="504"/>
      <c r="M133" s="504"/>
      <c r="N133" s="504"/>
      <c r="O133" s="504"/>
      <c r="P133" s="504"/>
      <c r="Q133" s="159"/>
      <c r="R133" s="504"/>
      <c r="S133" s="504"/>
      <c r="T133" s="504"/>
      <c r="U133" s="504"/>
      <c r="V133" s="504"/>
      <c r="W133" s="504"/>
      <c r="X133" s="504"/>
      <c r="Y133" s="504"/>
    </row>
    <row r="134" spans="1:25" ht="15">
      <c r="B134" s="173" t="s">
        <v>93</v>
      </c>
      <c r="C134" s="84"/>
      <c r="D134" s="174"/>
      <c r="E134" s="686" t="s">
        <v>94</v>
      </c>
      <c r="F134" s="687"/>
      <c r="G134" s="688"/>
      <c r="H134" s="504"/>
      <c r="I134" s="504"/>
      <c r="J134" s="504"/>
      <c r="K134" s="530"/>
      <c r="L134" s="504"/>
      <c r="M134" s="504"/>
      <c r="N134" s="504"/>
      <c r="O134" s="504"/>
      <c r="P134" s="504"/>
      <c r="Q134" s="159"/>
      <c r="R134" s="504"/>
      <c r="S134" s="504"/>
      <c r="T134" s="504"/>
      <c r="U134" s="504"/>
      <c r="V134" s="504"/>
      <c r="W134" s="504"/>
      <c r="X134" s="504"/>
      <c r="Y134" s="504"/>
    </row>
    <row r="135" spans="1:25" ht="15">
      <c r="B135" s="540" t="s">
        <v>95</v>
      </c>
      <c r="C135" s="504"/>
      <c r="D135" s="175"/>
      <c r="E135" s="675"/>
      <c r="F135" s="676"/>
      <c r="G135" s="677"/>
      <c r="H135" s="504"/>
      <c r="I135" s="504"/>
      <c r="J135" s="504"/>
      <c r="K135" s="530"/>
      <c r="L135" s="504"/>
      <c r="M135" s="504"/>
      <c r="N135" s="504"/>
      <c r="O135" s="504"/>
      <c r="P135" s="504"/>
      <c r="Q135" s="159"/>
      <c r="R135" s="504"/>
      <c r="S135" s="504"/>
      <c r="T135" s="504"/>
      <c r="U135" s="504"/>
      <c r="V135" s="504"/>
      <c r="W135" s="504"/>
      <c r="X135" s="504"/>
      <c r="Y135" s="504"/>
    </row>
    <row r="136" spans="1:25">
      <c r="B136" s="540" t="s">
        <v>96</v>
      </c>
      <c r="C136" s="504"/>
      <c r="D136" s="541"/>
      <c r="E136" s="675"/>
      <c r="F136" s="676"/>
      <c r="G136" s="677"/>
      <c r="H136" s="504"/>
      <c r="I136" s="504"/>
      <c r="J136" s="504"/>
      <c r="K136" s="530"/>
      <c r="L136" s="504"/>
      <c r="M136" s="504"/>
      <c r="N136" s="504"/>
      <c r="O136" s="504"/>
      <c r="P136" s="504"/>
      <c r="Q136" s="159"/>
      <c r="R136" s="504"/>
      <c r="S136" s="504"/>
      <c r="T136" s="504"/>
      <c r="U136" s="504"/>
      <c r="V136" s="504"/>
      <c r="W136" s="504"/>
      <c r="X136" s="504"/>
      <c r="Y136" s="504"/>
    </row>
    <row r="137" spans="1:25">
      <c r="A137" s="504"/>
      <c r="B137" s="540" t="s">
        <v>97</v>
      </c>
      <c r="C137" s="504"/>
      <c r="D137" s="541"/>
      <c r="E137" s="675"/>
      <c r="F137" s="676"/>
      <c r="G137" s="677"/>
      <c r="H137" s="504"/>
      <c r="I137" s="504"/>
      <c r="J137" s="504"/>
      <c r="K137" s="530"/>
      <c r="L137" s="504"/>
      <c r="M137" s="504"/>
      <c r="N137" s="504"/>
      <c r="O137" s="504"/>
      <c r="P137" s="504"/>
      <c r="Q137" s="159"/>
      <c r="R137" s="504"/>
      <c r="S137" s="504"/>
      <c r="T137" s="504"/>
      <c r="U137" s="504"/>
      <c r="V137" s="504"/>
      <c r="W137" s="504"/>
      <c r="X137" s="504"/>
      <c r="Y137" s="504"/>
    </row>
    <row r="138" spans="1:25" ht="15.75" customHeight="1">
      <c r="A138" s="504"/>
      <c r="B138" s="505" t="s">
        <v>98</v>
      </c>
      <c r="C138" s="506"/>
      <c r="D138" s="547"/>
      <c r="E138" s="678"/>
      <c r="F138" s="679"/>
      <c r="G138" s="680"/>
      <c r="H138" s="504"/>
      <c r="I138" s="504"/>
      <c r="J138" s="504"/>
      <c r="K138" s="530"/>
      <c r="L138" s="504"/>
      <c r="M138" s="504"/>
      <c r="N138" s="504"/>
      <c r="O138" s="504"/>
      <c r="P138" s="504"/>
      <c r="Q138" s="504"/>
      <c r="R138" s="504"/>
      <c r="S138" s="504"/>
      <c r="T138" s="504"/>
      <c r="U138" s="504"/>
      <c r="V138" s="504"/>
      <c r="W138" s="504"/>
      <c r="X138" s="504"/>
      <c r="Y138" s="504"/>
    </row>
    <row r="139" spans="1:25">
      <c r="A139" s="523"/>
      <c r="B139" s="511"/>
      <c r="C139" s="511"/>
      <c r="D139" s="511"/>
      <c r="E139" s="511"/>
      <c r="F139" s="511"/>
      <c r="G139" s="511"/>
      <c r="H139" s="511"/>
      <c r="I139" s="504"/>
      <c r="J139" s="504"/>
      <c r="K139" s="530"/>
      <c r="L139" s="504"/>
      <c r="M139" s="504"/>
      <c r="N139" s="504"/>
      <c r="O139" s="504"/>
      <c r="P139" s="504"/>
      <c r="Q139" s="504"/>
      <c r="R139" s="504"/>
      <c r="S139" s="504"/>
      <c r="T139" s="504"/>
      <c r="U139" s="504"/>
      <c r="V139" s="504"/>
      <c r="W139" s="504"/>
      <c r="X139" s="504"/>
      <c r="Y139" s="504"/>
    </row>
    <row r="140" spans="1:25">
      <c r="A140" s="523"/>
      <c r="B140" s="504"/>
      <c r="C140" s="504"/>
      <c r="D140" s="504"/>
      <c r="E140" s="504"/>
      <c r="F140" s="504"/>
      <c r="G140" s="504"/>
      <c r="H140" s="504"/>
      <c r="I140" s="504"/>
      <c r="J140" s="504"/>
      <c r="K140" s="530"/>
      <c r="L140" s="504"/>
      <c r="M140" s="504"/>
      <c r="N140" s="504"/>
      <c r="O140" s="504"/>
      <c r="P140" s="504"/>
      <c r="Q140" s="504"/>
      <c r="R140" s="504"/>
      <c r="S140" s="504"/>
      <c r="T140" s="504"/>
      <c r="U140" s="504"/>
      <c r="V140" s="504"/>
      <c r="W140" s="504"/>
      <c r="X140" s="504"/>
      <c r="Y140" s="504"/>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4"/>
      <c r="B1" s="215" t="s">
        <v>99</v>
      </c>
      <c r="C1" s="504"/>
      <c r="D1" s="504"/>
      <c r="E1" s="504"/>
      <c r="F1" s="504"/>
      <c r="G1" s="504"/>
      <c r="H1" s="504"/>
      <c r="I1" s="504"/>
      <c r="J1" s="504"/>
      <c r="K1" s="504"/>
      <c r="L1" s="504"/>
      <c r="M1" s="504"/>
      <c r="N1" s="504"/>
      <c r="O1" s="504"/>
      <c r="P1" s="504"/>
      <c r="Q1" s="504"/>
      <c r="R1" s="504"/>
      <c r="S1" s="504"/>
      <c r="T1" s="504"/>
      <c r="U1" s="504"/>
      <c r="V1" s="504"/>
      <c r="W1" s="504"/>
      <c r="X1" s="504"/>
      <c r="Y1" s="504"/>
      <c r="Z1" s="504"/>
      <c r="AA1" s="504"/>
      <c r="AB1" s="504"/>
      <c r="AC1"/>
      <c r="AD1"/>
      <c r="AE1"/>
      <c r="AF1"/>
      <c r="AG1"/>
      <c r="AH1"/>
      <c r="AI1"/>
      <c r="AJ1"/>
      <c r="AK1"/>
      <c r="AL1"/>
      <c r="AM1"/>
      <c r="AN1"/>
      <c r="AO1"/>
      <c r="AP1"/>
    </row>
    <row r="2" spans="1:42" ht="38.25" customHeight="1">
      <c r="A2" s="504"/>
      <c r="B2" s="504"/>
      <c r="C2" s="504"/>
      <c r="D2" s="504"/>
      <c r="E2" s="19"/>
      <c r="F2" s="504">
        <f>LEN(D15)</f>
        <v>5</v>
      </c>
      <c r="G2" s="504"/>
      <c r="H2" s="504"/>
      <c r="I2" s="504"/>
      <c r="J2" s="504"/>
      <c r="K2" s="504"/>
      <c r="L2" s="504"/>
      <c r="M2" s="496" t="s">
        <v>346</v>
      </c>
      <c r="N2" s="504"/>
      <c r="O2" s="504"/>
      <c r="P2" s="504"/>
      <c r="Q2" s="504"/>
      <c r="R2" s="504"/>
      <c r="S2" s="504"/>
      <c r="T2" s="504"/>
      <c r="U2" s="504"/>
      <c r="V2" s="504" t="b">
        <f>ISBLANK(D15)</f>
        <v>0</v>
      </c>
      <c r="W2" s="504"/>
      <c r="X2" s="504"/>
      <c r="Y2" s="504"/>
      <c r="Z2" s="504"/>
      <c r="AA2" s="504"/>
      <c r="AB2" s="504"/>
      <c r="AC2"/>
      <c r="AD2"/>
      <c r="AE2"/>
      <c r="AF2"/>
      <c r="AG2"/>
      <c r="AH2"/>
      <c r="AI2"/>
      <c r="AJ2"/>
      <c r="AK2"/>
      <c r="AL2"/>
      <c r="AM2"/>
      <c r="AN2"/>
      <c r="AO2"/>
      <c r="AP2"/>
    </row>
    <row r="3" spans="1:42" ht="23.25">
      <c r="A3" s="504"/>
      <c r="B3" s="504"/>
      <c r="C3" s="185" t="s">
        <v>100</v>
      </c>
      <c r="D3" s="185"/>
      <c r="E3" s="185"/>
      <c r="F3" s="504"/>
      <c r="G3" s="504"/>
      <c r="H3" s="504"/>
      <c r="I3" s="504"/>
      <c r="J3" s="504"/>
      <c r="K3" s="344" t="s">
        <v>101</v>
      </c>
      <c r="L3" s="345"/>
      <c r="M3" s="486">
        <v>2026</v>
      </c>
      <c r="N3" s="504"/>
      <c r="O3" s="504"/>
      <c r="P3" s="504"/>
      <c r="Q3" s="504"/>
      <c r="R3" s="504"/>
      <c r="S3" s="504"/>
      <c r="T3" s="504"/>
      <c r="U3" s="216"/>
      <c r="V3" s="504"/>
      <c r="W3" s="185"/>
      <c r="X3" s="216"/>
      <c r="Y3" s="216"/>
      <c r="Z3" s="185"/>
      <c r="AA3" s="185"/>
      <c r="AB3" s="185"/>
      <c r="AC3"/>
      <c r="AD3"/>
      <c r="AE3"/>
      <c r="AF3"/>
      <c r="AG3"/>
      <c r="AH3"/>
      <c r="AI3"/>
      <c r="AJ3"/>
      <c r="AK3"/>
      <c r="AL3"/>
      <c r="AM3"/>
      <c r="AN3"/>
      <c r="AO3"/>
      <c r="AP3"/>
    </row>
    <row r="4" spans="1:42" ht="15">
      <c r="A4" s="726">
        <v>1</v>
      </c>
      <c r="B4" s="504"/>
      <c r="C4" s="265" t="s">
        <v>102</v>
      </c>
      <c r="D4" s="266"/>
      <c r="E4" s="266"/>
      <c r="F4" s="381"/>
      <c r="G4" s="381"/>
      <c r="H4" s="381"/>
      <c r="I4" s="381"/>
      <c r="J4" s="382"/>
      <c r="K4" s="712" t="s">
        <v>103</v>
      </c>
      <c r="L4" s="713"/>
      <c r="M4" s="714"/>
      <c r="N4" s="712" t="s">
        <v>104</v>
      </c>
      <c r="O4" s="713"/>
      <c r="P4" s="713"/>
      <c r="Q4" s="713"/>
      <c r="R4" s="713"/>
      <c r="S4" s="712" t="s">
        <v>105</v>
      </c>
      <c r="T4" s="713"/>
      <c r="U4" s="714"/>
      <c r="V4" s="504"/>
      <c r="W4" s="504"/>
      <c r="X4" s="189"/>
      <c r="Y4" s="504"/>
      <c r="Z4" s="504"/>
      <c r="AA4" s="504"/>
      <c r="AB4" s="504"/>
      <c r="AC4" t="s">
        <v>356</v>
      </c>
      <c r="AD4"/>
      <c r="AE4"/>
      <c r="AF4"/>
      <c r="AG4"/>
      <c r="AH4"/>
      <c r="AI4"/>
      <c r="AJ4"/>
      <c r="AK4"/>
      <c r="AL4"/>
      <c r="AM4"/>
      <c r="AN4"/>
      <c r="AO4"/>
      <c r="AP4"/>
    </row>
    <row r="5" spans="1:42" ht="15">
      <c r="A5" s="726"/>
      <c r="B5" s="504"/>
      <c r="C5" s="265">
        <f>'1. Framskrivningsunderlag'!G2</f>
        <v>0</v>
      </c>
      <c r="D5" s="266"/>
      <c r="E5" s="725" t="s">
        <v>106</v>
      </c>
      <c r="F5" s="725"/>
      <c r="G5" s="383" t="s">
        <v>107</v>
      </c>
      <c r="H5" s="383" t="s">
        <v>108</v>
      </c>
      <c r="I5" s="383" t="s">
        <v>109</v>
      </c>
      <c r="J5" s="383" t="s">
        <v>110</v>
      </c>
      <c r="K5" s="265"/>
      <c r="L5" s="383"/>
      <c r="M5" s="384">
        <f>P5</f>
        <v>2026</v>
      </c>
      <c r="N5" s="265"/>
      <c r="O5" s="266"/>
      <c r="P5" s="385">
        <f>IF(M3&lt;&gt;"",M3,YEAR('3. Finansiering'!C1))</f>
        <v>2026</v>
      </c>
      <c r="Q5" s="385">
        <f>P5+10</f>
        <v>2036</v>
      </c>
      <c r="R5" s="385">
        <f>Q5+10</f>
        <v>2046</v>
      </c>
      <c r="S5" s="265" t="s">
        <v>111</v>
      </c>
      <c r="T5" s="383" t="s">
        <v>112</v>
      </c>
      <c r="U5" s="386" t="s">
        <v>113</v>
      </c>
      <c r="V5" s="504"/>
      <c r="W5" s="504"/>
      <c r="X5" s="504"/>
      <c r="Y5" s="504"/>
      <c r="Z5" s="504"/>
      <c r="AA5" s="504"/>
      <c r="AB5" s="504"/>
      <c r="AC5" t="s">
        <v>357</v>
      </c>
      <c r="AD5"/>
      <c r="AE5"/>
      <c r="AF5"/>
      <c r="AG5"/>
      <c r="AH5"/>
      <c r="AI5"/>
      <c r="AJ5"/>
      <c r="AK5"/>
      <c r="AL5"/>
      <c r="AM5"/>
      <c r="AN5"/>
      <c r="AO5"/>
      <c r="AP5"/>
    </row>
    <row r="6" spans="1:42" ht="15">
      <c r="A6" s="726"/>
      <c r="B6" s="504"/>
      <c r="C6" s="227" t="s">
        <v>6</v>
      </c>
      <c r="D6" s="228"/>
      <c r="E6" s="730" t="str">
        <f>'1. Framskrivningsunderlag'!$G$5</f>
        <v>Fyll i</v>
      </c>
      <c r="F6" s="730"/>
      <c r="G6" s="229" t="str">
        <f>'1. Framskrivningsunderlag'!$G$6</f>
        <v>Fyll i</v>
      </c>
      <c r="H6" s="333" t="str">
        <f>'1. Framskrivningsunderlag'!G10</f>
        <v>Fyll i</v>
      </c>
      <c r="I6" s="333" t="str">
        <f>'1. Framskrivningsunderlag'!$G$9</f>
        <v>Fyll i</v>
      </c>
      <c r="J6" s="333" t="str">
        <f>'1. Framskrivningsunderlag'!$G$8</f>
        <v>Fyll i</v>
      </c>
      <c r="K6" s="723" t="s">
        <v>60</v>
      </c>
      <c r="L6" s="724"/>
      <c r="M6" s="482">
        <v>6.5000000000000002E-2</v>
      </c>
      <c r="N6" s="581" t="s">
        <v>115</v>
      </c>
      <c r="O6" s="583"/>
      <c r="P6" s="370">
        <v>0</v>
      </c>
      <c r="Q6" s="372">
        <v>0</v>
      </c>
      <c r="R6" s="372">
        <v>0</v>
      </c>
      <c r="S6" s="580" t="s">
        <v>116</v>
      </c>
      <c r="T6" s="377">
        <v>0</v>
      </c>
      <c r="U6" s="378">
        <v>0</v>
      </c>
      <c r="V6" s="504"/>
      <c r="W6" s="504"/>
      <c r="X6" s="504"/>
      <c r="Y6" s="504"/>
      <c r="Z6" s="504"/>
      <c r="AA6" s="504"/>
      <c r="AB6" s="504"/>
      <c r="AC6" t="s">
        <v>358</v>
      </c>
      <c r="AD6"/>
      <c r="AE6"/>
      <c r="AF6"/>
      <c r="AG6"/>
      <c r="AH6"/>
      <c r="AI6"/>
      <c r="AJ6"/>
      <c r="AK6"/>
      <c r="AL6"/>
      <c r="AM6"/>
      <c r="AN6"/>
      <c r="AO6"/>
      <c r="AP6"/>
    </row>
    <row r="7" spans="1:42" ht="15">
      <c r="A7" s="726"/>
      <c r="B7" s="504"/>
      <c r="C7" s="227"/>
      <c r="D7" s="228"/>
      <c r="E7" s="229"/>
      <c r="F7" s="229"/>
      <c r="G7" s="229"/>
      <c r="H7" s="229"/>
      <c r="I7" s="229"/>
      <c r="J7" s="584"/>
      <c r="K7" s="723" t="s">
        <v>118</v>
      </c>
      <c r="L7" s="724"/>
      <c r="M7" s="482">
        <v>4.5499999999999999E-2</v>
      </c>
      <c r="N7" s="581" t="s">
        <v>119</v>
      </c>
      <c r="O7" s="583"/>
      <c r="P7" s="370">
        <v>0</v>
      </c>
      <c r="Q7" s="372">
        <v>0</v>
      </c>
      <c r="R7" s="372">
        <v>0</v>
      </c>
      <c r="S7" s="580" t="s">
        <v>120</v>
      </c>
      <c r="T7" s="377">
        <v>0.03</v>
      </c>
      <c r="U7" s="378">
        <v>0</v>
      </c>
      <c r="V7" s="504"/>
      <c r="W7" s="504"/>
      <c r="X7" s="504"/>
      <c r="Y7" s="504"/>
      <c r="Z7" s="504"/>
      <c r="AA7" s="504"/>
      <c r="AB7" s="504"/>
      <c r="AC7" t="s">
        <v>359</v>
      </c>
      <c r="AD7"/>
      <c r="AE7"/>
      <c r="AF7"/>
      <c r="AG7"/>
      <c r="AH7"/>
      <c r="AI7"/>
      <c r="AJ7"/>
      <c r="AK7"/>
      <c r="AL7"/>
      <c r="AM7"/>
      <c r="AN7"/>
      <c r="AO7"/>
      <c r="AP7"/>
    </row>
    <row r="8" spans="1:42" ht="15">
      <c r="A8" s="726"/>
      <c r="B8" s="504"/>
      <c r="C8" s="227" t="s">
        <v>122</v>
      </c>
      <c r="D8" s="228"/>
      <c r="E8" s="732" t="str">
        <f>'1. Framskrivningsunderlag'!$G$11</f>
        <v>Fyll i</v>
      </c>
      <c r="F8" s="732"/>
      <c r="G8" s="229"/>
      <c r="H8" s="229"/>
      <c r="I8" s="229"/>
      <c r="J8" s="584"/>
      <c r="K8" s="723" t="s">
        <v>123</v>
      </c>
      <c r="L8" s="724"/>
      <c r="M8" s="483">
        <f>$M$11+$M$9</f>
        <v>8.5000000000000006E-2</v>
      </c>
      <c r="N8" s="581" t="s">
        <v>124</v>
      </c>
      <c r="O8" s="583"/>
      <c r="P8" s="371">
        <v>0</v>
      </c>
      <c r="Q8" s="585"/>
      <c r="R8" s="585"/>
      <c r="S8" s="580" t="s">
        <v>125</v>
      </c>
      <c r="T8" s="377">
        <v>0.03</v>
      </c>
      <c r="U8" s="378">
        <v>0</v>
      </c>
      <c r="V8" s="504"/>
      <c r="W8" s="504"/>
      <c r="X8" s="504"/>
      <c r="Y8" s="504"/>
      <c r="Z8" s="504"/>
      <c r="AA8" s="504"/>
      <c r="AB8" s="504"/>
      <c r="AC8" t="s">
        <v>360</v>
      </c>
      <c r="AD8"/>
      <c r="AE8"/>
      <c r="AF8"/>
      <c r="AG8"/>
      <c r="AH8"/>
      <c r="AI8"/>
      <c r="AJ8"/>
      <c r="AK8"/>
      <c r="AL8"/>
      <c r="AM8"/>
      <c r="AN8"/>
      <c r="AO8"/>
      <c r="AP8"/>
    </row>
    <row r="9" spans="1:42">
      <c r="A9" s="726"/>
      <c r="B9" s="504"/>
      <c r="C9" s="580"/>
      <c r="D9" s="586"/>
      <c r="E9" s="586"/>
      <c r="F9" s="586"/>
      <c r="G9" s="229"/>
      <c r="H9" s="229"/>
      <c r="I9" s="229"/>
      <c r="J9" s="584"/>
      <c r="K9" s="723" t="s">
        <v>63</v>
      </c>
      <c r="L9" s="724"/>
      <c r="M9" s="483">
        <v>0.02</v>
      </c>
      <c r="N9" s="581" t="s">
        <v>83</v>
      </c>
      <c r="O9" s="583"/>
      <c r="P9" s="370">
        <v>0</v>
      </c>
      <c r="Q9" s="587"/>
      <c r="R9" s="585"/>
      <c r="S9" s="588" t="s">
        <v>127</v>
      </c>
      <c r="T9" s="379">
        <v>0</v>
      </c>
      <c r="U9" s="380">
        <v>0</v>
      </c>
      <c r="V9" s="504"/>
      <c r="W9" s="504"/>
      <c r="X9" s="504"/>
      <c r="Y9" s="504"/>
      <c r="Z9" s="504"/>
      <c r="AA9" s="504"/>
      <c r="AB9" s="504"/>
      <c r="AC9" t="s">
        <v>361</v>
      </c>
      <c r="AD9"/>
      <c r="AE9"/>
      <c r="AF9"/>
      <c r="AG9"/>
      <c r="AH9"/>
      <c r="AI9"/>
      <c r="AJ9"/>
      <c r="AK9"/>
      <c r="AL9"/>
      <c r="AM9"/>
      <c r="AN9"/>
      <c r="AO9"/>
      <c r="AP9"/>
    </row>
    <row r="10" spans="1:42" ht="15">
      <c r="A10" s="726"/>
      <c r="B10" s="504"/>
      <c r="C10" s="231" t="s">
        <v>20</v>
      </c>
      <c r="D10" s="229"/>
      <c r="E10" s="229"/>
      <c r="F10" s="232" t="str">
        <f>'1. Framskrivningsunderlag'!$G$12</f>
        <v>Fyll i</v>
      </c>
      <c r="G10" s="233"/>
      <c r="H10" s="233"/>
      <c r="I10" s="233"/>
      <c r="J10" s="234"/>
      <c r="K10" s="723" t="s">
        <v>348</v>
      </c>
      <c r="L10" s="742"/>
      <c r="M10" s="483">
        <f>$H$79</f>
        <v>0</v>
      </c>
      <c r="N10" s="581" t="s">
        <v>129</v>
      </c>
      <c r="O10" s="583"/>
      <c r="P10" s="370">
        <v>0</v>
      </c>
      <c r="Q10" s="260" t="s">
        <v>130</v>
      </c>
      <c r="R10" s="261" t="s">
        <v>131</v>
      </c>
      <c r="S10" s="262" t="s">
        <v>56</v>
      </c>
      <c r="T10" s="263" t="str">
        <f>IFERROR(SUMPRODUCT(T6:T9,U6:U9)/U10,"")</f>
        <v/>
      </c>
      <c r="U10" s="264">
        <f>SUM(U6:U9)</f>
        <v>0</v>
      </c>
      <c r="V10" s="504"/>
      <c r="W10" s="504"/>
      <c r="X10" s="504"/>
      <c r="Y10" s="504"/>
      <c r="Z10" s="504"/>
      <c r="AA10" s="504"/>
      <c r="AB10" s="504"/>
      <c r="AC10"/>
      <c r="AD10"/>
      <c r="AE10"/>
      <c r="AF10"/>
      <c r="AG10"/>
      <c r="AH10"/>
      <c r="AI10"/>
      <c r="AJ10"/>
      <c r="AK10"/>
      <c r="AL10"/>
      <c r="AM10"/>
      <c r="AN10"/>
      <c r="AO10"/>
      <c r="AP10"/>
    </row>
    <row r="11" spans="1:42" ht="15">
      <c r="A11" s="726"/>
      <c r="B11" s="504"/>
      <c r="C11" s="235" t="s">
        <v>21</v>
      </c>
      <c r="D11" s="236"/>
      <c r="E11" s="236"/>
      <c r="F11" s="237" t="str">
        <f>'1. Framskrivningsunderlag'!$G$13</f>
        <v>Fyll i</v>
      </c>
      <c r="G11" s="236"/>
      <c r="H11" s="236"/>
      <c r="I11" s="236"/>
      <c r="J11" s="238"/>
      <c r="K11" s="723" t="s">
        <v>349</v>
      </c>
      <c r="L11" s="742"/>
      <c r="M11" s="483">
        <f>$M$6+$M$10</f>
        <v>6.5000000000000002E-2</v>
      </c>
      <c r="N11" s="581" t="s">
        <v>133</v>
      </c>
      <c r="O11" s="583"/>
      <c r="P11" s="370">
        <v>0</v>
      </c>
      <c r="Q11" s="373"/>
      <c r="R11" s="374"/>
      <c r="S11" s="227"/>
      <c r="T11" s="256"/>
      <c r="U11" s="257"/>
      <c r="V11" s="504"/>
      <c r="W11" s="504"/>
      <c r="X11" s="504"/>
      <c r="Y11" s="504"/>
      <c r="Z11" s="504"/>
      <c r="AA11" s="504"/>
      <c r="AB11" s="504"/>
      <c r="AC11"/>
      <c r="AD11"/>
      <c r="AE11"/>
      <c r="AF11"/>
      <c r="AG11"/>
      <c r="AH11"/>
      <c r="AI11"/>
      <c r="AJ11"/>
      <c r="AK11"/>
      <c r="AL11"/>
      <c r="AM11"/>
      <c r="AN11"/>
      <c r="AO11"/>
      <c r="AP11"/>
    </row>
    <row r="12" spans="1:42" ht="15">
      <c r="A12" s="726"/>
      <c r="B12" s="504"/>
      <c r="C12" s="239" t="s">
        <v>134</v>
      </c>
      <c r="D12" s="736" t="s">
        <v>135</v>
      </c>
      <c r="E12" s="736"/>
      <c r="F12" s="240" t="s">
        <v>78</v>
      </c>
      <c r="G12" s="241"/>
      <c r="H12" s="241"/>
      <c r="I12" s="241" t="s">
        <v>136</v>
      </c>
      <c r="J12" s="242"/>
      <c r="K12" s="580"/>
      <c r="L12" s="589"/>
      <c r="M12" s="483"/>
      <c r="N12" s="581" t="s">
        <v>137</v>
      </c>
      <c r="O12" s="583"/>
      <c r="P12" s="370">
        <v>0</v>
      </c>
      <c r="Q12" s="373"/>
      <c r="R12" s="374"/>
      <c r="S12" s="227"/>
      <c r="T12" s="256"/>
      <c r="U12" s="257"/>
      <c r="V12" s="504"/>
      <c r="W12" s="504"/>
      <c r="X12" s="504"/>
      <c r="Y12" s="504"/>
      <c r="Z12" s="504"/>
      <c r="AA12" s="504"/>
      <c r="AB12" s="504"/>
      <c r="AC12" t="s">
        <v>411</v>
      </c>
      <c r="AD12">
        <v>1</v>
      </c>
      <c r="AE12"/>
      <c r="AF12"/>
      <c r="AG12"/>
      <c r="AH12"/>
      <c r="AI12"/>
      <c r="AJ12"/>
      <c r="AK12"/>
      <c r="AL12"/>
      <c r="AM12"/>
      <c r="AN12"/>
      <c r="AO12"/>
      <c r="AP12"/>
    </row>
    <row r="13" spans="1:42" ht="15">
      <c r="A13" s="726"/>
      <c r="B13" s="504"/>
      <c r="C13" s="251" t="str">
        <f>CONCATENATE("NPV ",Q17)</f>
        <v>NPV 20</v>
      </c>
      <c r="D13" s="715">
        <f>IF(G13&lt;&gt;"","",'4. NPV'!$E$82/1000)</f>
        <v>10300.000000000029</v>
      </c>
      <c r="E13" s="715"/>
      <c r="F13" s="243" t="s">
        <v>139</v>
      </c>
      <c r="G13" s="244" t="str">
        <f>IF(COUNTA(M3,M6,M7,M9,Q15,Q17,C23:C27,E23:E27,F23:F27,G23:G27,I23:I27,J23:J27,M23:M27,N23:N27,O23:O27,Q23:Q27,S23:S27,R23:R27)&lt;17,"Fyll i alla tvingande fält",IF(SUMPRODUCT(--($H$23:$H$27&gt;0),--($E$23:$E$27&lt;&gt;"Bef"),--($T$23:$T$27=0))&gt;0,"Investering saknas för objekt med area (sektion 4)",IF($AD$12&lt;&gt;1,"Hyresmultiplikator AD12 ≠ 1","")))</f>
        <v/>
      </c>
      <c r="H13" s="245"/>
      <c r="I13" s="499" t="str">
        <f>IF(SUM(G39:H39)=0,"Inga driftkostnader angivna","")</f>
        <v/>
      </c>
      <c r="J13" s="246"/>
      <c r="K13" s="580"/>
      <c r="L13" s="589"/>
      <c r="M13" s="483"/>
      <c r="N13" s="581"/>
      <c r="O13" s="583"/>
      <c r="P13" s="255"/>
      <c r="Q13" s="582"/>
      <c r="R13" s="585"/>
      <c r="S13" s="227"/>
      <c r="T13" s="256"/>
      <c r="U13" s="257"/>
      <c r="V13" s="504"/>
      <c r="W13" s="504"/>
      <c r="X13" s="504"/>
      <c r="Y13" s="504"/>
      <c r="Z13" s="504"/>
      <c r="AA13" s="504"/>
      <c r="AB13" s="504"/>
      <c r="AC13" t="s">
        <v>412</v>
      </c>
      <c r="AD13" t="s">
        <v>402</v>
      </c>
      <c r="AE13" t="s">
        <v>413</v>
      </c>
      <c r="AF13" t="s">
        <v>414</v>
      </c>
      <c r="AG13" t="s">
        <v>415</v>
      </c>
      <c r="AH13" t="s">
        <v>416</v>
      </c>
      <c r="AI13" t="s">
        <v>417</v>
      </c>
      <c r="AJ13"/>
      <c r="AK13"/>
      <c r="AL13"/>
      <c r="AM13"/>
      <c r="AN13"/>
      <c r="AO13"/>
      <c r="AP13"/>
    </row>
    <row r="14" spans="1:42" ht="15" customHeight="1">
      <c r="A14" s="726"/>
      <c r="B14" s="504"/>
      <c r="C14" s="251" t="s">
        <v>141</v>
      </c>
      <c r="D14" s="733">
        <f>IF('5. IRR'!D40="N/A"," ",'5. IRR'!D40)</f>
        <v>8.0324062183164679E-2</v>
      </c>
      <c r="E14" s="733"/>
      <c r="F14" s="502">
        <v>6.3399999999999998E-2</v>
      </c>
      <c r="G14" s="722" t="str">
        <f>IF('5. IRR'!C11&lt;&gt;"","Eget restvärde ifyllt i 5. IRR. ","")&amp;IF(M10&lt;&gt;0,"Yield "&amp;IF(M10&gt;0,"+","")&amp;ROUND(M10*100,2)&amp;" pp → "&amp;ROUND(M11*100,2)&amp;" %","")</f>
        <v/>
      </c>
      <c r="H14" s="722"/>
      <c r="I14" s="499" t="str">
        <f>IF(SUM(G39:H39)&gt;0,IF(AND(H39=0,G28&lt;&gt;0),"Driftkostnad ev. angiven på fel yta",""),"")</f>
        <v/>
      </c>
      <c r="J14" s="246"/>
      <c r="K14" s="247" t="s">
        <v>142</v>
      </c>
      <c r="L14" s="589"/>
      <c r="M14" s="483">
        <f>IFERROR(P28,"")</f>
        <v>0</v>
      </c>
      <c r="N14" s="581" t="s">
        <v>143</v>
      </c>
      <c r="O14" s="583"/>
      <c r="P14" s="258">
        <v>80</v>
      </c>
      <c r="Q14" s="259" t="s">
        <v>144</v>
      </c>
      <c r="R14" s="585"/>
      <c r="S14" s="580"/>
      <c r="T14" s="586"/>
      <c r="U14" s="584"/>
      <c r="V14" s="504"/>
      <c r="W14" s="504"/>
      <c r="X14" s="504"/>
      <c r="Y14" s="504"/>
      <c r="Z14" s="504"/>
      <c r="AA14" s="504"/>
      <c r="AB14" s="504"/>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726"/>
      <c r="B15" s="504"/>
      <c r="C15" s="251" t="s">
        <v>146</v>
      </c>
      <c r="D15" s="734">
        <f>IF(G13&lt;&gt;"","",('4. NPV'!E52-('2. Kalkyldata'!$P$9+'2. Kalkyldata'!$X$28-'2. Kalkyldata'!$P$10))/1000)</f>
        <v>10300.000000000029</v>
      </c>
      <c r="E15" s="734"/>
      <c r="F15" s="248" t="s">
        <v>139</v>
      </c>
      <c r="G15" s="249"/>
      <c r="H15" s="245"/>
      <c r="I15" s="499" t="str">
        <f>IF(OR(AND(M23&lt;&gt;0,M23&lt;$M$3),AND(M24&lt;&gt;0,M24&lt;$M$3),AND(M25&lt;&gt;0,M25&lt;$M$3),AND(M26&lt;&gt;0,M26&lt;$M$3),AND(M27&lt;&gt;0,M27&lt;$M$3)),"Glapp, Avtalstid / Kalkylstart","")</f>
        <v/>
      </c>
      <c r="J15" s="246"/>
      <c r="K15" s="580"/>
      <c r="L15" s="589"/>
      <c r="M15" s="590"/>
      <c r="N15" s="581" t="s">
        <v>147</v>
      </c>
      <c r="O15" s="583"/>
      <c r="P15" s="252">
        <f>IF(Q15&lt;&gt;"",Q15,'2. Kalkyldata'!T10)</f>
        <v>0.03</v>
      </c>
      <c r="Q15" s="375">
        <v>0.03</v>
      </c>
      <c r="R15" s="585"/>
      <c r="S15" s="727" t="s">
        <v>148</v>
      </c>
      <c r="T15" s="728"/>
      <c r="U15" s="729"/>
      <c r="V15" s="504"/>
      <c r="W15" s="504"/>
      <c r="X15" s="504"/>
      <c r="Y15" s="504"/>
      <c r="Z15" s="504"/>
      <c r="AA15" s="504"/>
      <c r="AB15" s="504"/>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726"/>
      <c r="B16" s="504"/>
      <c r="C16" s="251" t="s">
        <v>150</v>
      </c>
      <c r="D16" s="735">
        <f>'4. NPV'!$C$62</f>
        <v>15</v>
      </c>
      <c r="E16" s="735"/>
      <c r="F16" s="248"/>
      <c r="G16" s="248"/>
      <c r="H16" s="245"/>
      <c r="I16" s="499" t="str">
        <f>IF(OR(AND(R23&lt;&gt;0,R23&lt;M23),AND(R24&lt;&gt;0,R24&lt;M24),AND(R25&lt;&gt;0,R25&lt;M25),AND(R26&lt;&gt;0,R26&lt;M26),AND(R27&lt;&gt;0,R27&lt;M27)),"Glapp, Prod.avslut / Avtalstid","")</f>
        <v/>
      </c>
      <c r="J16" s="246"/>
      <c r="K16" s="580" t="s">
        <v>151</v>
      </c>
      <c r="L16" s="589"/>
      <c r="M16" s="483">
        <v>0.20599999999999999</v>
      </c>
      <c r="N16" s="581" t="s">
        <v>59</v>
      </c>
      <c r="O16" s="583"/>
      <c r="P16" s="253">
        <f>(FLOOR(100%/P15,1))</f>
        <v>33</v>
      </c>
      <c r="Q16" s="591"/>
      <c r="R16" s="592"/>
      <c r="S16" s="387" t="s">
        <v>152</v>
      </c>
      <c r="T16" s="388" t="s">
        <v>27</v>
      </c>
      <c r="U16" s="388" t="s">
        <v>153</v>
      </c>
      <c r="V16" s="504"/>
      <c r="W16" s="504"/>
      <c r="X16" s="504"/>
      <c r="Y16" s="504"/>
      <c r="Z16" s="504"/>
      <c r="AA16" s="504"/>
      <c r="AB16" s="504"/>
      <c r="AC16">
        <v>1</v>
      </c>
      <c r="AD16">
        <v>10300000.00000003</v>
      </c>
      <c r="AE16">
        <v>31935235.733106434</v>
      </c>
      <c r="AF16">
        <v>32760000.00000003</v>
      </c>
      <c r="AG16">
        <v>-4529999.9999999702</v>
      </c>
      <c r="AH16">
        <v>47117800.308166087</v>
      </c>
      <c r="AI16">
        <v>20801355.044729382</v>
      </c>
      <c r="AJ16"/>
      <c r="AK16"/>
      <c r="AL16"/>
      <c r="AM16"/>
      <c r="AN16"/>
      <c r="AO16"/>
      <c r="AP16"/>
    </row>
    <row r="17" spans="1:79">
      <c r="A17" s="726"/>
      <c r="B17" s="504"/>
      <c r="C17" s="251" t="s">
        <v>421</v>
      </c>
      <c r="D17" s="760">
        <f>IF(G13&lt;&gt;"","",CEILING($AD$19*$AD$20,1))</f>
        <v>2559</v>
      </c>
      <c r="E17" s="735"/>
      <c r="F17" s="248" t="str">
        <f>IF(G13&lt;&gt;"","",LEFT($AE$19,3))</f>
        <v>NPV</v>
      </c>
      <c r="G17" s="722" t="str">
        <f>IF(G13&lt;&gt;"","",IF(D17&lt;=$AD$20,"Angiven hyra räcker","Höj hyran "&amp;ROUND(D17-$AD$20,0)&amp;" kr/kvm"))</f>
        <v>Angiven hyra räcker</v>
      </c>
      <c r="H17" s="722"/>
      <c r="I17" s="500" t="str">
        <f>IF(OR(AND(M23&lt;&gt;0,M23&lt;R23),AND(M24&lt;&gt;0,M24&lt;R24),AND(M25&lt;&gt;0,M25&lt;R25),AND(M26&lt;&gt;0,M26&lt;R26),AND(M27&lt;&gt;0,M27&lt;R27)),"Glapp, Avtalstid / Prod.avslut","")</f>
        <v/>
      </c>
      <c r="J17" s="250"/>
      <c r="K17" s="588"/>
      <c r="L17" s="593"/>
      <c r="M17" s="594"/>
      <c r="N17" s="595" t="s">
        <v>58</v>
      </c>
      <c r="O17" s="596"/>
      <c r="P17" s="254">
        <f>IF(Q17&lt;&gt;0,Q17,(FLOOR(100%/P15,1)))</f>
        <v>20</v>
      </c>
      <c r="Q17" s="376">
        <v>20</v>
      </c>
      <c r="R17" s="597"/>
      <c r="S17" s="598" t="str">
        <f>J6</f>
        <v>Fyll i</v>
      </c>
      <c r="T17" s="389"/>
      <c r="U17" s="390">
        <f>IFERROR($T$17*$J$6,0)</f>
        <v>0</v>
      </c>
      <c r="V17" s="504"/>
      <c r="W17" s="504"/>
      <c r="X17" s="504"/>
      <c r="Y17" s="504"/>
      <c r="Z17" s="504"/>
      <c r="AA17" s="504"/>
      <c r="AB17" s="504"/>
      <c r="AC17"/>
      <c r="AD17"/>
      <c r="AE17"/>
      <c r="AF17"/>
      <c r="AG17"/>
      <c r="AH17"/>
      <c r="AI17"/>
      <c r="AJ17"/>
      <c r="AK17"/>
      <c r="AL17"/>
      <c r="AM17"/>
      <c r="AN17"/>
      <c r="AO17"/>
      <c r="AP17"/>
      <c r="AQ17" s="504"/>
      <c r="AR17" s="504"/>
      <c r="AS17" s="504"/>
      <c r="AT17" s="504"/>
      <c r="AU17" s="504"/>
      <c r="AV17" s="504"/>
      <c r="AW17" s="504"/>
      <c r="AX17" s="504"/>
      <c r="AY17" s="504"/>
      <c r="AZ17" s="504"/>
      <c r="BA17" s="504"/>
      <c r="BB17" s="504"/>
      <c r="BC17" s="504"/>
      <c r="BD17" s="504"/>
      <c r="BE17" s="504"/>
      <c r="BF17" s="504"/>
      <c r="BG17" s="504"/>
      <c r="BH17" s="504"/>
      <c r="BI17" s="504"/>
      <c r="BJ17" s="504"/>
      <c r="BK17" s="504"/>
      <c r="BL17" s="504"/>
      <c r="BM17" s="504"/>
      <c r="BN17" s="504"/>
      <c r="BO17" s="504"/>
      <c r="BP17" s="504"/>
      <c r="BQ17" s="504"/>
      <c r="BR17" s="504"/>
      <c r="BS17" s="504"/>
      <c r="BT17" s="504"/>
      <c r="BU17" s="504"/>
      <c r="BV17" s="504"/>
      <c r="BW17" s="504"/>
      <c r="BX17" s="504"/>
      <c r="BY17" s="504"/>
      <c r="BZ17" s="504"/>
      <c r="CA17" s="504"/>
    </row>
    <row r="18" spans="1:79" ht="30" customHeight="1">
      <c r="A18" s="504"/>
      <c r="B18" s="504"/>
      <c r="C18" s="504"/>
      <c r="D18" s="504"/>
      <c r="E18" s="504"/>
      <c r="F18" s="504"/>
      <c r="G18" s="504"/>
      <c r="H18" s="504"/>
      <c r="I18" s="754" t="str">
        <f>IF(COUNTIF(E23:E27,"Bef")+(P9&gt;0)&gt;0,"Bef-objekt och befintligt bokfört värde ingår bara i krav 3 (hela fastigheten). Krav 1–2 räknar tillkommande.","")</f>
        <v/>
      </c>
      <c r="J18" s="752"/>
      <c r="K18" s="752"/>
      <c r="L18" s="752"/>
      <c r="M18" s="753"/>
      <c r="N18" s="595" t="s">
        <v>378</v>
      </c>
      <c r="O18" s="504"/>
      <c r="P18" s="254">
        <f>IF(Q18&lt;&gt;0,Q18,P16)</f>
        <v>33</v>
      </c>
      <c r="Q18" s="376"/>
      <c r="R18" s="504"/>
      <c r="S18" s="504"/>
      <c r="T18" s="504"/>
      <c r="U18" s="599"/>
      <c r="V18" s="504"/>
      <c r="W18" s="504"/>
      <c r="X18" s="504"/>
      <c r="Y18" s="504"/>
      <c r="Z18" s="504"/>
      <c r="AA18" s="504"/>
      <c r="AB18" s="504"/>
      <c r="AC18" t="s">
        <v>418</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504"/>
      <c r="AR18" s="504"/>
      <c r="AS18" s="504"/>
      <c r="AT18" s="504"/>
      <c r="AU18" s="504"/>
      <c r="AV18" s="504"/>
      <c r="AW18" s="504"/>
      <c r="AX18" s="504"/>
      <c r="AY18" s="504"/>
      <c r="AZ18" s="504"/>
      <c r="BA18" s="504"/>
      <c r="BB18" s="504"/>
      <c r="BC18" s="504"/>
      <c r="BD18" s="504"/>
      <c r="BE18" s="504"/>
      <c r="BF18" s="504"/>
      <c r="BG18" s="504"/>
      <c r="BH18" s="504"/>
      <c r="BI18" s="504"/>
      <c r="BJ18" s="504"/>
      <c r="BK18" s="504"/>
      <c r="BL18" s="504"/>
      <c r="BM18" s="504"/>
      <c r="BN18" s="504"/>
      <c r="BO18" s="504"/>
      <c r="BP18" s="504"/>
      <c r="BQ18" s="504"/>
      <c r="BR18" s="504"/>
      <c r="BS18" s="504"/>
      <c r="BT18" s="504"/>
      <c r="BU18" s="504"/>
      <c r="BV18" s="504"/>
      <c r="BW18" s="504"/>
      <c r="BX18" s="504"/>
      <c r="BY18" s="504"/>
      <c r="BZ18" s="504"/>
      <c r="CA18" s="504"/>
    </row>
    <row r="19" spans="1:79" ht="23.25">
      <c r="A19" s="504"/>
      <c r="B19" s="504"/>
      <c r="C19" s="185" t="s">
        <v>157</v>
      </c>
      <c r="D19" s="185"/>
      <c r="E19" s="185"/>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t="s">
        <v>419</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4"/>
      <c r="AR19" s="504"/>
      <c r="AS19" s="189" t="s">
        <v>159</v>
      </c>
      <c r="AT19" s="504"/>
      <c r="AU19" s="504"/>
      <c r="AV19" s="504"/>
      <c r="AW19" s="504"/>
      <c r="AX19" s="504"/>
      <c r="AY19" s="504"/>
      <c r="AZ19" s="504"/>
      <c r="BA19" s="504"/>
      <c r="BB19" s="504"/>
      <c r="BC19" s="504"/>
      <c r="BD19" s="504"/>
      <c r="BE19" s="504"/>
      <c r="BF19" s="504"/>
      <c r="BG19" s="504"/>
      <c r="BH19" s="504"/>
      <c r="BI19" s="504"/>
      <c r="BJ19" s="504"/>
      <c r="BK19" s="504"/>
      <c r="BL19" s="504"/>
      <c r="BM19" s="504"/>
      <c r="BN19" s="504"/>
      <c r="BO19" s="504"/>
      <c r="BP19" s="504"/>
      <c r="BQ19" s="504"/>
      <c r="BR19" s="504"/>
      <c r="BS19" s="504"/>
      <c r="BT19" s="504"/>
      <c r="BU19" s="504"/>
      <c r="BV19" s="504"/>
      <c r="BW19" s="504"/>
      <c r="BX19" s="504"/>
      <c r="BY19" s="504"/>
      <c r="BZ19" s="504"/>
      <c r="CA19" s="504"/>
    </row>
    <row r="20" spans="1:79">
      <c r="A20" s="504"/>
      <c r="B20" s="504"/>
      <c r="C20" s="600"/>
      <c r="D20" s="600"/>
      <c r="E20" s="600"/>
      <c r="F20" s="600"/>
      <c r="G20" s="600"/>
      <c r="H20" s="600"/>
      <c r="I20" s="600"/>
      <c r="J20" s="600"/>
      <c r="K20" s="600"/>
      <c r="L20" s="601"/>
      <c r="M20" s="600"/>
      <c r="N20" s="600"/>
      <c r="O20" s="504"/>
      <c r="P20" s="504"/>
      <c r="Q20" s="504"/>
      <c r="R20" s="504"/>
      <c r="S20" s="602"/>
      <c r="T20" s="504"/>
      <c r="U20" s="504"/>
      <c r="V20" s="504"/>
      <c r="W20" s="504"/>
      <c r="X20" s="504"/>
      <c r="Y20" s="504"/>
      <c r="Z20" s="504"/>
      <c r="AA20" s="504"/>
      <c r="AB20" s="504"/>
      <c r="AC20" t="s">
        <v>420</v>
      </c>
      <c r="AD20">
        <f>IFERROR(SUMPRODUCT(--($E$23:$E$27&lt;&gt;"Bef"),$I$23:$I$27,$H$23:$H$27)/SUMPRODUCT(--($E$23:$E$27&lt;&gt;"Bef"),$H$23:$H$27),0)</f>
        <v>2650</v>
      </c>
      <c r="AE20"/>
      <c r="AF20"/>
      <c r="AG20"/>
      <c r="AH20"/>
      <c r="AI20"/>
      <c r="AJ20"/>
      <c r="AK20"/>
      <c r="AL20"/>
      <c r="AM20"/>
      <c r="AN20"/>
      <c r="AO20"/>
      <c r="AP20"/>
      <c r="AQ20" s="504"/>
      <c r="AR20" s="504"/>
      <c r="AS20" s="504"/>
      <c r="AT20" s="504"/>
      <c r="AU20" s="504"/>
      <c r="AV20" s="504"/>
      <c r="AW20" s="504"/>
      <c r="AX20" s="504"/>
      <c r="AY20" s="504"/>
      <c r="AZ20" s="504"/>
      <c r="BA20" s="504"/>
      <c r="BB20" s="504"/>
      <c r="BC20" s="504"/>
      <c r="BD20" s="504"/>
      <c r="BE20" s="504"/>
      <c r="BF20" s="504"/>
      <c r="BG20" s="504"/>
      <c r="BH20" s="504"/>
      <c r="BI20" s="504"/>
      <c r="BJ20" s="504"/>
      <c r="BK20" s="504"/>
      <c r="BL20" s="504"/>
      <c r="BM20" s="504"/>
      <c r="BN20" s="504"/>
      <c r="BO20" s="504"/>
      <c r="BP20" s="504"/>
      <c r="BQ20" s="504"/>
      <c r="BR20" s="504"/>
      <c r="BS20" s="504"/>
      <c r="BT20" s="504"/>
      <c r="BU20" s="504"/>
      <c r="BV20" s="504"/>
      <c r="BW20" s="504"/>
      <c r="BX20" s="504"/>
      <c r="BY20" s="504"/>
      <c r="BZ20" s="504"/>
      <c r="CA20" s="504"/>
    </row>
    <row r="21" spans="1:79" ht="15" customHeight="1">
      <c r="A21" s="726">
        <v>2</v>
      </c>
      <c r="B21" s="504"/>
      <c r="C21" s="223" t="s">
        <v>160</v>
      </c>
      <c r="D21" s="224"/>
      <c r="E21" s="224"/>
      <c r="F21" s="720" t="s">
        <v>161</v>
      </c>
      <c r="G21" s="721"/>
      <c r="H21" s="731"/>
      <c r="I21" s="720" t="s">
        <v>162</v>
      </c>
      <c r="J21" s="721"/>
      <c r="K21" s="721"/>
      <c r="L21" s="731"/>
      <c r="M21" s="720" t="s">
        <v>163</v>
      </c>
      <c r="N21" s="731"/>
      <c r="O21" s="367" t="s">
        <v>164</v>
      </c>
      <c r="P21" s="368" t="s">
        <v>165</v>
      </c>
      <c r="Q21" s="720" t="s">
        <v>166</v>
      </c>
      <c r="R21" s="721"/>
      <c r="S21" s="721"/>
      <c r="T21" s="721"/>
      <c r="U21" s="731"/>
      <c r="V21" s="603"/>
      <c r="W21" s="720" t="s">
        <v>167</v>
      </c>
      <c r="X21" s="721"/>
      <c r="Y21" s="716" t="s">
        <v>83</v>
      </c>
      <c r="Z21" s="717"/>
      <c r="AA21" s="718"/>
      <c r="AB21" s="504"/>
      <c r="AC21" s="504"/>
      <c r="AD21" s="504"/>
      <c r="AE21" s="504"/>
      <c r="AF21" s="504"/>
      <c r="AG21" s="504"/>
      <c r="AH21" s="504"/>
      <c r="AI21" s="504"/>
      <c r="AJ21" s="504"/>
      <c r="AK21" s="504"/>
      <c r="AL21" s="504"/>
      <c r="AM21" s="504"/>
      <c r="AN21" s="504"/>
      <c r="AO21" s="504"/>
      <c r="AP21" s="504"/>
      <c r="AQ21" s="504"/>
      <c r="AR21" s="504"/>
      <c r="AS21" s="504"/>
      <c r="AT21" s="504"/>
      <c r="AU21" s="504"/>
      <c r="AV21" s="504"/>
      <c r="AW21" s="504"/>
      <c r="AX21" s="504"/>
      <c r="AY21" s="504"/>
      <c r="AZ21" s="504"/>
      <c r="BA21" s="504"/>
      <c r="BB21" s="504"/>
      <c r="BC21" s="504"/>
      <c r="BD21" s="504"/>
      <c r="BE21" s="504"/>
      <c r="BF21" s="504"/>
      <c r="BG21" s="504"/>
      <c r="BH21" s="504"/>
      <c r="BI21" s="504"/>
      <c r="BJ21" s="504"/>
      <c r="BK21" s="504"/>
      <c r="BL21" s="504"/>
      <c r="BM21" s="504"/>
      <c r="BN21" s="504"/>
      <c r="BO21" s="504"/>
      <c r="BP21" s="504"/>
      <c r="BQ21" s="504"/>
      <c r="BR21" s="504"/>
      <c r="BS21" s="504"/>
      <c r="BT21" s="504"/>
      <c r="BU21" s="504"/>
      <c r="BV21" s="504"/>
      <c r="BW21" s="504"/>
      <c r="BX21" s="504"/>
      <c r="BY21" s="504"/>
      <c r="BZ21" s="504"/>
      <c r="CA21" s="504"/>
    </row>
    <row r="22" spans="1:79" s="217" customFormat="1" ht="45">
      <c r="A22" s="726"/>
      <c r="B22" s="603"/>
      <c r="C22" s="268" t="s">
        <v>168</v>
      </c>
      <c r="D22" s="269" t="s">
        <v>29</v>
      </c>
      <c r="E22" s="268" t="s">
        <v>169</v>
      </c>
      <c r="F22" s="270" t="s">
        <v>170</v>
      </c>
      <c r="G22" s="271" t="s">
        <v>171</v>
      </c>
      <c r="H22" s="274" t="s">
        <v>158</v>
      </c>
      <c r="I22" s="273" t="s">
        <v>172</v>
      </c>
      <c r="J22" s="272" t="s">
        <v>138</v>
      </c>
      <c r="K22" s="272" t="s">
        <v>173</v>
      </c>
      <c r="L22" s="357" t="s">
        <v>174</v>
      </c>
      <c r="M22" s="270" t="s">
        <v>175</v>
      </c>
      <c r="N22" s="274" t="s">
        <v>176</v>
      </c>
      <c r="O22" s="275" t="str">
        <f>CONCATENATE(P5," 
kr/kvm")</f>
        <v>2026 
kr/kvm</v>
      </c>
      <c r="P22" s="487"/>
      <c r="Q22" s="494" t="s">
        <v>177</v>
      </c>
      <c r="R22" s="495" t="s">
        <v>178</v>
      </c>
      <c r="S22" s="276" t="str">
        <f>CONCATENATE("Budget kr/kvm ",$R23)</f>
        <v>Budget kr/kvm 2026</v>
      </c>
      <c r="T22" s="359" t="s">
        <v>179</v>
      </c>
      <c r="U22" s="277" t="s">
        <v>180</v>
      </c>
      <c r="V22" s="277" t="s">
        <v>422</v>
      </c>
      <c r="W22" s="275" t="s">
        <v>181</v>
      </c>
      <c r="X22" s="304" t="s">
        <v>182</v>
      </c>
      <c r="Y22" s="275" t="str">
        <f>CONCATENATE(" Budget inkl projektbelast.")</f>
        <v xml:space="preserve"> Budget inkl projektbelast.</v>
      </c>
      <c r="Z22" s="271" t="s">
        <v>183</v>
      </c>
      <c r="AA22" s="305" t="s">
        <v>184</v>
      </c>
      <c r="AB22" s="603"/>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3"/>
      <c r="AM22" s="603"/>
      <c r="AN22" s="603"/>
      <c r="AO22" s="603"/>
      <c r="AP22" s="603"/>
      <c r="AQ22" s="603"/>
      <c r="AR22" s="603"/>
      <c r="AS22" s="604">
        <f>$M$5</f>
        <v>2026</v>
      </c>
      <c r="AT22" s="604">
        <f>AS22+1</f>
        <v>2027</v>
      </c>
      <c r="AU22" s="604">
        <f t="shared" ref="AU22:BZ22" si="1">AT22+1</f>
        <v>2028</v>
      </c>
      <c r="AV22" s="604">
        <f t="shared" si="1"/>
        <v>2029</v>
      </c>
      <c r="AW22" s="604">
        <f t="shared" si="1"/>
        <v>2030</v>
      </c>
      <c r="AX22" s="604">
        <f t="shared" si="1"/>
        <v>2031</v>
      </c>
      <c r="AY22" s="604">
        <f t="shared" si="1"/>
        <v>2032</v>
      </c>
      <c r="AZ22" s="604">
        <f t="shared" si="1"/>
        <v>2033</v>
      </c>
      <c r="BA22" s="604">
        <f t="shared" si="1"/>
        <v>2034</v>
      </c>
      <c r="BB22" s="604">
        <f t="shared" si="1"/>
        <v>2035</v>
      </c>
      <c r="BC22" s="604">
        <f t="shared" si="1"/>
        <v>2036</v>
      </c>
      <c r="BD22" s="604">
        <f t="shared" si="1"/>
        <v>2037</v>
      </c>
      <c r="BE22" s="604">
        <f t="shared" si="1"/>
        <v>2038</v>
      </c>
      <c r="BF22" s="604">
        <f t="shared" si="1"/>
        <v>2039</v>
      </c>
      <c r="BG22" s="604">
        <f t="shared" si="1"/>
        <v>2040</v>
      </c>
      <c r="BH22" s="604">
        <f t="shared" si="1"/>
        <v>2041</v>
      </c>
      <c r="BI22" s="604">
        <f t="shared" si="1"/>
        <v>2042</v>
      </c>
      <c r="BJ22" s="604">
        <f t="shared" si="1"/>
        <v>2043</v>
      </c>
      <c r="BK22" s="604">
        <f t="shared" si="1"/>
        <v>2044</v>
      </c>
      <c r="BL22" s="604">
        <f t="shared" si="1"/>
        <v>2045</v>
      </c>
      <c r="BM22" s="604">
        <f t="shared" si="1"/>
        <v>2046</v>
      </c>
      <c r="BN22" s="604">
        <f t="shared" si="1"/>
        <v>2047</v>
      </c>
      <c r="BO22" s="604">
        <f t="shared" si="1"/>
        <v>2048</v>
      </c>
      <c r="BP22" s="604">
        <f t="shared" si="1"/>
        <v>2049</v>
      </c>
      <c r="BQ22" s="604">
        <f t="shared" si="1"/>
        <v>2050</v>
      </c>
      <c r="BR22" s="604">
        <f t="shared" si="1"/>
        <v>2051</v>
      </c>
      <c r="BS22" s="604">
        <f t="shared" si="1"/>
        <v>2052</v>
      </c>
      <c r="BT22" s="604">
        <f t="shared" si="1"/>
        <v>2053</v>
      </c>
      <c r="BU22" s="604">
        <f t="shared" si="1"/>
        <v>2054</v>
      </c>
      <c r="BV22" s="604">
        <f t="shared" si="1"/>
        <v>2055</v>
      </c>
      <c r="BW22" s="604">
        <f t="shared" si="1"/>
        <v>2056</v>
      </c>
      <c r="BX22" s="604">
        <f t="shared" si="1"/>
        <v>2057</v>
      </c>
      <c r="BY22" s="604">
        <f t="shared" si="1"/>
        <v>2058</v>
      </c>
      <c r="BZ22" s="604">
        <f t="shared" si="1"/>
        <v>2059</v>
      </c>
      <c r="CA22" s="603"/>
    </row>
    <row r="23" spans="1:79" ht="15">
      <c r="A23" s="726"/>
      <c r="B23" s="504"/>
      <c r="C23" s="605" t="s">
        <v>347</v>
      </c>
      <c r="D23" s="606"/>
      <c r="E23" s="605" t="s">
        <v>319</v>
      </c>
      <c r="F23" s="607"/>
      <c r="G23" s="608">
        <v>6100</v>
      </c>
      <c r="H23" s="488">
        <f t="shared" ref="H23:H27" si="2">SUM(F23:G23)</f>
        <v>6100</v>
      </c>
      <c r="I23" s="608">
        <v>2650</v>
      </c>
      <c r="J23" s="609">
        <v>0.7</v>
      </c>
      <c r="K23" s="608"/>
      <c r="L23" s="488">
        <f>((H23*I23*IF($E23="Bef",1,$AD$12))+(K23*H23))</f>
        <v>16165000</v>
      </c>
      <c r="M23" s="605">
        <v>2026</v>
      </c>
      <c r="N23" s="610">
        <v>2045</v>
      </c>
      <c r="O23" s="608">
        <f>I23*IF($E23="Bef",1,$AD$12)</f>
        <v>2650</v>
      </c>
      <c r="P23" s="611"/>
      <c r="Q23" s="612">
        <v>2026</v>
      </c>
      <c r="R23" s="613">
        <v>2026</v>
      </c>
      <c r="S23" s="615">
        <f>IFERROR(G$69/$H23,0)</f>
        <v>39344.262295081964</v>
      </c>
      <c r="T23" s="615">
        <f>IF(U23="",S23,U23)</f>
        <v>39344.262295081964</v>
      </c>
      <c r="U23" s="616"/>
      <c r="V23" s="615">
        <f>IF(OR($E23="Bef",$H23=0,$I23=""),"",CEILING($I23*$AD$19,1))</f>
        <v>2559</v>
      </c>
      <c r="W23" s="315">
        <f>IFERROR((T23*$H23),0)</f>
        <v>239999999.99999997</v>
      </c>
      <c r="X23" s="316">
        <f>$W23/((1+$M$9)^MAX(0,$R23-$M$5))</f>
        <v>239999999.99999997</v>
      </c>
      <c r="Y23" s="315">
        <f>IFERROR((X23+(Z23*$H23)),0)</f>
        <v>239999999.99999997</v>
      </c>
      <c r="Z23" s="317">
        <f>IF(OR($E23="Bef",$E23=""),0,$P$10/($H$28-SUMIF($E$23:$E$27,"Bef",$H$23:$H$27)))</f>
        <v>0</v>
      </c>
      <c r="AA23" s="315">
        <f>$Z23*$H23</f>
        <v>0</v>
      </c>
      <c r="AB23" s="504"/>
      <c r="AC23" s="504"/>
      <c r="AD23" s="504"/>
      <c r="AE23" s="504"/>
      <c r="AF23" s="504"/>
      <c r="AG23" s="504"/>
      <c r="AH23" s="504"/>
      <c r="AI23" s="504"/>
      <c r="AJ23" s="504"/>
      <c r="AK23" s="504"/>
      <c r="AL23" s="504"/>
      <c r="AM23" s="504"/>
      <c r="AN23" s="504"/>
      <c r="AO23" s="504"/>
      <c r="AP23" s="504"/>
      <c r="AQ23" s="504"/>
      <c r="AR23" s="617"/>
      <c r="AS23" s="617">
        <f t="shared" ref="AS23:BB27" si="3">IF(AS$22=$R23,$S23*$H23,0)</f>
        <v>239999999.99999997</v>
      </c>
      <c r="AT23" s="617">
        <f t="shared" si="3"/>
        <v>0</v>
      </c>
      <c r="AU23" s="617">
        <f t="shared" si="3"/>
        <v>0</v>
      </c>
      <c r="AV23" s="617">
        <f t="shared" si="3"/>
        <v>0</v>
      </c>
      <c r="AW23" s="617">
        <f t="shared" si="3"/>
        <v>0</v>
      </c>
      <c r="AX23" s="617">
        <f t="shared" si="3"/>
        <v>0</v>
      </c>
      <c r="AY23" s="617">
        <f t="shared" si="3"/>
        <v>0</v>
      </c>
      <c r="AZ23" s="617">
        <f t="shared" si="3"/>
        <v>0</v>
      </c>
      <c r="BA23" s="617">
        <f t="shared" si="3"/>
        <v>0</v>
      </c>
      <c r="BB23" s="617">
        <f t="shared" si="3"/>
        <v>0</v>
      </c>
      <c r="BC23" s="617">
        <f t="shared" ref="BC23:BL27" si="4">IF(BC$22=$R23,$S23*$H23,0)</f>
        <v>0</v>
      </c>
      <c r="BD23" s="617">
        <f t="shared" si="4"/>
        <v>0</v>
      </c>
      <c r="BE23" s="617">
        <f t="shared" si="4"/>
        <v>0</v>
      </c>
      <c r="BF23" s="617">
        <f t="shared" si="4"/>
        <v>0</v>
      </c>
      <c r="BG23" s="617">
        <f t="shared" si="4"/>
        <v>0</v>
      </c>
      <c r="BH23" s="617">
        <f t="shared" si="4"/>
        <v>0</v>
      </c>
      <c r="BI23" s="617">
        <f t="shared" si="4"/>
        <v>0</v>
      </c>
      <c r="BJ23" s="617">
        <f t="shared" si="4"/>
        <v>0</v>
      </c>
      <c r="BK23" s="617">
        <f t="shared" si="4"/>
        <v>0</v>
      </c>
      <c r="BL23" s="617">
        <f t="shared" si="4"/>
        <v>0</v>
      </c>
      <c r="BM23" s="617">
        <f t="shared" ref="BM23:BZ27" si="5">IF(BM$22=$R23,$S23*$H23,0)</f>
        <v>0</v>
      </c>
      <c r="BN23" s="617">
        <f t="shared" si="5"/>
        <v>0</v>
      </c>
      <c r="BO23" s="617">
        <f t="shared" si="5"/>
        <v>0</v>
      </c>
      <c r="BP23" s="617">
        <f t="shared" si="5"/>
        <v>0</v>
      </c>
      <c r="BQ23" s="617">
        <f t="shared" si="5"/>
        <v>0</v>
      </c>
      <c r="BR23" s="617">
        <f t="shared" si="5"/>
        <v>0</v>
      </c>
      <c r="BS23" s="617">
        <f t="shared" si="5"/>
        <v>0</v>
      </c>
      <c r="BT23" s="617">
        <f t="shared" si="5"/>
        <v>0</v>
      </c>
      <c r="BU23" s="617">
        <f t="shared" si="5"/>
        <v>0</v>
      </c>
      <c r="BV23" s="617">
        <f t="shared" si="5"/>
        <v>0</v>
      </c>
      <c r="BW23" s="617">
        <f t="shared" si="5"/>
        <v>0</v>
      </c>
      <c r="BX23" s="617">
        <f t="shared" si="5"/>
        <v>0</v>
      </c>
      <c r="BY23" s="617">
        <f t="shared" si="5"/>
        <v>0</v>
      </c>
      <c r="BZ23" s="617">
        <f t="shared" si="5"/>
        <v>0</v>
      </c>
      <c r="CA23" s="617"/>
    </row>
    <row r="24" spans="1:79" ht="15">
      <c r="A24" s="726"/>
      <c r="B24" s="504"/>
      <c r="C24" s="605"/>
      <c r="D24" s="606"/>
      <c r="E24" s="605"/>
      <c r="F24" s="607"/>
      <c r="G24" s="608"/>
      <c r="H24" s="489">
        <f t="shared" si="2"/>
        <v>0</v>
      </c>
      <c r="I24" s="608"/>
      <c r="J24" s="609"/>
      <c r="K24" s="605"/>
      <c r="L24" s="489">
        <f>((H24*I24*IF($E24="Bef",1,$AD$12))+(K24*H24))</f>
        <v>0</v>
      </c>
      <c r="M24" s="605"/>
      <c r="N24" s="610"/>
      <c r="O24" s="608">
        <f>I24*IF($E24="Bef",1,$AD$12)</f>
        <v>0</v>
      </c>
      <c r="P24" s="618"/>
      <c r="Q24" s="619"/>
      <c r="R24" s="620"/>
      <c r="S24" s="615">
        <f>IFERROR(H$69/$H24,0)</f>
        <v>0</v>
      </c>
      <c r="T24" s="621">
        <f t="shared" ref="T24:T27" si="6">IF(U24="",S24,U24)</f>
        <v>0</v>
      </c>
      <c r="U24" s="616"/>
      <c r="V24" s="621" t="str">
        <f>IF(OR($E24="Bef",$H24=0,$I24=""),"",CEILING($I24*$AD$19,1))</f>
        <v/>
      </c>
      <c r="W24" s="315">
        <f t="shared" ref="W24:W27" si="7">IFERROR((T24*$H24),0)</f>
        <v>0</v>
      </c>
      <c r="X24" s="316">
        <f>$W24/((1+$M$9)^MAX(0,$R24-$M$5))</f>
        <v>0</v>
      </c>
      <c r="Y24" s="315">
        <f t="shared" ref="Y24:Y27" si="8">IFERROR((X24+(Z24*$H24)),0)</f>
        <v>0</v>
      </c>
      <c r="Z24" s="317">
        <f t="shared" ref="Z24:Z27" si="9">IF(OR($E24="Bef",$E24=""),0,$P$10/($H$28-SUMIF($E$23:$E$27,"Bef",$H$23:$H$27)))</f>
        <v>0</v>
      </c>
      <c r="AA24" s="315">
        <f t="shared" ref="AA24:AA27" si="10">$Z24*$H24</f>
        <v>0</v>
      </c>
      <c r="AB24" s="504"/>
      <c r="AC24" s="504"/>
      <c r="AD24" s="504"/>
      <c r="AE24" s="504"/>
      <c r="AF24" s="504"/>
      <c r="AG24" s="504"/>
      <c r="AH24" s="504"/>
      <c r="AI24" s="504"/>
      <c r="AJ24" s="504"/>
      <c r="AK24" s="504"/>
      <c r="AL24" s="504"/>
      <c r="AM24" s="504"/>
      <c r="AN24" s="504"/>
      <c r="AO24" s="504"/>
      <c r="AP24" s="504"/>
      <c r="AQ24" s="504"/>
      <c r="AR24" s="504"/>
      <c r="AS24" s="617">
        <f t="shared" si="3"/>
        <v>0</v>
      </c>
      <c r="AT24" s="617">
        <f t="shared" si="3"/>
        <v>0</v>
      </c>
      <c r="AU24" s="617">
        <f t="shared" si="3"/>
        <v>0</v>
      </c>
      <c r="AV24" s="617">
        <f t="shared" si="3"/>
        <v>0</v>
      </c>
      <c r="AW24" s="617">
        <f t="shared" si="3"/>
        <v>0</v>
      </c>
      <c r="AX24" s="617">
        <f t="shared" si="3"/>
        <v>0</v>
      </c>
      <c r="AY24" s="617">
        <f t="shared" si="3"/>
        <v>0</v>
      </c>
      <c r="AZ24" s="617">
        <f t="shared" si="3"/>
        <v>0</v>
      </c>
      <c r="BA24" s="617">
        <f t="shared" si="3"/>
        <v>0</v>
      </c>
      <c r="BB24" s="617">
        <f t="shared" si="3"/>
        <v>0</v>
      </c>
      <c r="BC24" s="617">
        <f t="shared" si="4"/>
        <v>0</v>
      </c>
      <c r="BD24" s="617">
        <f t="shared" si="4"/>
        <v>0</v>
      </c>
      <c r="BE24" s="617">
        <f t="shared" si="4"/>
        <v>0</v>
      </c>
      <c r="BF24" s="617">
        <f t="shared" si="4"/>
        <v>0</v>
      </c>
      <c r="BG24" s="617">
        <f t="shared" si="4"/>
        <v>0</v>
      </c>
      <c r="BH24" s="617">
        <f t="shared" si="4"/>
        <v>0</v>
      </c>
      <c r="BI24" s="617">
        <f t="shared" si="4"/>
        <v>0</v>
      </c>
      <c r="BJ24" s="617">
        <f t="shared" si="4"/>
        <v>0</v>
      </c>
      <c r="BK24" s="617">
        <f t="shared" si="4"/>
        <v>0</v>
      </c>
      <c r="BL24" s="617">
        <f t="shared" si="4"/>
        <v>0</v>
      </c>
      <c r="BM24" s="617">
        <f t="shared" si="5"/>
        <v>0</v>
      </c>
      <c r="BN24" s="617">
        <f t="shared" si="5"/>
        <v>0</v>
      </c>
      <c r="BO24" s="617">
        <f t="shared" si="5"/>
        <v>0</v>
      </c>
      <c r="BP24" s="617">
        <f t="shared" si="5"/>
        <v>0</v>
      </c>
      <c r="BQ24" s="617">
        <f t="shared" si="5"/>
        <v>0</v>
      </c>
      <c r="BR24" s="617">
        <f t="shared" si="5"/>
        <v>0</v>
      </c>
      <c r="BS24" s="617">
        <f t="shared" si="5"/>
        <v>0</v>
      </c>
      <c r="BT24" s="617">
        <f t="shared" si="5"/>
        <v>0</v>
      </c>
      <c r="BU24" s="617">
        <f t="shared" si="5"/>
        <v>0</v>
      </c>
      <c r="BV24" s="617">
        <f t="shared" si="5"/>
        <v>0</v>
      </c>
      <c r="BW24" s="617">
        <f t="shared" si="5"/>
        <v>0</v>
      </c>
      <c r="BX24" s="617">
        <f t="shared" si="5"/>
        <v>0</v>
      </c>
      <c r="BY24" s="617">
        <f t="shared" si="5"/>
        <v>0</v>
      </c>
      <c r="BZ24" s="617">
        <f t="shared" si="5"/>
        <v>0</v>
      </c>
      <c r="CA24" s="504"/>
    </row>
    <row r="25" spans="1:79" ht="15">
      <c r="A25" s="726"/>
      <c r="B25" s="504"/>
      <c r="C25" s="605"/>
      <c r="D25" s="606"/>
      <c r="E25" s="605"/>
      <c r="F25" s="607"/>
      <c r="G25" s="608"/>
      <c r="H25" s="489">
        <f t="shared" si="2"/>
        <v>0</v>
      </c>
      <c r="I25" s="608"/>
      <c r="J25" s="609"/>
      <c r="K25" s="605"/>
      <c r="L25" s="489">
        <f>((H25*I25*IF($E25="Bef",1,$AD$12))+(K25*H25))</f>
        <v>0</v>
      </c>
      <c r="M25" s="605"/>
      <c r="N25" s="610"/>
      <c r="O25" s="608">
        <f>I25*IF($E25="Bef",1,$AD$12)</f>
        <v>0</v>
      </c>
      <c r="P25" s="618"/>
      <c r="Q25" s="619"/>
      <c r="R25" s="620"/>
      <c r="S25" s="615">
        <f>IFERROR(I$69/$H25,0)</f>
        <v>0</v>
      </c>
      <c r="T25" s="621">
        <f t="shared" si="6"/>
        <v>0</v>
      </c>
      <c r="U25" s="616"/>
      <c r="V25" s="621" t="str">
        <f>IF(OR($E25="Bef",$H25=0,$I25=""),"",CEILING($I25*$AD$19,1))</f>
        <v/>
      </c>
      <c r="W25" s="315">
        <f t="shared" si="7"/>
        <v>0</v>
      </c>
      <c r="X25" s="316">
        <f>$W25/((1+$M$9)^MAX(0,$R25-$M$5))</f>
        <v>0</v>
      </c>
      <c r="Y25" s="315">
        <f t="shared" si="8"/>
        <v>0</v>
      </c>
      <c r="Z25" s="317">
        <f t="shared" si="9"/>
        <v>0</v>
      </c>
      <c r="AA25" s="315">
        <f t="shared" si="10"/>
        <v>0</v>
      </c>
      <c r="AB25" s="504"/>
      <c r="AC25" s="504"/>
      <c r="AD25" s="504"/>
      <c r="AE25" s="504"/>
      <c r="AF25" s="504"/>
      <c r="AG25" s="504"/>
      <c r="AH25" s="504"/>
      <c r="AI25" s="504"/>
      <c r="AJ25" s="504"/>
      <c r="AK25" s="504"/>
      <c r="AL25" s="504"/>
      <c r="AM25" s="504"/>
      <c r="AN25" s="504"/>
      <c r="AO25" s="504"/>
      <c r="AP25" s="504"/>
      <c r="AQ25" s="504"/>
      <c r="AR25" s="504"/>
      <c r="AS25" s="617">
        <f t="shared" si="3"/>
        <v>0</v>
      </c>
      <c r="AT25" s="617">
        <f t="shared" si="3"/>
        <v>0</v>
      </c>
      <c r="AU25" s="617">
        <f t="shared" si="3"/>
        <v>0</v>
      </c>
      <c r="AV25" s="617">
        <f t="shared" si="3"/>
        <v>0</v>
      </c>
      <c r="AW25" s="617">
        <f t="shared" si="3"/>
        <v>0</v>
      </c>
      <c r="AX25" s="617">
        <f t="shared" si="3"/>
        <v>0</v>
      </c>
      <c r="AY25" s="617">
        <f t="shared" si="3"/>
        <v>0</v>
      </c>
      <c r="AZ25" s="617">
        <f t="shared" si="3"/>
        <v>0</v>
      </c>
      <c r="BA25" s="617">
        <f t="shared" si="3"/>
        <v>0</v>
      </c>
      <c r="BB25" s="617">
        <f t="shared" si="3"/>
        <v>0</v>
      </c>
      <c r="BC25" s="617">
        <f t="shared" si="4"/>
        <v>0</v>
      </c>
      <c r="BD25" s="617">
        <f t="shared" si="4"/>
        <v>0</v>
      </c>
      <c r="BE25" s="617">
        <f t="shared" si="4"/>
        <v>0</v>
      </c>
      <c r="BF25" s="617">
        <f t="shared" si="4"/>
        <v>0</v>
      </c>
      <c r="BG25" s="617">
        <f t="shared" si="4"/>
        <v>0</v>
      </c>
      <c r="BH25" s="617">
        <f t="shared" si="4"/>
        <v>0</v>
      </c>
      <c r="BI25" s="617">
        <f t="shared" si="4"/>
        <v>0</v>
      </c>
      <c r="BJ25" s="617">
        <f t="shared" si="4"/>
        <v>0</v>
      </c>
      <c r="BK25" s="617">
        <f t="shared" si="4"/>
        <v>0</v>
      </c>
      <c r="BL25" s="617">
        <f t="shared" si="4"/>
        <v>0</v>
      </c>
      <c r="BM25" s="617">
        <f t="shared" si="5"/>
        <v>0</v>
      </c>
      <c r="BN25" s="617">
        <f t="shared" si="5"/>
        <v>0</v>
      </c>
      <c r="BO25" s="617">
        <f t="shared" si="5"/>
        <v>0</v>
      </c>
      <c r="BP25" s="617">
        <f t="shared" si="5"/>
        <v>0</v>
      </c>
      <c r="BQ25" s="617">
        <f t="shared" si="5"/>
        <v>0</v>
      </c>
      <c r="BR25" s="617">
        <f t="shared" si="5"/>
        <v>0</v>
      </c>
      <c r="BS25" s="617">
        <f t="shared" si="5"/>
        <v>0</v>
      </c>
      <c r="BT25" s="617">
        <f t="shared" si="5"/>
        <v>0</v>
      </c>
      <c r="BU25" s="617">
        <f t="shared" si="5"/>
        <v>0</v>
      </c>
      <c r="BV25" s="617">
        <f t="shared" si="5"/>
        <v>0</v>
      </c>
      <c r="BW25" s="617">
        <f t="shared" si="5"/>
        <v>0</v>
      </c>
      <c r="BX25" s="617">
        <f t="shared" si="5"/>
        <v>0</v>
      </c>
      <c r="BY25" s="617">
        <f t="shared" si="5"/>
        <v>0</v>
      </c>
      <c r="BZ25" s="617">
        <f t="shared" si="5"/>
        <v>0</v>
      </c>
      <c r="CA25" s="504"/>
    </row>
    <row r="26" spans="1:79" ht="15">
      <c r="A26" s="726"/>
      <c r="B26" s="504"/>
      <c r="C26" s="605"/>
      <c r="D26" s="606"/>
      <c r="E26" s="605"/>
      <c r="F26" s="607"/>
      <c r="G26" s="608"/>
      <c r="H26" s="489">
        <f t="shared" si="2"/>
        <v>0</v>
      </c>
      <c r="I26" s="608"/>
      <c r="J26" s="609"/>
      <c r="K26" s="605"/>
      <c r="L26" s="489">
        <f>((H26*I26*IF($E26="Bef",1,$AD$12))+(K26*H26))</f>
        <v>0</v>
      </c>
      <c r="M26" s="605"/>
      <c r="N26" s="610"/>
      <c r="O26" s="608">
        <f>I26*IF($E26="Bef",1,$AD$12)</f>
        <v>0</v>
      </c>
      <c r="P26" s="618"/>
      <c r="Q26" s="619"/>
      <c r="R26" s="620"/>
      <c r="S26" s="615">
        <f>IFERROR(J$69/$H26,0)</f>
        <v>0</v>
      </c>
      <c r="T26" s="621">
        <f t="shared" si="6"/>
        <v>0</v>
      </c>
      <c r="U26" s="616"/>
      <c r="V26" s="621" t="str">
        <f>IF(OR($E26="Bef",$H26=0,$I26=""),"",CEILING($I26*$AD$19,1))</f>
        <v/>
      </c>
      <c r="W26" s="315">
        <f t="shared" si="7"/>
        <v>0</v>
      </c>
      <c r="X26" s="316">
        <f>$W26/((1+$M$9)^MAX(0,$R26-$M$5))</f>
        <v>0</v>
      </c>
      <c r="Y26" s="315">
        <f t="shared" si="8"/>
        <v>0</v>
      </c>
      <c r="Z26" s="317">
        <f t="shared" si="9"/>
        <v>0</v>
      </c>
      <c r="AA26" s="315">
        <f t="shared" si="10"/>
        <v>0</v>
      </c>
      <c r="AB26" s="504"/>
      <c r="AC26" s="504"/>
      <c r="AD26" s="504"/>
      <c r="AE26" s="504"/>
      <c r="AF26" s="504"/>
      <c r="AG26" s="504"/>
      <c r="AH26" s="504"/>
      <c r="AI26" s="504"/>
      <c r="AJ26" s="504"/>
      <c r="AK26" s="504"/>
      <c r="AL26" s="504"/>
      <c r="AM26" s="504"/>
      <c r="AN26" s="504"/>
      <c r="AO26" s="504"/>
      <c r="AP26" s="504"/>
      <c r="AQ26" s="504"/>
      <c r="AR26" s="504"/>
      <c r="AS26" s="617">
        <f t="shared" si="3"/>
        <v>0</v>
      </c>
      <c r="AT26" s="617">
        <f t="shared" si="3"/>
        <v>0</v>
      </c>
      <c r="AU26" s="617">
        <f t="shared" si="3"/>
        <v>0</v>
      </c>
      <c r="AV26" s="617">
        <f t="shared" si="3"/>
        <v>0</v>
      </c>
      <c r="AW26" s="617">
        <f t="shared" si="3"/>
        <v>0</v>
      </c>
      <c r="AX26" s="617">
        <f t="shared" si="3"/>
        <v>0</v>
      </c>
      <c r="AY26" s="617">
        <f t="shared" si="3"/>
        <v>0</v>
      </c>
      <c r="AZ26" s="617">
        <f t="shared" si="3"/>
        <v>0</v>
      </c>
      <c r="BA26" s="617">
        <f t="shared" si="3"/>
        <v>0</v>
      </c>
      <c r="BB26" s="617">
        <f t="shared" si="3"/>
        <v>0</v>
      </c>
      <c r="BC26" s="617">
        <f t="shared" si="4"/>
        <v>0</v>
      </c>
      <c r="BD26" s="617">
        <f t="shared" si="4"/>
        <v>0</v>
      </c>
      <c r="BE26" s="617">
        <f t="shared" si="4"/>
        <v>0</v>
      </c>
      <c r="BF26" s="617">
        <f t="shared" si="4"/>
        <v>0</v>
      </c>
      <c r="BG26" s="617">
        <f t="shared" si="4"/>
        <v>0</v>
      </c>
      <c r="BH26" s="617">
        <f t="shared" si="4"/>
        <v>0</v>
      </c>
      <c r="BI26" s="617">
        <f t="shared" si="4"/>
        <v>0</v>
      </c>
      <c r="BJ26" s="617">
        <f t="shared" si="4"/>
        <v>0</v>
      </c>
      <c r="BK26" s="617">
        <f t="shared" si="4"/>
        <v>0</v>
      </c>
      <c r="BL26" s="617">
        <f t="shared" si="4"/>
        <v>0</v>
      </c>
      <c r="BM26" s="617">
        <f t="shared" si="5"/>
        <v>0</v>
      </c>
      <c r="BN26" s="617">
        <f t="shared" si="5"/>
        <v>0</v>
      </c>
      <c r="BO26" s="617">
        <f t="shared" si="5"/>
        <v>0</v>
      </c>
      <c r="BP26" s="617">
        <f t="shared" si="5"/>
        <v>0</v>
      </c>
      <c r="BQ26" s="617">
        <f t="shared" si="5"/>
        <v>0</v>
      </c>
      <c r="BR26" s="617">
        <f t="shared" si="5"/>
        <v>0</v>
      </c>
      <c r="BS26" s="617">
        <f t="shared" si="5"/>
        <v>0</v>
      </c>
      <c r="BT26" s="617">
        <f t="shared" si="5"/>
        <v>0</v>
      </c>
      <c r="BU26" s="617">
        <f t="shared" si="5"/>
        <v>0</v>
      </c>
      <c r="BV26" s="617">
        <f t="shared" si="5"/>
        <v>0</v>
      </c>
      <c r="BW26" s="617">
        <f t="shared" si="5"/>
        <v>0</v>
      </c>
      <c r="BX26" s="617">
        <f t="shared" si="5"/>
        <v>0</v>
      </c>
      <c r="BY26" s="617">
        <f t="shared" si="5"/>
        <v>0</v>
      </c>
      <c r="BZ26" s="617">
        <f t="shared" si="5"/>
        <v>0</v>
      </c>
      <c r="CA26" s="504"/>
    </row>
    <row r="27" spans="1:79" ht="15">
      <c r="A27" s="726"/>
      <c r="B27" s="504"/>
      <c r="C27" s="605"/>
      <c r="D27" s="606"/>
      <c r="E27" s="605"/>
      <c r="F27" s="607"/>
      <c r="G27" s="608"/>
      <c r="H27" s="490">
        <f t="shared" si="2"/>
        <v>0</v>
      </c>
      <c r="I27" s="605"/>
      <c r="J27" s="609"/>
      <c r="K27" s="605"/>
      <c r="L27" s="490">
        <f>((H27*I27*IF($E27="Bef",1,$AD$12))+(K27*H27))</f>
        <v>0</v>
      </c>
      <c r="M27" s="605"/>
      <c r="N27" s="610"/>
      <c r="O27" s="608">
        <f>I27*IF($E27="Bef",1,$AD$12)</f>
        <v>0</v>
      </c>
      <c r="P27" s="618"/>
      <c r="Q27" s="622"/>
      <c r="R27" s="623"/>
      <c r="S27" s="615">
        <f>IFERROR(K$69/$H27,0)</f>
        <v>0</v>
      </c>
      <c r="T27" s="624">
        <f t="shared" si="6"/>
        <v>0</v>
      </c>
      <c r="U27" s="616"/>
      <c r="V27" s="624" t="str">
        <f>IF(OR($E27="Bef",$H27=0,$I27=""),"",CEILING($I27*$AD$19,1))</f>
        <v/>
      </c>
      <c r="W27" s="315">
        <f t="shared" si="7"/>
        <v>0</v>
      </c>
      <c r="X27" s="316">
        <f>$W27/((1+$M$9)^MAX(0,$R27-$M$5))</f>
        <v>0</v>
      </c>
      <c r="Y27" s="315">
        <f t="shared" si="8"/>
        <v>0</v>
      </c>
      <c r="Z27" s="317">
        <f t="shared" si="9"/>
        <v>0</v>
      </c>
      <c r="AA27" s="315">
        <f t="shared" si="10"/>
        <v>0</v>
      </c>
      <c r="AB27" s="504"/>
      <c r="AC27" s="504"/>
      <c r="AD27" s="504"/>
      <c r="AE27" s="504"/>
      <c r="AF27" s="504"/>
      <c r="AG27" s="504"/>
      <c r="AH27" s="504"/>
      <c r="AI27" s="504"/>
      <c r="AJ27" s="504"/>
      <c r="AK27" s="504"/>
      <c r="AL27" s="504"/>
      <c r="AM27" s="504"/>
      <c r="AN27" s="504"/>
      <c r="AO27" s="504"/>
      <c r="AP27" s="504"/>
      <c r="AQ27" s="504"/>
      <c r="AR27" s="504"/>
      <c r="AS27" s="617">
        <f t="shared" si="3"/>
        <v>0</v>
      </c>
      <c r="AT27" s="617">
        <f t="shared" si="3"/>
        <v>0</v>
      </c>
      <c r="AU27" s="617">
        <f t="shared" si="3"/>
        <v>0</v>
      </c>
      <c r="AV27" s="617">
        <f t="shared" si="3"/>
        <v>0</v>
      </c>
      <c r="AW27" s="617">
        <f t="shared" si="3"/>
        <v>0</v>
      </c>
      <c r="AX27" s="617">
        <f t="shared" si="3"/>
        <v>0</v>
      </c>
      <c r="AY27" s="617">
        <f t="shared" si="3"/>
        <v>0</v>
      </c>
      <c r="AZ27" s="617">
        <f t="shared" si="3"/>
        <v>0</v>
      </c>
      <c r="BA27" s="617">
        <f t="shared" si="3"/>
        <v>0</v>
      </c>
      <c r="BB27" s="617">
        <f t="shared" si="3"/>
        <v>0</v>
      </c>
      <c r="BC27" s="617">
        <f t="shared" si="4"/>
        <v>0</v>
      </c>
      <c r="BD27" s="617">
        <f t="shared" si="4"/>
        <v>0</v>
      </c>
      <c r="BE27" s="617">
        <f t="shared" si="4"/>
        <v>0</v>
      </c>
      <c r="BF27" s="617">
        <f t="shared" si="4"/>
        <v>0</v>
      </c>
      <c r="BG27" s="617">
        <f t="shared" si="4"/>
        <v>0</v>
      </c>
      <c r="BH27" s="617">
        <f t="shared" si="4"/>
        <v>0</v>
      </c>
      <c r="BI27" s="617">
        <f t="shared" si="4"/>
        <v>0</v>
      </c>
      <c r="BJ27" s="617">
        <f t="shared" si="4"/>
        <v>0</v>
      </c>
      <c r="BK27" s="617">
        <f t="shared" si="4"/>
        <v>0</v>
      </c>
      <c r="BL27" s="617">
        <f t="shared" si="4"/>
        <v>0</v>
      </c>
      <c r="BM27" s="617">
        <f t="shared" si="5"/>
        <v>0</v>
      </c>
      <c r="BN27" s="617">
        <f t="shared" si="5"/>
        <v>0</v>
      </c>
      <c r="BO27" s="617">
        <f t="shared" si="5"/>
        <v>0</v>
      </c>
      <c r="BP27" s="617">
        <f t="shared" si="5"/>
        <v>0</v>
      </c>
      <c r="BQ27" s="617">
        <f t="shared" si="5"/>
        <v>0</v>
      </c>
      <c r="BR27" s="617">
        <f t="shared" si="5"/>
        <v>0</v>
      </c>
      <c r="BS27" s="617">
        <f t="shared" si="5"/>
        <v>0</v>
      </c>
      <c r="BT27" s="617">
        <f t="shared" si="5"/>
        <v>0</v>
      </c>
      <c r="BU27" s="617">
        <f t="shared" si="5"/>
        <v>0</v>
      </c>
      <c r="BV27" s="617">
        <f t="shared" si="5"/>
        <v>0</v>
      </c>
      <c r="BW27" s="617">
        <f t="shared" si="5"/>
        <v>0</v>
      </c>
      <c r="BX27" s="617">
        <f t="shared" si="5"/>
        <v>0</v>
      </c>
      <c r="BY27" s="617">
        <f t="shared" si="5"/>
        <v>0</v>
      </c>
      <c r="BZ27" s="617">
        <f t="shared" si="5"/>
        <v>0</v>
      </c>
      <c r="CA27" s="504"/>
    </row>
    <row r="28" spans="1:79" ht="15">
      <c r="A28" s="726"/>
      <c r="B28" s="504"/>
      <c r="C28" s="278" t="s">
        <v>158</v>
      </c>
      <c r="D28" s="279">
        <f>SUM($D$23:$D$27)</f>
        <v>0</v>
      </c>
      <c r="E28" s="280"/>
      <c r="F28" s="278">
        <f>SUM(F23:F27)</f>
        <v>0</v>
      </c>
      <c r="G28" s="281">
        <f>SUM(G23:G27)</f>
        <v>6100</v>
      </c>
      <c r="H28" s="282">
        <f>F28+G28</f>
        <v>6100</v>
      </c>
      <c r="I28" s="283"/>
      <c r="J28" s="280"/>
      <c r="K28" s="280"/>
      <c r="L28" s="358">
        <f>SUM(L23:L27)</f>
        <v>16165000</v>
      </c>
      <c r="M28" s="278"/>
      <c r="N28" s="284"/>
      <c r="O28" s="285">
        <f>(O23*H23+O24*H24+O25*H25+O26*H26+O27*H27)</f>
        <v>16165000</v>
      </c>
      <c r="P28" s="286">
        <f>IFERROR(SUMPRODUCT(P23:P27,L23:L27)/L28,"")</f>
        <v>0</v>
      </c>
      <c r="Q28" s="287"/>
      <c r="R28" s="288"/>
      <c r="S28" s="289">
        <f>IF(H28=0,"",S29*H28)</f>
        <v>239999999.99999997</v>
      </c>
      <c r="T28" s="356">
        <f>IF(H28=0,"",T29*H28)</f>
        <v>239999999.99999997</v>
      </c>
      <c r="U28" s="290" t="str">
        <f>IF(H29=0,"",U29*H28)</f>
        <v/>
      </c>
      <c r="V28" s="504"/>
      <c r="W28" s="285">
        <f>SUM(W23:W27)</f>
        <v>239999999.99999997</v>
      </c>
      <c r="X28" s="306">
        <f>SUM(X23:X27)</f>
        <v>239999999.99999997</v>
      </c>
      <c r="Y28" s="285">
        <f>SUM(Y23:Y27)</f>
        <v>239999999.99999997</v>
      </c>
      <c r="Z28" s="306" t="str">
        <f>IF(H29=0,"",Z29*H28)</f>
        <v/>
      </c>
      <c r="AA28" s="285">
        <f>SUM(AA23:AA27)</f>
        <v>0</v>
      </c>
      <c r="AB28" s="504"/>
      <c r="AC28" s="504"/>
      <c r="AD28" s="504"/>
      <c r="AE28" s="504"/>
      <c r="AF28" s="504"/>
      <c r="AG28" s="504"/>
      <c r="AH28" s="504"/>
      <c r="AI28" s="504"/>
      <c r="AJ28" s="504"/>
      <c r="AK28" s="504"/>
      <c r="AL28" s="504"/>
      <c r="AM28" s="504"/>
      <c r="AN28" s="504"/>
      <c r="AO28" s="504"/>
      <c r="AP28" s="504"/>
      <c r="AQ28" s="504"/>
      <c r="AR28" s="504"/>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4"/>
    </row>
    <row r="29" spans="1:79" ht="15">
      <c r="A29" s="726"/>
      <c r="B29" s="504"/>
      <c r="C29" s="291"/>
      <c r="D29" s="292"/>
      <c r="E29" s="293"/>
      <c r="F29" s="291"/>
      <c r="G29" s="294"/>
      <c r="H29" s="295"/>
      <c r="I29" s="296"/>
      <c r="J29" s="293"/>
      <c r="K29" s="293"/>
      <c r="L29" s="297">
        <f>IF(L28=0,"",L28/H28)</f>
        <v>2650</v>
      </c>
      <c r="M29" s="291"/>
      <c r="N29" s="298"/>
      <c r="O29" s="297">
        <f>IF(O28=0,"",O28/H28)</f>
        <v>2650</v>
      </c>
      <c r="P29" s="299"/>
      <c r="Q29" s="300"/>
      <c r="R29" s="301"/>
      <c r="S29" s="302">
        <f>IF(H28=0,"",SUMPRODUCT($S$23:$S$27,$H$23:$H$27)/$H$28)</f>
        <v>39344.262295081964</v>
      </c>
      <c r="T29" s="302">
        <f>IF(H28=0,"",SUMPRODUCT($T$23:$T$27,$H$23:$H$27)/$H$28)</f>
        <v>39344.262295081964</v>
      </c>
      <c r="U29" s="303" t="str">
        <f>IF(H29=0,"",SUMPRODUCT($U$23:$U$27,$H$23:$H$27)/$H$28)</f>
        <v/>
      </c>
      <c r="V29" s="504"/>
      <c r="W29" s="307"/>
      <c r="X29" s="308"/>
      <c r="Y29" s="307"/>
      <c r="Z29" s="309" t="str">
        <f>IF(H29=0,"",SUMPRODUCT($Z$23:$Z$27,$H$23:$H$27)/$H$28)</f>
        <v/>
      </c>
      <c r="AA29" s="307"/>
      <c r="AB29" s="504"/>
      <c r="AC29" s="504"/>
      <c r="AD29" s="504"/>
      <c r="AE29" s="504"/>
      <c r="AF29" s="504"/>
      <c r="AG29" s="504"/>
      <c r="AH29" s="504"/>
      <c r="AI29" s="504"/>
      <c r="AJ29" s="504"/>
      <c r="AK29" s="504"/>
      <c r="AL29" s="504"/>
      <c r="AM29" s="504"/>
      <c r="AN29" s="504"/>
      <c r="AO29" s="504"/>
      <c r="AP29" s="504"/>
      <c r="AQ29" s="504"/>
      <c r="AR29" s="504"/>
      <c r="AS29" s="504"/>
      <c r="AT29" s="504"/>
      <c r="AU29" s="504"/>
      <c r="AV29" s="504"/>
      <c r="AW29" s="504"/>
      <c r="AX29" s="504"/>
      <c r="AY29" s="504"/>
      <c r="AZ29" s="504"/>
      <c r="BA29" s="504"/>
      <c r="BB29" s="504"/>
      <c r="BC29" s="504"/>
      <c r="BD29" s="504"/>
      <c r="BE29" s="504"/>
      <c r="BF29" s="504"/>
      <c r="BG29" s="504"/>
      <c r="BH29" s="504"/>
      <c r="BI29" s="504"/>
      <c r="BJ29" s="504"/>
      <c r="BK29" s="504"/>
      <c r="BL29" s="504"/>
      <c r="BM29" s="504"/>
      <c r="BN29" s="504"/>
      <c r="BO29" s="504"/>
      <c r="BP29" s="504"/>
      <c r="BQ29" s="504"/>
      <c r="BR29" s="504"/>
      <c r="BS29" s="504"/>
      <c r="BT29" s="504"/>
      <c r="BU29" s="504"/>
      <c r="BV29" s="504"/>
      <c r="BW29" s="504"/>
      <c r="BX29" s="504"/>
      <c r="BY29" s="504"/>
      <c r="BZ29" s="504"/>
      <c r="CA29" s="504"/>
    </row>
    <row r="30" spans="1:79">
      <c r="A30" s="504"/>
      <c r="B30" s="504"/>
      <c r="C30" s="504"/>
      <c r="D30" s="504"/>
      <c r="E30" s="504"/>
      <c r="F30" s="504"/>
      <c r="G30" s="504"/>
      <c r="H30" s="504"/>
      <c r="I30" s="504"/>
      <c r="J30" s="504"/>
      <c r="K30" s="504"/>
      <c r="L30" s="504"/>
      <c r="M30" s="504"/>
      <c r="N30" s="504"/>
      <c r="O30" s="504"/>
      <c r="P30" s="504"/>
      <c r="Q30" s="504"/>
      <c r="R30" s="504"/>
      <c r="S30" s="504"/>
      <c r="T30" s="504"/>
      <c r="U30" s="504"/>
      <c r="V30" s="504"/>
      <c r="W30" s="617"/>
      <c r="X30" s="617"/>
      <c r="Y30" s="617"/>
      <c r="Z30" s="617"/>
      <c r="AA30" s="617"/>
      <c r="AB30" s="504"/>
      <c r="AC30" s="504"/>
      <c r="AD30" s="504"/>
      <c r="AE30" s="504"/>
      <c r="AF30" s="504"/>
      <c r="AG30" s="504"/>
      <c r="AH30" s="504"/>
      <c r="AI30" s="504"/>
      <c r="AJ30" s="504"/>
      <c r="AK30" s="504"/>
      <c r="AL30" s="504"/>
      <c r="AM30" s="504"/>
      <c r="AN30" s="504"/>
      <c r="AO30" s="504"/>
      <c r="AP30" s="504"/>
      <c r="AQ30" s="504"/>
      <c r="AR30" s="504"/>
      <c r="AS30" s="504"/>
      <c r="AT30" s="504"/>
      <c r="AU30" s="504"/>
      <c r="AV30" s="504"/>
      <c r="AW30" s="504"/>
      <c r="AX30" s="504"/>
      <c r="AY30" s="504"/>
      <c r="AZ30" s="504"/>
      <c r="BA30" s="504"/>
      <c r="BB30" s="504"/>
      <c r="BC30" s="504"/>
      <c r="BD30" s="504"/>
      <c r="BE30" s="504"/>
      <c r="BF30" s="504"/>
      <c r="BG30" s="504"/>
      <c r="BH30" s="504"/>
      <c r="BI30" s="504"/>
      <c r="BJ30" s="504"/>
      <c r="BK30" s="504"/>
      <c r="BL30" s="504"/>
      <c r="BM30" s="504"/>
      <c r="BN30" s="504"/>
      <c r="BO30" s="504"/>
      <c r="BP30" s="504"/>
      <c r="BQ30" s="504"/>
      <c r="BR30" s="504"/>
      <c r="BS30" s="504"/>
      <c r="BT30" s="504"/>
      <c r="BU30" s="504"/>
      <c r="BV30" s="504"/>
      <c r="BW30" s="504"/>
      <c r="BX30" s="504"/>
      <c r="BY30" s="504"/>
      <c r="BZ30" s="504"/>
      <c r="CA30" s="504"/>
    </row>
    <row r="31" spans="1:79" ht="23.25">
      <c r="A31" s="504"/>
      <c r="B31" s="504"/>
      <c r="C31" s="185" t="s">
        <v>185</v>
      </c>
      <c r="D31" s="185"/>
      <c r="E31" s="185"/>
      <c r="F31" s="504"/>
      <c r="G31" s="504"/>
      <c r="H31" s="504"/>
      <c r="I31" s="504"/>
      <c r="J31" s="504"/>
      <c r="K31" s="504"/>
      <c r="L31" s="617"/>
      <c r="M31" s="617"/>
      <c r="N31" s="504"/>
      <c r="O31" s="504"/>
      <c r="P31" s="617"/>
      <c r="Q31" s="504"/>
      <c r="R31" s="504"/>
      <c r="S31" s="504"/>
      <c r="T31" s="504"/>
      <c r="U31" s="504"/>
      <c r="V31" s="504"/>
      <c r="W31" s="504"/>
      <c r="X31" s="617"/>
      <c r="Y31" s="617"/>
      <c r="Z31" s="617"/>
      <c r="AA31" s="617"/>
      <c r="AB31" s="617"/>
      <c r="AC31" s="504"/>
      <c r="AD31" s="504"/>
      <c r="AE31" s="504"/>
      <c r="AF31" s="504"/>
      <c r="AG31" s="504"/>
      <c r="AH31" s="504"/>
      <c r="AI31" s="504"/>
      <c r="AJ31" s="504"/>
      <c r="AK31" s="504"/>
      <c r="AL31" s="504"/>
      <c r="AM31" s="504"/>
      <c r="AN31" s="504"/>
      <c r="AO31" s="504"/>
      <c r="AP31" s="504"/>
      <c r="AQ31" s="504"/>
      <c r="AR31" s="504"/>
      <c r="AS31" s="504"/>
      <c r="AT31" s="504"/>
      <c r="AU31" s="504"/>
      <c r="AV31" s="504"/>
      <c r="AW31" s="504"/>
      <c r="AX31" s="504"/>
      <c r="AY31" s="504"/>
      <c r="AZ31" s="504"/>
      <c r="BA31" s="504"/>
      <c r="BB31" s="504"/>
      <c r="BC31" s="504"/>
      <c r="BD31" s="504"/>
      <c r="BE31" s="504"/>
      <c r="BF31" s="504"/>
      <c r="BG31" s="504"/>
      <c r="BH31" s="504"/>
      <c r="BI31" s="504"/>
      <c r="BJ31" s="504"/>
      <c r="BK31" s="504"/>
      <c r="BL31" s="504"/>
      <c r="BM31" s="504"/>
      <c r="BN31" s="504"/>
      <c r="BO31" s="504"/>
      <c r="BP31" s="504"/>
      <c r="BQ31" s="504"/>
      <c r="BR31" s="504"/>
      <c r="BS31" s="504"/>
      <c r="BT31" s="504"/>
      <c r="BU31" s="504"/>
      <c r="BV31" s="504"/>
      <c r="BW31" s="504"/>
      <c r="BX31" s="504"/>
      <c r="BY31" s="504"/>
      <c r="BZ31" s="504"/>
      <c r="CA31" s="504"/>
    </row>
    <row r="33" spans="1:25" ht="30" customHeight="1">
      <c r="A33" s="726">
        <v>3</v>
      </c>
      <c r="B33" s="504"/>
      <c r="C33" s="391" t="s">
        <v>186</v>
      </c>
      <c r="D33" s="391"/>
      <c r="E33" s="391"/>
      <c r="F33" s="391"/>
      <c r="G33" s="392" t="s">
        <v>170</v>
      </c>
      <c r="H33" s="393" t="s">
        <v>171</v>
      </c>
      <c r="I33" s="394" t="s">
        <v>187</v>
      </c>
      <c r="J33" s="504"/>
      <c r="K33" s="395" t="s">
        <v>188</v>
      </c>
      <c r="L33" s="220">
        <v>10</v>
      </c>
      <c r="M33" s="221">
        <v>15</v>
      </c>
      <c r="N33" s="396" t="s">
        <v>189</v>
      </c>
      <c r="O33" s="504"/>
      <c r="P33" s="397" t="s">
        <v>190</v>
      </c>
      <c r="Q33" s="398" t="s">
        <v>191</v>
      </c>
      <c r="R33" s="393" t="s">
        <v>192</v>
      </c>
      <c r="S33" s="393" t="str">
        <f>CONCATENATE("Kostnad kr/kvm ",$P$5)</f>
        <v>Kostnad kr/kvm 2026</v>
      </c>
      <c r="T33" s="393" t="s">
        <v>193</v>
      </c>
      <c r="U33" s="394" t="s">
        <v>144</v>
      </c>
      <c r="V33" s="504"/>
      <c r="W33" s="369" t="s">
        <v>194</v>
      </c>
      <c r="X33" s="399" t="s">
        <v>195</v>
      </c>
      <c r="Y33" s="399" t="str">
        <f>CONCATENATE("jmf budget kolumn ",$P$5)</f>
        <v>jmf budget kolumn 2026</v>
      </c>
    </row>
    <row r="34" spans="1:25" ht="15">
      <c r="A34" s="726"/>
      <c r="B34" s="504"/>
      <c r="C34" s="625" t="s">
        <v>196</v>
      </c>
      <c r="D34" s="625"/>
      <c r="E34" s="625"/>
      <c r="F34" s="625"/>
      <c r="G34" s="360">
        <v>0</v>
      </c>
      <c r="H34" s="360">
        <v>0</v>
      </c>
      <c r="I34" s="323">
        <f t="shared" ref="I34:I39" si="25">IFERROR(SUMPRODUCT(G34:H34,$F$28:$G$28)/$H$28,0)</f>
        <v>0</v>
      </c>
      <c r="J34" s="504"/>
      <c r="K34" s="626" t="str">
        <f>LEFT(C34,15)&amp;"."</f>
        <v>Fastighetssköts.</v>
      </c>
      <c r="L34" s="363">
        <v>0</v>
      </c>
      <c r="M34" s="364">
        <v>0</v>
      </c>
      <c r="N34" s="319">
        <f>L34+M34</f>
        <v>0</v>
      </c>
      <c r="O34" s="504"/>
      <c r="P34" s="627"/>
      <c r="Q34" s="628"/>
      <c r="R34" s="605"/>
      <c r="S34" s="608"/>
      <c r="T34" s="621">
        <f>IF(U34&lt;&gt;0,U34*((1+$M$9)^($R34-$P$5)),S34*((1+$M$9)^($R34-$P$5)))</f>
        <v>0</v>
      </c>
      <c r="U34" s="629"/>
      <c r="V34" s="504"/>
      <c r="W34" s="267">
        <f t="shared" ref="W34:W38" si="26">IFERROR(SUMIF($C$23:$C$27,$Q34,$H$23:$H$27)*$T34,"")</f>
        <v>0</v>
      </c>
      <c r="X34" s="267">
        <f t="shared" ref="X34:X38" si="27">IF($U34=0,$S34*SUMIF($C$23:$C$27,$Q34,$H$23:$H$27),$U34*SUMIF($C$23:$C$27,$Q34,$H$23:$H$27))</f>
        <v>0</v>
      </c>
      <c r="Y34" s="267">
        <f t="shared" ref="Y34:Y38" si="28">IFERROR(SUMIF($C$23:$C$27,$Q34,$H$23:$H$27)*$S34,"")</f>
        <v>0</v>
      </c>
    </row>
    <row r="35" spans="1:25" ht="15">
      <c r="A35" s="726"/>
      <c r="B35" s="504"/>
      <c r="C35" s="586" t="s">
        <v>197</v>
      </c>
      <c r="D35" s="586"/>
      <c r="E35" s="586"/>
      <c r="F35" s="586"/>
      <c r="G35" s="361">
        <v>0</v>
      </c>
      <c r="H35" s="361">
        <v>0</v>
      </c>
      <c r="I35" s="324">
        <f t="shared" si="25"/>
        <v>0</v>
      </c>
      <c r="J35" s="504"/>
      <c r="K35" s="626" t="str">
        <f t="shared" ref="K35:K38" si="29">LEFT(C35,15)&amp;"."</f>
        <v>Reparationer.</v>
      </c>
      <c r="L35" s="363">
        <v>0</v>
      </c>
      <c r="M35" s="364">
        <v>0</v>
      </c>
      <c r="N35" s="319">
        <f>L35+M35</f>
        <v>0</v>
      </c>
      <c r="O35" s="504"/>
      <c r="P35" s="607"/>
      <c r="Q35" s="608"/>
      <c r="R35" s="605"/>
      <c r="S35" s="608"/>
      <c r="T35" s="621">
        <f t="shared" ref="T35:T39" si="30">IF(U35&lt;&gt;0,U35,S35*(1+$M$9)^($R35-$P$5))</f>
        <v>0</v>
      </c>
      <c r="U35" s="629"/>
      <c r="V35" s="504"/>
      <c r="W35" s="267">
        <f t="shared" si="26"/>
        <v>0</v>
      </c>
      <c r="X35" s="267">
        <f t="shared" si="27"/>
        <v>0</v>
      </c>
      <c r="Y35" s="267">
        <f t="shared" si="28"/>
        <v>0</v>
      </c>
    </row>
    <row r="36" spans="1:25" ht="15">
      <c r="A36" s="726"/>
      <c r="B36" s="504"/>
      <c r="C36" s="586" t="s">
        <v>198</v>
      </c>
      <c r="D36" s="586"/>
      <c r="E36" s="586"/>
      <c r="F36" s="586"/>
      <c r="G36" s="361">
        <v>0</v>
      </c>
      <c r="H36" s="361">
        <v>0</v>
      </c>
      <c r="I36" s="324">
        <f t="shared" si="25"/>
        <v>0</v>
      </c>
      <c r="J36" s="504"/>
      <c r="K36" s="626" t="str">
        <f t="shared" si="29"/>
        <v>Planerat underh.</v>
      </c>
      <c r="L36" s="363">
        <v>0</v>
      </c>
      <c r="M36" s="364">
        <v>0</v>
      </c>
      <c r="N36" s="319">
        <f>L36+M36</f>
        <v>0</v>
      </c>
      <c r="O36" s="504"/>
      <c r="P36" s="607"/>
      <c r="Q36" s="608"/>
      <c r="R36" s="605"/>
      <c r="S36" s="608"/>
      <c r="T36" s="621">
        <f t="shared" si="30"/>
        <v>0</v>
      </c>
      <c r="U36" s="610"/>
      <c r="V36" s="504"/>
      <c r="W36" s="267">
        <f t="shared" si="26"/>
        <v>0</v>
      </c>
      <c r="X36" s="267">
        <f t="shared" si="27"/>
        <v>0</v>
      </c>
      <c r="Y36" s="267">
        <f t="shared" si="28"/>
        <v>0</v>
      </c>
    </row>
    <row r="37" spans="1:25" ht="15">
      <c r="A37" s="726"/>
      <c r="B37" s="504"/>
      <c r="C37" s="586" t="s">
        <v>199</v>
      </c>
      <c r="D37" s="586"/>
      <c r="E37" s="586"/>
      <c r="F37" s="586"/>
      <c r="G37" s="361">
        <v>0</v>
      </c>
      <c r="H37" s="361">
        <v>0</v>
      </c>
      <c r="I37" s="324">
        <f t="shared" si="25"/>
        <v>0</v>
      </c>
      <c r="J37" s="504"/>
      <c r="K37" s="626" t="str">
        <f t="shared" si="29"/>
        <v>Media.</v>
      </c>
      <c r="L37" s="363">
        <v>0</v>
      </c>
      <c r="M37" s="364">
        <v>0</v>
      </c>
      <c r="N37" s="319">
        <f>L37+M37</f>
        <v>0</v>
      </c>
      <c r="O37" s="504"/>
      <c r="P37" s="607"/>
      <c r="Q37" s="608"/>
      <c r="R37" s="605"/>
      <c r="S37" s="608"/>
      <c r="T37" s="621">
        <f t="shared" si="30"/>
        <v>0</v>
      </c>
      <c r="U37" s="610"/>
      <c r="V37" s="504"/>
      <c r="W37" s="267">
        <f t="shared" si="26"/>
        <v>0</v>
      </c>
      <c r="X37" s="267">
        <f t="shared" si="27"/>
        <v>0</v>
      </c>
      <c r="Y37" s="267">
        <f t="shared" si="28"/>
        <v>0</v>
      </c>
    </row>
    <row r="38" spans="1:25" ht="15">
      <c r="A38" s="726"/>
      <c r="B38" s="504"/>
      <c r="C38" s="630" t="s">
        <v>200</v>
      </c>
      <c r="D38" s="630"/>
      <c r="E38" s="630"/>
      <c r="F38" s="630"/>
      <c r="G38" s="362">
        <v>0</v>
      </c>
      <c r="H38" s="362">
        <v>405</v>
      </c>
      <c r="I38" s="325">
        <f t="shared" si="25"/>
        <v>405</v>
      </c>
      <c r="J38" s="504"/>
      <c r="K38" s="631" t="str">
        <f t="shared" si="29"/>
        <v>Övriga förvaltn.</v>
      </c>
      <c r="L38" s="365">
        <v>0</v>
      </c>
      <c r="M38" s="366">
        <v>0</v>
      </c>
      <c r="N38" s="320">
        <f>L38+M38</f>
        <v>0</v>
      </c>
      <c r="O38" s="504"/>
      <c r="P38" s="607"/>
      <c r="Q38" s="608"/>
      <c r="R38" s="605"/>
      <c r="S38" s="608"/>
      <c r="T38" s="621">
        <f t="shared" si="30"/>
        <v>0</v>
      </c>
      <c r="U38" s="610"/>
      <c r="V38" s="504"/>
      <c r="W38" s="267">
        <f t="shared" si="26"/>
        <v>0</v>
      </c>
      <c r="X38" s="267">
        <f t="shared" si="27"/>
        <v>0</v>
      </c>
      <c r="Y38" s="267">
        <f t="shared" si="28"/>
        <v>0</v>
      </c>
    </row>
    <row r="39" spans="1:25" ht="15">
      <c r="A39" s="726"/>
      <c r="B39" s="504"/>
      <c r="C39" s="310" t="s">
        <v>201</v>
      </c>
      <c r="D39" s="310"/>
      <c r="E39" s="310"/>
      <c r="F39" s="310"/>
      <c r="G39" s="310">
        <f>SUM(G34:G38)</f>
        <v>0</v>
      </c>
      <c r="H39" s="310">
        <f>SUM(H34:H38)</f>
        <v>405</v>
      </c>
      <c r="I39" s="326">
        <f t="shared" si="25"/>
        <v>405</v>
      </c>
      <c r="J39" s="504"/>
      <c r="K39" s="322" t="str">
        <f t="shared" ref="K39" si="31">C39</f>
        <v>Summa kostnader</v>
      </c>
      <c r="L39" s="313">
        <f>IFERROR(SUMPRODUCT(L34:L38,$I$34:$I$38)/$I$39,0)</f>
        <v>0</v>
      </c>
      <c r="M39" s="314">
        <f>IFERROR(SUMPRODUCT(M34:M38,$I$34:$I$38)/$I$39,0)</f>
        <v>0</v>
      </c>
      <c r="N39" s="321">
        <f>IFERROR(SUMPRODUCT(N34:N38,$I$34:$I$38)/$I$39,0)</f>
        <v>0</v>
      </c>
      <c r="O39" s="504"/>
      <c r="P39" s="632"/>
      <c r="Q39" s="633"/>
      <c r="R39" s="634"/>
      <c r="S39" s="633"/>
      <c r="T39" s="624">
        <f t="shared" si="30"/>
        <v>0</v>
      </c>
      <c r="U39" s="635"/>
      <c r="V39" s="504"/>
      <c r="W39" s="318">
        <f>SUM(W34:W38)</f>
        <v>0</v>
      </c>
      <c r="X39" s="318">
        <f>SUM(X34:X38)</f>
        <v>0</v>
      </c>
      <c r="Y39" s="318">
        <f>SUM(Y34:Y38)</f>
        <v>0</v>
      </c>
    </row>
    <row r="41" spans="1:25">
      <c r="A41" s="504"/>
      <c r="B41" s="504"/>
      <c r="C41" s="719"/>
      <c r="D41" s="719"/>
      <c r="E41" s="719"/>
      <c r="F41" s="719"/>
      <c r="G41" s="719"/>
      <c r="H41" s="719"/>
      <c r="I41" s="719"/>
      <c r="J41" s="719"/>
      <c r="K41" s="719"/>
      <c r="L41" s="719"/>
      <c r="M41" s="719"/>
      <c r="N41" s="719"/>
      <c r="O41" s="504"/>
      <c r="P41" s="504"/>
      <c r="Q41" s="504"/>
      <c r="R41" s="504"/>
      <c r="S41" s="504"/>
      <c r="T41" s="504"/>
      <c r="U41" s="504"/>
      <c r="V41" s="504"/>
      <c r="W41" s="504"/>
      <c r="X41" s="504"/>
      <c r="Y41" s="504"/>
    </row>
    <row r="42" spans="1:25">
      <c r="A42" s="504"/>
      <c r="B42" s="504"/>
      <c r="C42" s="346" t="s">
        <v>202</v>
      </c>
      <c r="D42" s="347"/>
      <c r="E42" s="347"/>
      <c r="F42" s="347"/>
      <c r="G42" s="347"/>
      <c r="H42" s="347"/>
      <c r="I42" s="347"/>
      <c r="J42" s="347"/>
      <c r="K42" s="347"/>
      <c r="L42" s="347"/>
      <c r="M42" s="347"/>
      <c r="N42" s="348"/>
      <c r="O42" s="504"/>
      <c r="P42" s="504"/>
      <c r="Q42" s="504"/>
      <c r="R42" s="504"/>
      <c r="S42" s="504"/>
      <c r="T42" s="504"/>
      <c r="U42" s="504"/>
      <c r="V42" s="504"/>
      <c r="W42" s="504"/>
      <c r="X42" s="504"/>
      <c r="Y42" s="504"/>
    </row>
    <row r="43" spans="1:25">
      <c r="A43" s="504"/>
      <c r="B43" s="504"/>
      <c r="C43" s="346"/>
      <c r="D43" s="347"/>
      <c r="E43" s="347"/>
      <c r="F43" s="347"/>
      <c r="G43" s="347"/>
      <c r="H43" s="347"/>
      <c r="I43" s="347"/>
      <c r="J43" s="347"/>
      <c r="K43" s="347"/>
      <c r="L43" s="347"/>
      <c r="M43" s="347"/>
      <c r="N43" s="348"/>
      <c r="O43" s="504"/>
      <c r="P43" s="504"/>
      <c r="Q43" s="504"/>
      <c r="R43" s="504"/>
      <c r="S43" s="504"/>
      <c r="T43" s="504"/>
      <c r="U43" s="504"/>
      <c r="V43" s="523"/>
      <c r="W43" s="504"/>
      <c r="X43" s="504"/>
      <c r="Y43" s="504"/>
    </row>
    <row r="44" spans="1:25">
      <c r="A44" s="504"/>
      <c r="B44" s="504"/>
      <c r="C44" s="346"/>
      <c r="D44" s="347"/>
      <c r="E44" s="347"/>
      <c r="F44" s="347"/>
      <c r="G44" s="347"/>
      <c r="H44" s="347"/>
      <c r="I44" s="347"/>
      <c r="J44" s="347"/>
      <c r="K44" s="347"/>
      <c r="L44" s="347"/>
      <c r="M44" s="347"/>
      <c r="N44" s="348"/>
      <c r="O44" s="504"/>
      <c r="P44" s="504"/>
      <c r="Q44" s="504"/>
      <c r="R44" s="504"/>
      <c r="S44" s="504"/>
      <c r="T44" s="504"/>
      <c r="U44" s="504"/>
      <c r="V44" s="504"/>
      <c r="W44" s="504"/>
      <c r="X44" s="504"/>
      <c r="Y44" s="504"/>
    </row>
    <row r="45" spans="1:25">
      <c r="A45" s="504"/>
      <c r="B45" s="504"/>
      <c r="C45" s="346"/>
      <c r="D45" s="347"/>
      <c r="E45" s="347"/>
      <c r="F45" s="347"/>
      <c r="G45" s="347"/>
      <c r="H45" s="347"/>
      <c r="I45" s="347"/>
      <c r="J45" s="347"/>
      <c r="K45" s="347"/>
      <c r="L45" s="347"/>
      <c r="M45" s="347"/>
      <c r="N45" s="348"/>
      <c r="O45" s="504"/>
      <c r="P45" s="504"/>
      <c r="Q45" s="504"/>
      <c r="R45" s="504"/>
      <c r="S45" s="504"/>
      <c r="T45" s="504"/>
      <c r="U45" s="504"/>
      <c r="V45" s="504"/>
      <c r="W45" s="504"/>
      <c r="X45" s="504"/>
      <c r="Y45" s="504"/>
    </row>
    <row r="46" spans="1:25">
      <c r="A46" s="504"/>
      <c r="B46" s="504"/>
      <c r="C46" s="346"/>
      <c r="D46" s="347"/>
      <c r="E46" s="347"/>
      <c r="F46" s="347"/>
      <c r="G46" s="347"/>
      <c r="H46" s="347"/>
      <c r="I46" s="347"/>
      <c r="J46" s="347"/>
      <c r="K46" s="347"/>
      <c r="L46" s="347"/>
      <c r="M46" s="347"/>
      <c r="N46" s="348"/>
      <c r="O46" s="504"/>
      <c r="P46" s="504"/>
      <c r="Q46" s="504"/>
      <c r="R46" s="504"/>
      <c r="S46" s="504"/>
      <c r="T46" s="504"/>
      <c r="U46" s="504"/>
      <c r="V46" s="504"/>
      <c r="W46" s="504"/>
      <c r="X46" s="504"/>
      <c r="Y46" s="504"/>
    </row>
    <row r="47" spans="1:25">
      <c r="A47" s="504"/>
      <c r="B47" s="504"/>
      <c r="C47" s="346"/>
      <c r="D47" s="347"/>
      <c r="E47" s="347"/>
      <c r="F47" s="347"/>
      <c r="G47" s="347"/>
      <c r="H47" s="347"/>
      <c r="I47" s="347"/>
      <c r="J47" s="347"/>
      <c r="K47" s="347"/>
      <c r="L47" s="347"/>
      <c r="M47" s="347"/>
      <c r="N47" s="348"/>
      <c r="O47" s="504"/>
      <c r="P47" s="504"/>
      <c r="Q47" s="504"/>
      <c r="R47" s="504"/>
      <c r="S47" s="504"/>
      <c r="T47" s="504"/>
      <c r="U47" s="504"/>
      <c r="V47" s="504"/>
      <c r="W47" s="504"/>
      <c r="X47" s="504"/>
      <c r="Y47" s="504"/>
    </row>
    <row r="48" spans="1:25">
      <c r="A48" s="504"/>
      <c r="B48" s="504"/>
      <c r="C48" s="346"/>
      <c r="D48" s="347"/>
      <c r="E48" s="347"/>
      <c r="F48" s="347"/>
      <c r="G48" s="347"/>
      <c r="H48" s="347"/>
      <c r="I48" s="347"/>
      <c r="J48" s="347"/>
      <c r="K48" s="347"/>
      <c r="L48" s="347"/>
      <c r="M48" s="347"/>
      <c r="N48" s="348"/>
      <c r="O48" s="504"/>
      <c r="P48" s="504"/>
      <c r="Q48" s="504"/>
      <c r="R48" s="504"/>
      <c r="S48" s="504"/>
      <c r="T48" s="504"/>
      <c r="U48" s="504"/>
      <c r="V48" s="504"/>
      <c r="W48" s="504"/>
      <c r="X48" s="504"/>
      <c r="Y48" s="504"/>
    </row>
    <row r="49" spans="1:14">
      <c r="C49" s="346"/>
      <c r="D49" s="347"/>
      <c r="E49" s="347"/>
      <c r="F49" s="347"/>
      <c r="G49" s="347"/>
      <c r="H49" s="347"/>
      <c r="I49" s="347"/>
      <c r="J49" s="347"/>
      <c r="K49" s="347"/>
      <c r="L49" s="347"/>
      <c r="M49" s="347"/>
      <c r="N49" s="348"/>
    </row>
    <row r="50" spans="1:14">
      <c r="C50" s="346"/>
      <c r="D50" s="347"/>
      <c r="E50" s="347"/>
      <c r="F50" s="347"/>
      <c r="G50" s="347"/>
      <c r="H50" s="347"/>
      <c r="I50" s="347"/>
      <c r="J50" s="347"/>
      <c r="K50" s="347"/>
      <c r="L50" s="347"/>
      <c r="M50" s="347"/>
      <c r="N50" s="348"/>
    </row>
    <row r="52" spans="1:14" ht="23.25">
      <c r="C52" s="185" t="s">
        <v>374</v>
      </c>
    </row>
    <row r="53" spans="1:14">
      <c r="C53" s="744" t="s">
        <v>375</v>
      </c>
    </row>
    <row r="54" spans="1:14" ht="34.5" customHeight="1">
      <c r="A54" s="743">
        <v>4</v>
      </c>
      <c r="C54" s="391" t="s">
        <v>376</v>
      </c>
      <c r="D54" s="391"/>
      <c r="E54" s="391"/>
      <c r="F54" s="391"/>
      <c r="G54" s="392" t="str">
        <f>IF($C$23="","Objekt 1",$C$23)</f>
        <v>Skola</v>
      </c>
      <c r="H54" s="392" t="str">
        <f>IF($C$24="","Objekt 2",$C$24)</f>
        <v>Objekt 2</v>
      </c>
      <c r="I54" s="392" t="str">
        <f>IF($C$25="","Objekt 3",$C$25)</f>
        <v>Objekt 3</v>
      </c>
      <c r="J54" s="392" t="str">
        <f>IF($C$26="","Objekt 4",$C$26)</f>
        <v>Objekt 4</v>
      </c>
      <c r="K54" s="392" t="str">
        <f>IF($C$27="","Objekt 5",$C$27)</f>
        <v>Objekt 5</v>
      </c>
      <c r="L54" s="392" t="s">
        <v>158</v>
      </c>
    </row>
    <row r="55" spans="1:14">
      <c r="A55" s="743"/>
      <c r="C55" s="625" t="s">
        <v>114</v>
      </c>
      <c r="D55" s="625"/>
      <c r="E55" s="625"/>
      <c r="F55" s="625"/>
      <c r="G55" s="614"/>
      <c r="H55" s="614"/>
      <c r="I55" s="614"/>
      <c r="J55" s="614"/>
      <c r="K55" s="614"/>
      <c r="L55" s="615">
        <f>SUM(G55:K55)</f>
        <v>0</v>
      </c>
    </row>
    <row r="56" spans="1:14">
      <c r="A56" s="743"/>
      <c r="C56" s="625" t="s">
        <v>117</v>
      </c>
      <c r="D56" s="625"/>
      <c r="E56" s="625"/>
      <c r="F56" s="625"/>
      <c r="G56" s="614"/>
      <c r="H56" s="614"/>
      <c r="I56" s="614"/>
      <c r="J56" s="614"/>
      <c r="K56" s="614"/>
      <c r="L56" s="615">
        <f>SUM(G56:K56)</f>
        <v>0</v>
      </c>
    </row>
    <row r="57" spans="1:14">
      <c r="A57" s="743"/>
      <c r="C57" s="625" t="s">
        <v>121</v>
      </c>
      <c r="D57" s="625"/>
      <c r="E57" s="625"/>
      <c r="F57" s="625"/>
      <c r="G57" s="614"/>
      <c r="H57" s="614"/>
      <c r="I57" s="614"/>
      <c r="J57" s="614"/>
      <c r="K57" s="614"/>
      <c r="L57" s="615">
        <f>SUM(G57:K57)</f>
        <v>0</v>
      </c>
    </row>
    <row r="58" spans="1:14">
      <c r="A58" s="743"/>
      <c r="C58" s="625" t="s">
        <v>126</v>
      </c>
      <c r="D58" s="625"/>
      <c r="E58" s="625"/>
      <c r="F58" s="625"/>
      <c r="G58" s="614">
        <v>240000000</v>
      </c>
      <c r="H58" s="614"/>
      <c r="I58" s="614"/>
      <c r="J58" s="614"/>
      <c r="K58" s="614"/>
      <c r="L58" s="615">
        <f>SUM(G58:K58)</f>
        <v>240000000</v>
      </c>
    </row>
    <row r="59" spans="1:14">
      <c r="A59" s="743"/>
      <c r="C59" s="625" t="s">
        <v>128</v>
      </c>
      <c r="D59" s="625"/>
      <c r="E59" s="625"/>
      <c r="F59" s="625"/>
      <c r="G59" s="614"/>
      <c r="H59" s="614"/>
      <c r="I59" s="614"/>
      <c r="J59" s="614"/>
      <c r="K59" s="614"/>
      <c r="L59" s="615">
        <f>SUM(G59:K59)</f>
        <v>0</v>
      </c>
    </row>
    <row r="60" spans="1:14">
      <c r="A60" s="743"/>
      <c r="C60" s="625" t="s">
        <v>132</v>
      </c>
      <c r="D60" s="625"/>
      <c r="E60" s="625"/>
      <c r="F60" s="625"/>
      <c r="G60" s="614"/>
      <c r="H60" s="614"/>
      <c r="I60" s="614"/>
      <c r="J60" s="614"/>
      <c r="K60" s="614"/>
      <c r="L60" s="615">
        <f>SUM(G60:K60)</f>
        <v>0</v>
      </c>
    </row>
    <row r="61" spans="1:14">
      <c r="A61" s="743"/>
      <c r="C61" s="625" t="s">
        <v>96</v>
      </c>
      <c r="D61" s="625"/>
      <c r="E61" s="625"/>
      <c r="F61" s="625"/>
      <c r="G61" s="614"/>
      <c r="H61" s="614"/>
      <c r="I61" s="614"/>
      <c r="J61" s="614"/>
      <c r="K61" s="614"/>
      <c r="L61" s="615">
        <f>SUM(G61:K61)</f>
        <v>0</v>
      </c>
    </row>
    <row r="62" spans="1:14">
      <c r="A62" s="743"/>
      <c r="C62" s="625" t="s">
        <v>138</v>
      </c>
      <c r="D62" s="625"/>
      <c r="E62" s="625"/>
      <c r="F62" s="625"/>
      <c r="G62" s="614"/>
      <c r="H62" s="614"/>
      <c r="I62" s="614"/>
      <c r="J62" s="614"/>
      <c r="K62" s="614"/>
      <c r="L62" s="615">
        <f>SUM(G62:K62)</f>
        <v>0</v>
      </c>
    </row>
    <row r="63" spans="1:14">
      <c r="A63" s="743"/>
      <c r="C63" s="625" t="s">
        <v>140</v>
      </c>
      <c r="D63" s="625"/>
      <c r="E63" s="625"/>
      <c r="F63" s="625"/>
      <c r="G63" s="614"/>
      <c r="H63" s="614"/>
      <c r="I63" s="614"/>
      <c r="J63" s="614"/>
      <c r="K63" s="614"/>
      <c r="L63" s="615">
        <f>SUM(G63:K63)</f>
        <v>0</v>
      </c>
    </row>
    <row r="64" spans="1:14">
      <c r="A64" s="743"/>
      <c r="C64" s="625" t="s">
        <v>145</v>
      </c>
      <c r="D64" s="625"/>
      <c r="E64" s="625"/>
      <c r="F64" s="625"/>
      <c r="G64" s="614"/>
      <c r="H64" s="614"/>
      <c r="I64" s="614"/>
      <c r="J64" s="614"/>
      <c r="K64" s="614"/>
      <c r="L64" s="615">
        <f>SUM(G64:K64)</f>
        <v>0</v>
      </c>
    </row>
    <row r="65" spans="1:22">
      <c r="A65" s="743"/>
      <c r="C65" s="625" t="s">
        <v>149</v>
      </c>
      <c r="D65" s="625"/>
      <c r="E65" s="625"/>
      <c r="F65" s="625"/>
      <c r="G65" s="614"/>
      <c r="H65" s="614"/>
      <c r="I65" s="614"/>
      <c r="J65" s="614"/>
      <c r="K65" s="614"/>
      <c r="L65" s="615">
        <f>SUM(G65:K65)</f>
        <v>0</v>
      </c>
    </row>
    <row r="66" spans="1:22">
      <c r="A66" s="743"/>
      <c r="C66" s="625" t="s">
        <v>154</v>
      </c>
      <c r="D66" s="625"/>
      <c r="E66" s="625"/>
      <c r="F66" s="625"/>
      <c r="G66" s="614"/>
      <c r="H66" s="614"/>
      <c r="I66" s="614"/>
      <c r="J66" s="614"/>
      <c r="K66" s="614"/>
      <c r="L66" s="615">
        <f>SUM(G66:K66)</f>
        <v>0</v>
      </c>
    </row>
    <row r="67" spans="1:22">
      <c r="A67" s="743"/>
      <c r="C67" s="625" t="s">
        <v>155</v>
      </c>
      <c r="D67" s="625"/>
      <c r="E67" s="625"/>
      <c r="F67" s="625"/>
      <c r="G67" s="614"/>
      <c r="H67" s="614"/>
      <c r="I67" s="614"/>
      <c r="J67" s="614"/>
      <c r="K67" s="614"/>
      <c r="L67" s="615">
        <f>SUM(G67:K67)</f>
        <v>0</v>
      </c>
    </row>
    <row r="68" spans="1:22">
      <c r="A68" s="743"/>
      <c r="C68" s="625" t="s">
        <v>156</v>
      </c>
      <c r="D68" s="625"/>
      <c r="E68" s="625"/>
      <c r="F68" s="625"/>
      <c r="G68" s="614"/>
      <c r="H68" s="614"/>
      <c r="I68" s="614"/>
      <c r="J68" s="614"/>
      <c r="K68" s="614"/>
      <c r="L68" s="615">
        <f>SUM(G68:K68)</f>
        <v>0</v>
      </c>
    </row>
    <row r="69" spans="1:22" ht="15">
      <c r="A69" s="743"/>
      <c r="C69" s="749" t="s">
        <v>38</v>
      </c>
      <c r="D69" s="749"/>
      <c r="E69" s="749"/>
      <c r="F69" s="749"/>
      <c r="G69" s="615">
        <f>SUM(G55:G68)</f>
        <v>240000000</v>
      </c>
      <c r="H69" s="615">
        <f>SUM(H55:H68)</f>
        <v>0</v>
      </c>
      <c r="I69" s="615">
        <f>SUM(I55:I68)</f>
        <v>0</v>
      </c>
      <c r="J69" s="615">
        <f>SUM(J55:J68)</f>
        <v>0</v>
      </c>
      <c r="K69" s="615">
        <f>SUM(K55:K68)</f>
        <v>0</v>
      </c>
      <c r="L69" s="615">
        <f>SUM(G69:K69)</f>
        <v>240000000</v>
      </c>
    </row>
    <row r="70" spans="1:22">
      <c r="A70" s="743"/>
      <c r="C70" s="625" t="s">
        <v>377</v>
      </c>
      <c r="D70" s="625"/>
      <c r="E70" s="625"/>
      <c r="F70" s="625"/>
      <c r="G70" s="615">
        <f>IFERROR(G69/$H23,0)</f>
        <v>39344.262295081964</v>
      </c>
      <c r="H70" s="615">
        <f>IFERROR(H69/$H24,0)</f>
        <v>0</v>
      </c>
      <c r="I70" s="615">
        <f>IFERROR(I69/$H25,0)</f>
        <v>0</v>
      </c>
      <c r="J70" s="615">
        <f>IFERROR(J69/$H26,0)</f>
        <v>0</v>
      </c>
      <c r="K70" s="615">
        <f>IFERROR(K69/$H27,0)</f>
        <v>0</v>
      </c>
      <c r="L70" s="615">
        <f>IFERROR(L69/$H$28,0)</f>
        <v>39344.262295081964</v>
      </c>
    </row>
    <row r="72" spans="1:22" ht="23.25">
      <c r="C72" s="185" t="s">
        <v>350</v>
      </c>
    </row>
    <row r="73" spans="1:22">
      <c r="C73" s="744" t="s">
        <v>355</v>
      </c>
    </row>
    <row r="74" spans="1:22" ht="34.5" customHeight="1">
      <c r="A74" s="743">
        <v>5</v>
      </c>
      <c r="C74" s="391" t="s">
        <v>351</v>
      </c>
      <c r="D74" s="391"/>
      <c r="E74" s="391"/>
      <c r="F74" s="391"/>
      <c r="G74" s="392" t="s">
        <v>352</v>
      </c>
      <c r="H74" s="392" t="s">
        <v>353</v>
      </c>
      <c r="I74" s="392" t="s">
        <v>354</v>
      </c>
      <c r="J74" s="392"/>
      <c r="K74" s="392"/>
      <c r="L74" s="392"/>
      <c r="M74" s="392"/>
      <c r="N74" s="392"/>
      <c r="O74" s="392"/>
      <c r="P74" s="392"/>
      <c r="Q74" s="392"/>
      <c r="R74" s="392"/>
      <c r="S74" s="392"/>
      <c r="T74" s="392"/>
      <c r="U74" s="392"/>
    </row>
    <row r="75" spans="1:22">
      <c r="A75" s="743"/>
      <c r="C75" s="625" t="s">
        <v>362</v>
      </c>
      <c r="D75" s="625"/>
      <c r="E75" s="625"/>
      <c r="F75" s="625"/>
      <c r="G75" s="482" t="s">
        <v>359</v>
      </c>
      <c r="H75" s="483">
        <f>IFERROR((MATCH(G75,$AC$5:$AC$9,0)-3)*0.0025,0)</f>
        <v>0</v>
      </c>
      <c r="I75" s="745"/>
      <c r="J75" s="746"/>
      <c r="K75" s="746"/>
      <c r="L75" s="746"/>
      <c r="M75" s="746"/>
      <c r="N75" s="746"/>
      <c r="O75" s="746"/>
      <c r="P75" s="746"/>
      <c r="Q75" s="746"/>
      <c r="R75" s="746"/>
      <c r="S75" s="746"/>
      <c r="T75" s="746"/>
      <c r="U75" s="746"/>
      <c r="V75" s="744" t="s">
        <v>363</v>
      </c>
    </row>
    <row r="76" spans="1:22">
      <c r="A76" s="743"/>
      <c r="C76" s="625" t="s">
        <v>364</v>
      </c>
      <c r="D76" s="625"/>
      <c r="E76" s="625"/>
      <c r="F76" s="625"/>
      <c r="G76" s="482" t="s">
        <v>359</v>
      </c>
      <c r="H76" s="483">
        <f>IFERROR((MATCH(G76,$AC$5:$AC$9,0)-3)*0.0025,0)</f>
        <v>0</v>
      </c>
      <c r="I76" s="747"/>
      <c r="J76" s="748"/>
      <c r="K76" s="748"/>
      <c r="L76" s="748"/>
      <c r="M76" s="748"/>
      <c r="N76" s="748"/>
      <c r="O76" s="748"/>
      <c r="P76" s="748"/>
      <c r="Q76" s="748"/>
      <c r="R76" s="748"/>
      <c r="S76" s="748"/>
      <c r="T76" s="748"/>
      <c r="U76" s="748"/>
      <c r="V76" s="744" t="s">
        <v>365</v>
      </c>
    </row>
    <row r="77" spans="1:22">
      <c r="A77" s="743"/>
      <c r="C77" s="625" t="s">
        <v>366</v>
      </c>
      <c r="D77" s="625"/>
      <c r="E77" s="625"/>
      <c r="F77" s="625"/>
      <c r="G77" s="482" t="s">
        <v>359</v>
      </c>
      <c r="H77" s="483">
        <f>IFERROR((MATCH(G77,$AC$5:$AC$9,0)-3)*0.0025,0)</f>
        <v>0</v>
      </c>
      <c r="I77" s="747"/>
      <c r="J77" s="748"/>
      <c r="K77" s="748"/>
      <c r="L77" s="748"/>
      <c r="M77" s="748"/>
      <c r="N77" s="748"/>
      <c r="O77" s="748"/>
      <c r="P77" s="748"/>
      <c r="Q77" s="748"/>
      <c r="R77" s="748"/>
      <c r="S77" s="748"/>
      <c r="T77" s="748"/>
      <c r="U77" s="748"/>
      <c r="V77" s="744" t="s">
        <v>367</v>
      </c>
    </row>
    <row r="78" spans="1:22">
      <c r="A78" s="743"/>
      <c r="C78" s="625" t="s">
        <v>368</v>
      </c>
      <c r="D78" s="625"/>
      <c r="E78" s="625"/>
      <c r="F78" s="625"/>
      <c r="G78" s="482" t="s">
        <v>359</v>
      </c>
      <c r="H78" s="483">
        <f>IFERROR((MATCH(G78,$AC$5:$AC$9,0)-3)*0.0025,0)</f>
        <v>0</v>
      </c>
      <c r="I78" s="747"/>
      <c r="J78" s="748"/>
      <c r="K78" s="748"/>
      <c r="L78" s="748"/>
      <c r="M78" s="748"/>
      <c r="N78" s="748"/>
      <c r="O78" s="748"/>
      <c r="P78" s="748"/>
      <c r="Q78" s="748"/>
      <c r="R78" s="748"/>
      <c r="S78" s="748"/>
      <c r="T78" s="748"/>
      <c r="U78" s="748"/>
      <c r="V78" s="744" t="s">
        <v>369</v>
      </c>
    </row>
    <row r="79" spans="1:22" ht="15">
      <c r="A79" s="743"/>
      <c r="C79" s="749" t="s">
        <v>370</v>
      </c>
      <c r="D79" s="625"/>
      <c r="E79" s="625"/>
      <c r="F79" s="625"/>
      <c r="H79" s="750">
        <f>SUM(H75:H78)</f>
        <v>0</v>
      </c>
    </row>
    <row r="80" spans="1:22">
      <c r="A80" s="743"/>
      <c r="C80" s="625" t="s">
        <v>371</v>
      </c>
      <c r="D80" s="625"/>
      <c r="E80" s="625"/>
      <c r="F80" s="625"/>
      <c r="H80" s="483">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82C9AD13-2CF7-4511-ACEF-075EA89C016E}">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46295.96616087963</v>
      </c>
      <c r="D1" s="504"/>
      <c r="E1" s="504"/>
      <c r="F1" s="504"/>
      <c r="G1" s="504"/>
      <c r="H1" s="504"/>
      <c r="I1" s="504"/>
      <c r="J1" s="504"/>
      <c r="K1" s="504"/>
      <c r="L1" s="504"/>
      <c r="M1" s="504"/>
      <c r="N1" s="504"/>
      <c r="O1" s="504"/>
      <c r="P1" s="504"/>
      <c r="Q1" s="504"/>
      <c r="R1" s="504"/>
      <c r="S1" s="504"/>
      <c r="T1" s="504"/>
      <c r="U1" s="504"/>
      <c r="V1" s="504"/>
      <c r="W1" s="504"/>
      <c r="X1" s="504"/>
      <c r="Y1" s="504"/>
      <c r="Z1" s="504"/>
      <c r="AA1" s="504"/>
      <c r="AB1" s="504"/>
      <c r="AC1" s="504"/>
      <c r="AD1" s="504"/>
      <c r="AE1" s="504"/>
      <c r="AF1" s="504"/>
      <c r="AG1" s="504"/>
      <c r="AH1" s="504"/>
      <c r="AI1" s="504"/>
      <c r="AJ1" s="504"/>
      <c r="AK1" s="504"/>
      <c r="AL1" s="504"/>
      <c r="AM1" s="504"/>
      <c r="AN1" s="504"/>
      <c r="AO1" s="504"/>
      <c r="AP1" s="504"/>
      <c r="AQ1" s="504"/>
      <c r="AR1" s="504"/>
      <c r="AS1" s="504"/>
      <c r="AT1" s="504"/>
      <c r="AU1" s="504"/>
      <c r="AV1" s="504"/>
      <c r="AW1" s="504"/>
      <c r="AX1" s="504"/>
      <c r="AY1" s="504"/>
      <c r="AZ1" s="504"/>
      <c r="BA1" s="504"/>
      <c r="BB1" s="504"/>
    </row>
    <row r="2" spans="2:54" s="11" customFormat="1" hidden="1">
      <c r="B2" s="504"/>
      <c r="C2" s="636"/>
      <c r="D2" s="504"/>
      <c r="E2" s="504"/>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c r="AS2" s="504"/>
      <c r="AT2" s="504"/>
      <c r="AU2" s="504"/>
      <c r="AV2" s="504"/>
      <c r="AW2" s="504"/>
      <c r="AX2" s="504"/>
      <c r="AY2" s="504"/>
      <c r="AZ2" s="504"/>
      <c r="BA2" s="504"/>
      <c r="BB2" s="504"/>
    </row>
    <row r="3" spans="2:54" s="11" customFormat="1" ht="23.25">
      <c r="B3" s="185" t="s">
        <v>204</v>
      </c>
      <c r="C3" s="636"/>
      <c r="D3" s="504"/>
      <c r="E3" s="504"/>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T3" s="504"/>
      <c r="AU3" s="504"/>
      <c r="AV3" s="504"/>
      <c r="AW3" s="504"/>
      <c r="AX3" s="504"/>
      <c r="AY3" s="504"/>
      <c r="AZ3" s="504"/>
      <c r="BA3" s="504"/>
      <c r="BB3" s="504"/>
    </row>
    <row r="4" spans="2:54" s="11" customFormat="1" ht="53.25" customHeight="1">
      <c r="B4" s="737" t="s">
        <v>205</v>
      </c>
      <c r="C4" s="737"/>
      <c r="D4" s="737"/>
      <c r="E4" s="737"/>
      <c r="F4" s="737"/>
      <c r="G4" s="737"/>
      <c r="H4" s="737"/>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T4" s="504"/>
      <c r="AU4" s="504"/>
      <c r="AV4" s="504"/>
      <c r="AW4" s="504"/>
      <c r="AX4" s="504"/>
      <c r="AY4" s="504"/>
      <c r="AZ4" s="504"/>
      <c r="BA4" s="504"/>
      <c r="BB4" s="504"/>
    </row>
    <row r="5" spans="2:54" s="11" customFormat="1">
      <c r="B5" s="504"/>
      <c r="C5" s="636"/>
      <c r="D5" s="504"/>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c r="AS5" s="504"/>
      <c r="AT5" s="504"/>
      <c r="AU5" s="504"/>
      <c r="AV5" s="504"/>
      <c r="AW5" s="504"/>
      <c r="AX5" s="504"/>
      <c r="AY5" s="504"/>
      <c r="AZ5" s="504"/>
      <c r="BA5" s="504"/>
      <c r="BB5" s="504"/>
    </row>
    <row r="6" spans="2:54" s="11" customFormat="1" ht="15">
      <c r="B6" s="327" t="s">
        <v>96</v>
      </c>
      <c r="C6" s="352" t="s">
        <v>206</v>
      </c>
      <c r="D6" s="353"/>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c r="AS6" s="504"/>
      <c r="AT6" s="504"/>
      <c r="AU6" s="504"/>
      <c r="AV6" s="504"/>
      <c r="AW6" s="504"/>
      <c r="AX6" s="504"/>
      <c r="AY6" s="504"/>
      <c r="AZ6" s="504"/>
      <c r="BA6" s="504"/>
      <c r="BB6" s="504"/>
    </row>
    <row r="7" spans="2:54" s="11" customFormat="1">
      <c r="B7" s="229" t="s">
        <v>207</v>
      </c>
      <c r="C7" s="484">
        <v>3.0700000000000002E-2</v>
      </c>
      <c r="D7" s="229"/>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c r="AS7" s="504"/>
      <c r="AT7" s="504"/>
      <c r="AU7" s="504"/>
      <c r="AV7" s="504"/>
      <c r="AW7" s="504"/>
      <c r="AX7" s="504"/>
      <c r="AY7" s="504"/>
      <c r="AZ7" s="504"/>
      <c r="BA7" s="504"/>
      <c r="BB7" s="504"/>
    </row>
    <row r="8" spans="2:54" s="11" customFormat="1">
      <c r="B8" s="229" t="s">
        <v>74</v>
      </c>
      <c r="C8" s="484">
        <v>4.5499999999999999E-2</v>
      </c>
      <c r="D8" s="354" t="s">
        <v>208</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c r="AS8" s="504"/>
      <c r="AT8" s="504"/>
      <c r="AU8" s="504"/>
      <c r="AV8" s="504"/>
      <c r="AW8" s="504"/>
      <c r="AX8" s="504"/>
      <c r="AY8" s="504"/>
      <c r="AZ8" s="504"/>
      <c r="BA8" s="504"/>
      <c r="BB8" s="504"/>
    </row>
    <row r="9" spans="2:54" s="11" customFormat="1">
      <c r="B9" s="229" t="s">
        <v>75</v>
      </c>
      <c r="C9" s="484">
        <v>0.03</v>
      </c>
      <c r="D9" s="355">
        <f>(FLOOR(100%/C9,1))</f>
        <v>33</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c r="AS9" s="504"/>
      <c r="AT9" s="504"/>
      <c r="AU9" s="504"/>
      <c r="AV9" s="504"/>
      <c r="AW9" s="504"/>
      <c r="AX9" s="504"/>
      <c r="AY9" s="504"/>
      <c r="AZ9" s="504"/>
      <c r="BA9" s="504"/>
      <c r="BB9" s="504"/>
    </row>
    <row r="10" spans="2:54" s="11" customFormat="1">
      <c r="B10" s="229" t="s">
        <v>76</v>
      </c>
      <c r="C10" s="485">
        <v>0.37</v>
      </c>
      <c r="D10" s="229"/>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c r="AS10" s="504"/>
      <c r="AT10" s="504"/>
      <c r="AU10" s="504"/>
      <c r="AV10" s="504"/>
      <c r="AW10" s="504"/>
      <c r="AX10" s="504"/>
      <c r="AY10" s="504"/>
      <c r="AZ10" s="504"/>
      <c r="BA10" s="504"/>
      <c r="BB10" s="504"/>
    </row>
    <row r="11" spans="2:54" s="11" customFormat="1">
      <c r="B11" s="504"/>
      <c r="C11" s="617"/>
      <c r="D11" s="504"/>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c r="AS11" s="504"/>
      <c r="AT11" s="504"/>
      <c r="AU11" s="504"/>
      <c r="AV11" s="504"/>
      <c r="AW11" s="504"/>
      <c r="AX11" s="504"/>
      <c r="AY11" s="504"/>
      <c r="AZ11" s="504"/>
      <c r="BA11" s="504"/>
      <c r="BB11" s="504"/>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27" t="s">
        <v>192</v>
      </c>
      <c r="C13" s="327"/>
      <c r="D13" s="327">
        <f>IF(D14&lt;='2. Kalkyldata'!$P$17+1,'2. Kalkyldata'!$P$5+C14,"")</f>
        <v>2026</v>
      </c>
      <c r="E13" s="327">
        <f>IF(E14&lt;='2. Kalkyldata'!$P$17+1,'2. Kalkyldata'!$P$5+D14,"")</f>
        <v>2027</v>
      </c>
      <c r="F13" s="327">
        <f>IF(F14&lt;='2. Kalkyldata'!$P$17+1,'2. Kalkyldata'!$P$5+E14,"")</f>
        <v>2028</v>
      </c>
      <c r="G13" s="327">
        <f>IF(G14&lt;='2. Kalkyldata'!$P$17+1,'2. Kalkyldata'!$P$5+F14,"")</f>
        <v>2029</v>
      </c>
      <c r="H13" s="327">
        <f>IF(H14&lt;='2. Kalkyldata'!$P$17+1,'2. Kalkyldata'!$P$5+G14,"")</f>
        <v>2030</v>
      </c>
      <c r="I13" s="327">
        <f>IF(I14&lt;='2. Kalkyldata'!$P$17+1,'2. Kalkyldata'!$P$5+H14,"")</f>
        <v>2031</v>
      </c>
      <c r="J13" s="327">
        <f>IF(J14&lt;='2. Kalkyldata'!$P$17+1,'2. Kalkyldata'!$P$5+I14,"")</f>
        <v>2032</v>
      </c>
      <c r="K13" s="327">
        <f>IF(K14&lt;='2. Kalkyldata'!$P$17+1,'2. Kalkyldata'!$P$5+J14,"")</f>
        <v>2033</v>
      </c>
      <c r="L13" s="327">
        <f>IF(L14&lt;='2. Kalkyldata'!$P$17+1,'2. Kalkyldata'!$P$5+K14,"")</f>
        <v>2034</v>
      </c>
      <c r="M13" s="327">
        <f>IF(M14&lt;='2. Kalkyldata'!$P$17+1,'2. Kalkyldata'!$P$5+L14,"")</f>
        <v>2035</v>
      </c>
      <c r="N13" s="327">
        <f>IF(N14&lt;='2. Kalkyldata'!$P$17+1,'2. Kalkyldata'!$P$5+M14,"")</f>
        <v>2036</v>
      </c>
      <c r="O13" s="327">
        <f>IF(O14&lt;='2. Kalkyldata'!$P$17+1,'2. Kalkyldata'!$P$5+N14,"")</f>
        <v>2037</v>
      </c>
      <c r="P13" s="327">
        <f>IF(P14&lt;='2. Kalkyldata'!$P$17+1,'2. Kalkyldata'!$P$5+O14,"")</f>
        <v>2038</v>
      </c>
      <c r="Q13" s="327">
        <f>IF(Q14&lt;='2. Kalkyldata'!$P$17+1,'2. Kalkyldata'!$P$5+P14,"")</f>
        <v>2039</v>
      </c>
      <c r="R13" s="327">
        <f>IF(R14&lt;='2. Kalkyldata'!$P$17+1,'2. Kalkyldata'!$P$5+Q14,"")</f>
        <v>2040</v>
      </c>
      <c r="S13" s="327">
        <f>IF(S14&lt;='2. Kalkyldata'!$P$17+1,'2. Kalkyldata'!$P$5+R14,"")</f>
        <v>2041</v>
      </c>
      <c r="T13" s="327">
        <f>IF(T14&lt;='2. Kalkyldata'!$P$17+1,'2. Kalkyldata'!$P$5+S14,"")</f>
        <v>2042</v>
      </c>
      <c r="U13" s="327">
        <f>IF(U14&lt;='2. Kalkyldata'!$P$17+1,'2. Kalkyldata'!$P$5+T14,"")</f>
        <v>2043</v>
      </c>
      <c r="V13" s="327">
        <f>IF(V14&lt;='2. Kalkyldata'!$P$17+1,'2. Kalkyldata'!$P$5+U14,"")</f>
        <v>2044</v>
      </c>
      <c r="W13" s="327">
        <f>IF(W14&lt;='2. Kalkyldata'!$P$17+1,'2. Kalkyldata'!$P$5+V14,"")</f>
        <v>2045</v>
      </c>
      <c r="X13" s="327">
        <f>IF(X14&lt;='2. Kalkyldata'!$P$17+1,'2. Kalkyldata'!$P$5+W14,"")</f>
        <v>2046</v>
      </c>
      <c r="Y13" s="327" t="str">
        <f>IF(Y14&lt;='2. Kalkyldata'!$P$17+1,'2. Kalkyldata'!$P$5+X14,"")</f>
        <v/>
      </c>
      <c r="Z13" s="327" t="str">
        <f>IF(Z14&lt;='2. Kalkyldata'!$P$17+1,'2. Kalkyldata'!$P$5+Y14,"")</f>
        <v/>
      </c>
      <c r="AA13" s="327" t="str">
        <f>IF(AA14&lt;='2. Kalkyldata'!$P$17+1,'2. Kalkyldata'!$P$5+Z14,"")</f>
        <v/>
      </c>
      <c r="AB13" s="327" t="str">
        <f>IF(AB14&lt;='2. Kalkyldata'!$P$17+1,'2. Kalkyldata'!$P$5+AA14,"")</f>
        <v/>
      </c>
      <c r="AC13" s="327" t="str">
        <f>IF(AC14&lt;='2. Kalkyldata'!$P$17+1,'2. Kalkyldata'!$P$5+AB14,"")</f>
        <v/>
      </c>
      <c r="AD13" s="327" t="str">
        <f>IF(AD14&lt;='2. Kalkyldata'!$P$17+1,'2. Kalkyldata'!$P$5+AC14,"")</f>
        <v/>
      </c>
      <c r="AE13" s="327" t="str">
        <f>IF(AE14&lt;='2. Kalkyldata'!$P$17+1,'2. Kalkyldata'!$P$5+AD14,"")</f>
        <v/>
      </c>
      <c r="AF13" s="327" t="str">
        <f>IF(AF14&lt;='2. Kalkyldata'!$P$17+1,'2. Kalkyldata'!$P$5+AE14,"")</f>
        <v/>
      </c>
      <c r="AG13" s="327" t="str">
        <f>IF(AG14&lt;='2. Kalkyldata'!$P$17+1,'2. Kalkyldata'!$P$5+AF14,"")</f>
        <v/>
      </c>
      <c r="AH13" s="327" t="str">
        <f>IF(AH14&lt;='2. Kalkyldata'!$P$17+1,'2. Kalkyldata'!$P$5+AG14,"")</f>
        <v/>
      </c>
      <c r="AI13" s="327" t="str">
        <f>IF(AI14&lt;='2. Kalkyldata'!$P$17+1,'2. Kalkyldata'!$P$5+AH14,"")</f>
        <v/>
      </c>
      <c r="AJ13" s="327" t="str">
        <f>IF(AJ14&lt;='2. Kalkyldata'!$P$17+1,'2. Kalkyldata'!$P$5+AI14,"")</f>
        <v/>
      </c>
      <c r="AK13" s="327" t="str">
        <f>IF(AK14&lt;='2. Kalkyldata'!$P$17+1,'2. Kalkyldata'!$P$5+AJ14,"")</f>
        <v/>
      </c>
      <c r="AL13" s="327" t="str">
        <f>IF(AL14&lt;='2. Kalkyldata'!$P$17+1,'2. Kalkyldata'!$P$5+AK14,"")</f>
        <v/>
      </c>
      <c r="AM13" s="327" t="str">
        <f>IF(AM14&lt;='2. Kalkyldata'!$P$17+1,'2. Kalkyldata'!$P$5+AL14,"")</f>
        <v/>
      </c>
      <c r="AN13" s="327" t="str">
        <f>IF(AN14&lt;='2. Kalkyldata'!$P$17+1,'2. Kalkyldata'!$P$5+AM14,"")</f>
        <v/>
      </c>
      <c r="AO13" s="327" t="str">
        <f>IF(AO14&lt;='2. Kalkyldata'!$P$17+1,'2. Kalkyldata'!$P$5+AN14,"")</f>
        <v/>
      </c>
      <c r="AP13" s="327" t="str">
        <f>IF(AP14&lt;='2. Kalkyldata'!$P$17+1,'2. Kalkyldata'!$P$5+AO14,"")</f>
        <v/>
      </c>
      <c r="AQ13" s="327" t="str">
        <f>IF(AQ14&lt;='2. Kalkyldata'!$P$17+1,'2. Kalkyldata'!$P$5+AP14,"")</f>
        <v/>
      </c>
      <c r="AR13" s="327" t="str">
        <f>IF(AR14&lt;='2. Kalkyldata'!$P$17+1,'2. Kalkyldata'!$P$5+AQ14,"")</f>
        <v/>
      </c>
      <c r="AS13" s="327" t="str">
        <f>IF(AS14&lt;='2. Kalkyldata'!$P$17+1,'2. Kalkyldata'!$P$5+AR14,"")</f>
        <v/>
      </c>
      <c r="AT13" s="327" t="str">
        <f>IF(AT14&lt;='2. Kalkyldata'!$P$17+1,'2. Kalkyldata'!$P$5+AS14,"")</f>
        <v/>
      </c>
      <c r="AU13" s="327" t="str">
        <f>IF(AU14&lt;='2. Kalkyldata'!$P$17+1,'2. Kalkyldata'!$P$5+AT14,"")</f>
        <v/>
      </c>
      <c r="AV13" s="327" t="str">
        <f>IF(AV14&lt;='2. Kalkyldata'!$P$17+1,'2. Kalkyldata'!$P$5+AU14,"")</f>
        <v/>
      </c>
      <c r="AW13" s="327" t="str">
        <f>IF(AW14&lt;='2. Kalkyldata'!$P$17+1,'2. Kalkyldata'!$P$5+AV14,"")</f>
        <v/>
      </c>
      <c r="AX13" s="327" t="str">
        <f>IF(AX14&lt;='2. Kalkyldata'!$P$17+1,'2. Kalkyldata'!$P$5+AW14,"")</f>
        <v/>
      </c>
      <c r="AY13" s="327" t="str">
        <f>IF(AY14&lt;='2. Kalkyldata'!$P$17+1,'2. Kalkyldata'!$P$5+AX14,"")</f>
        <v/>
      </c>
      <c r="AZ13" s="327" t="str">
        <f>IF(AZ14&lt;='2. Kalkyldata'!$P$17+1,'2. Kalkyldata'!$P$5+AY14,"")</f>
        <v/>
      </c>
      <c r="BA13" s="327" t="str">
        <f>IF(BA14&lt;='2. Kalkyldata'!$P$17+1,'2. Kalkyldata'!$P$5+AZ14,"")</f>
        <v/>
      </c>
      <c r="BB13" s="523"/>
    </row>
    <row r="14" spans="2:54" ht="15">
      <c r="B14" s="448"/>
      <c r="C14" s="448"/>
      <c r="D14" s="448">
        <v>1</v>
      </c>
      <c r="E14" s="448">
        <v>2</v>
      </c>
      <c r="F14" s="448">
        <v>3</v>
      </c>
      <c r="G14" s="448">
        <v>4</v>
      </c>
      <c r="H14" s="448">
        <v>5</v>
      </c>
      <c r="I14" s="448">
        <v>6</v>
      </c>
      <c r="J14" s="448">
        <v>7</v>
      </c>
      <c r="K14" s="448">
        <v>8</v>
      </c>
      <c r="L14" s="448">
        <v>9</v>
      </c>
      <c r="M14" s="448">
        <v>10</v>
      </c>
      <c r="N14" s="448">
        <v>11</v>
      </c>
      <c r="O14" s="448">
        <v>12</v>
      </c>
      <c r="P14" s="448">
        <v>13</v>
      </c>
      <c r="Q14" s="448">
        <v>14</v>
      </c>
      <c r="R14" s="448">
        <v>15</v>
      </c>
      <c r="S14" s="448">
        <v>16</v>
      </c>
      <c r="T14" s="448">
        <v>17</v>
      </c>
      <c r="U14" s="448">
        <v>18</v>
      </c>
      <c r="V14" s="448">
        <v>19</v>
      </c>
      <c r="W14" s="448">
        <v>20</v>
      </c>
      <c r="X14" s="448">
        <v>21</v>
      </c>
      <c r="Y14" s="448">
        <v>22</v>
      </c>
      <c r="Z14" s="448">
        <v>23</v>
      </c>
      <c r="AA14" s="448">
        <v>24</v>
      </c>
      <c r="AB14" s="448">
        <v>25</v>
      </c>
      <c r="AC14" s="448">
        <v>26</v>
      </c>
      <c r="AD14" s="448">
        <v>27</v>
      </c>
      <c r="AE14" s="448">
        <v>28</v>
      </c>
      <c r="AF14" s="448">
        <v>29</v>
      </c>
      <c r="AG14" s="448">
        <v>30</v>
      </c>
      <c r="AH14" s="448">
        <v>31</v>
      </c>
      <c r="AI14" s="448">
        <v>32</v>
      </c>
      <c r="AJ14" s="448">
        <v>33</v>
      </c>
      <c r="AK14" s="448">
        <v>34</v>
      </c>
      <c r="AL14" s="448">
        <v>35</v>
      </c>
      <c r="AM14" s="448">
        <v>36</v>
      </c>
      <c r="AN14" s="448">
        <v>37</v>
      </c>
      <c r="AO14" s="448">
        <v>38</v>
      </c>
      <c r="AP14" s="448">
        <v>39</v>
      </c>
      <c r="AQ14" s="448">
        <v>40</v>
      </c>
      <c r="AR14" s="448">
        <v>41</v>
      </c>
      <c r="AS14" s="448">
        <v>42</v>
      </c>
      <c r="AT14" s="448">
        <v>43</v>
      </c>
      <c r="AU14" s="448">
        <v>44</v>
      </c>
      <c r="AV14" s="448">
        <v>45</v>
      </c>
      <c r="AW14" s="448">
        <v>46</v>
      </c>
      <c r="AX14" s="448">
        <v>47</v>
      </c>
      <c r="AY14" s="448">
        <v>48</v>
      </c>
      <c r="AZ14" s="448">
        <v>49</v>
      </c>
      <c r="BA14" s="448">
        <v>50</v>
      </c>
      <c r="BB14" s="523"/>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3"/>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3"/>
    </row>
    <row r="17" spans="1:54">
      <c r="A17" s="504"/>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3"/>
    </row>
    <row r="18" spans="1:54">
      <c r="A18" s="504"/>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3"/>
    </row>
    <row r="19" spans="1:54">
      <c r="A19" s="504"/>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3"/>
    </row>
    <row r="20" spans="1:54">
      <c r="A20" s="504"/>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3"/>
    </row>
    <row r="21" spans="1:54">
      <c r="A21" s="504"/>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3"/>
    </row>
    <row r="22" spans="1:54">
      <c r="A22" s="504"/>
      <c r="B22" s="328" t="s">
        <v>213</v>
      </c>
      <c r="C22" s="328"/>
      <c r="D22" s="444">
        <f>IF(D$21&gt;0,0,D$19+D$21)</f>
        <v>86135999.999999985</v>
      </c>
      <c r="E22" s="444">
        <f t="shared" ref="E22:BA22" si="0">IF(E$21&gt;0,0,E$19+E$21)</f>
        <v>83471999.999999985</v>
      </c>
      <c r="F22" s="444">
        <f t="shared" si="0"/>
        <v>80807999.999999985</v>
      </c>
      <c r="G22" s="444">
        <f t="shared" si="0"/>
        <v>78143999.999999985</v>
      </c>
      <c r="H22" s="444">
        <f t="shared" si="0"/>
        <v>75479999.999999985</v>
      </c>
      <c r="I22" s="444">
        <f t="shared" si="0"/>
        <v>72815999.999999985</v>
      </c>
      <c r="J22" s="444">
        <f t="shared" si="0"/>
        <v>70151999.999999985</v>
      </c>
      <c r="K22" s="444">
        <f t="shared" si="0"/>
        <v>67487999.999999985</v>
      </c>
      <c r="L22" s="444">
        <f t="shared" si="0"/>
        <v>64823999.999999985</v>
      </c>
      <c r="M22" s="444">
        <f t="shared" si="0"/>
        <v>62159999.999999985</v>
      </c>
      <c r="N22" s="444">
        <f t="shared" si="0"/>
        <v>59495999.999999985</v>
      </c>
      <c r="O22" s="444">
        <f t="shared" si="0"/>
        <v>56831999.999999985</v>
      </c>
      <c r="P22" s="444">
        <f t="shared" si="0"/>
        <v>54167999.999999993</v>
      </c>
      <c r="Q22" s="444">
        <f t="shared" si="0"/>
        <v>51503999.999999993</v>
      </c>
      <c r="R22" s="444">
        <f t="shared" si="0"/>
        <v>48839999.999999993</v>
      </c>
      <c r="S22" s="444">
        <f t="shared" si="0"/>
        <v>46175999.999999993</v>
      </c>
      <c r="T22" s="444">
        <f t="shared" si="0"/>
        <v>43511999.999999993</v>
      </c>
      <c r="U22" s="444">
        <f t="shared" si="0"/>
        <v>40847999.999999993</v>
      </c>
      <c r="V22" s="444">
        <f t="shared" si="0"/>
        <v>38183999.999999993</v>
      </c>
      <c r="W22" s="444">
        <f t="shared" si="0"/>
        <v>35519999.999999993</v>
      </c>
      <c r="X22" s="444">
        <f t="shared" si="0"/>
        <v>32855999.999999993</v>
      </c>
      <c r="Y22" s="444">
        <f t="shared" si="0"/>
        <v>30191999.999999993</v>
      </c>
      <c r="Z22" s="444">
        <f t="shared" si="0"/>
        <v>27527999.999999993</v>
      </c>
      <c r="AA22" s="444">
        <f t="shared" si="0"/>
        <v>24863999.999999993</v>
      </c>
      <c r="AB22" s="444">
        <f t="shared" si="0"/>
        <v>22199999.999999993</v>
      </c>
      <c r="AC22" s="444">
        <f t="shared" si="0"/>
        <v>19536000</v>
      </c>
      <c r="AD22" s="444">
        <f t="shared" si="0"/>
        <v>16872000</v>
      </c>
      <c r="AE22" s="444">
        <f t="shared" si="0"/>
        <v>14208000</v>
      </c>
      <c r="AF22" s="444">
        <f t="shared" si="0"/>
        <v>11544000</v>
      </c>
      <c r="AG22" s="444">
        <f t="shared" si="0"/>
        <v>8880000</v>
      </c>
      <c r="AH22" s="444">
        <f t="shared" si="0"/>
        <v>6216000</v>
      </c>
      <c r="AI22" s="444">
        <f t="shared" si="0"/>
        <v>3552000</v>
      </c>
      <c r="AJ22" s="444">
        <f t="shared" si="0"/>
        <v>888000</v>
      </c>
      <c r="AK22" s="444">
        <f t="shared" si="0"/>
        <v>88799999.999999985</v>
      </c>
      <c r="AL22" s="444">
        <f t="shared" si="0"/>
        <v>88799999.999999985</v>
      </c>
      <c r="AM22" s="444">
        <f t="shared" si="0"/>
        <v>88799999.999999985</v>
      </c>
      <c r="AN22" s="444">
        <f t="shared" si="0"/>
        <v>88799999.999999985</v>
      </c>
      <c r="AO22" s="444">
        <f t="shared" si="0"/>
        <v>88799999.999999985</v>
      </c>
      <c r="AP22" s="444">
        <f t="shared" si="0"/>
        <v>88799999.999999985</v>
      </c>
      <c r="AQ22" s="444">
        <f t="shared" si="0"/>
        <v>88799999.999999985</v>
      </c>
      <c r="AR22" s="444">
        <f t="shared" si="0"/>
        <v>88799999.999999985</v>
      </c>
      <c r="AS22" s="444">
        <f t="shared" si="0"/>
        <v>88799999.999999985</v>
      </c>
      <c r="AT22" s="444">
        <f t="shared" si="0"/>
        <v>88799999.999999985</v>
      </c>
      <c r="AU22" s="444">
        <f t="shared" si="0"/>
        <v>88799999.999999985</v>
      </c>
      <c r="AV22" s="444">
        <f t="shared" si="0"/>
        <v>88799999.999999985</v>
      </c>
      <c r="AW22" s="444">
        <f t="shared" si="0"/>
        <v>88799999.999999985</v>
      </c>
      <c r="AX22" s="444">
        <f t="shared" si="0"/>
        <v>88799999.999999985</v>
      </c>
      <c r="AY22" s="444">
        <f t="shared" si="0"/>
        <v>88799999.999999985</v>
      </c>
      <c r="AZ22" s="444">
        <f t="shared" si="0"/>
        <v>88799999.999999985</v>
      </c>
      <c r="BA22" s="444">
        <f t="shared" si="0"/>
        <v>88799999.999999985</v>
      </c>
      <c r="BB22" s="523"/>
    </row>
    <row r="23" spans="1:54">
      <c r="A23" s="504"/>
      <c r="B23" s="229" t="s">
        <v>214</v>
      </c>
      <c r="C23" s="445"/>
      <c r="D23" s="446">
        <f>'3. Finansiering'!C7</f>
        <v>3.0700000000000002E-2</v>
      </c>
      <c r="E23" s="445">
        <f>IF('3. Finansiering'!$C$7+(('3. Finansiering'!$C$8-'3. Finansiering'!$C$7)*(D14/$M$14))&gt;'3. Finansiering'!$C$8,'3. Finansiering'!$C$8,('3. Finansiering'!$C$7+(('3. Finansiering'!$C$8-'3. Finansiering'!$C$7)*(D14/$M$14))))</f>
        <v>3.218E-2</v>
      </c>
      <c r="F23" s="445">
        <f>IF('3. Finansiering'!$C$7+(('3. Finansiering'!$C$8-'3. Finansiering'!$C$7)*(E14/$M$14))&gt;'3. Finansiering'!$C$8,'3. Finansiering'!$C$8,('3. Finansiering'!$C$7+(('3. Finansiering'!$C$8-'3. Finansiering'!$C$7)*(E14/$M$14))))</f>
        <v>3.3660000000000002E-2</v>
      </c>
      <c r="G23" s="445">
        <f>IF('3. Finansiering'!$C$7+(('3. Finansiering'!$C$8-'3. Finansiering'!$C$7)*(F14/$M$14))&gt;'3. Finansiering'!$C$8,'3. Finansiering'!$C$8,('3. Finansiering'!$C$7+(('3. Finansiering'!$C$8-'3. Finansiering'!$C$7)*(F14/$M$14))))</f>
        <v>3.5139999999999998E-2</v>
      </c>
      <c r="H23" s="445">
        <f>IF('3. Finansiering'!$C$7+(('3. Finansiering'!$C$8-'3. Finansiering'!$C$7)*(G14/$M$14))&gt;'3. Finansiering'!$C$8,'3. Finansiering'!$C$8,('3. Finansiering'!$C$7+(('3. Finansiering'!$C$8-'3. Finansiering'!$C$7)*(G14/$M$14))))</f>
        <v>3.662E-2</v>
      </c>
      <c r="I23" s="445">
        <f>IF('3. Finansiering'!$C$7+(('3. Finansiering'!$C$8-'3. Finansiering'!$C$7)*(H14/$M$14))&gt;'3. Finansiering'!$C$8,'3. Finansiering'!$C$8,('3. Finansiering'!$C$7+(('3. Finansiering'!$C$8-'3. Finansiering'!$C$7)*(H14/$M$14))))</f>
        <v>3.8100000000000002E-2</v>
      </c>
      <c r="J23" s="445">
        <f>IF('3. Finansiering'!$C$7+(('3. Finansiering'!$C$8-'3. Finansiering'!$C$7)*(I14/$M$14))&gt;'3. Finansiering'!$C$8,'3. Finansiering'!$C$8,('3. Finansiering'!$C$7+(('3. Finansiering'!$C$8-'3. Finansiering'!$C$7)*(I14/$M$14))))</f>
        <v>3.9579999999999997E-2</v>
      </c>
      <c r="K23" s="445">
        <f>IF('3. Finansiering'!$C$7+(('3. Finansiering'!$C$8-'3. Finansiering'!$C$7)*(J14/$M$14))&gt;'3. Finansiering'!$C$8,'3. Finansiering'!$C$8,('3. Finansiering'!$C$7+(('3. Finansiering'!$C$8-'3. Finansiering'!$C$7)*(J14/$M$14))))</f>
        <v>4.1059999999999999E-2</v>
      </c>
      <c r="L23" s="445">
        <f>IF('3. Finansiering'!$C$7+(('3. Finansiering'!$C$8-'3. Finansiering'!$C$7)*(K14/$M$14))&gt;'3. Finansiering'!$C$8,'3. Finansiering'!$C$8,('3. Finansiering'!$C$7+(('3. Finansiering'!$C$8-'3. Finansiering'!$C$7)*(K14/$M$14))))</f>
        <v>4.2540000000000001E-2</v>
      </c>
      <c r="M23" s="445">
        <f>IF('3. Finansiering'!$C$7+(('3. Finansiering'!$C$8-'3. Finansiering'!$C$7)*(L14/$M$14))&gt;'3. Finansiering'!$C$8,'3. Finansiering'!$C$8,('3. Finansiering'!$C$7+(('3. Finansiering'!$C$8-'3. Finansiering'!$C$7)*(L14/$M$14))))</f>
        <v>4.4020000000000004E-2</v>
      </c>
      <c r="N23" s="445">
        <f>IF('3. Finansiering'!$C$7+(('3. Finansiering'!$C$8-'3. Finansiering'!$C$7)*(M14/$M$14))&gt;'3. Finansiering'!$C$8,'3. Finansiering'!$C$8,('3. Finansiering'!$C$7+(('3. Finansiering'!$C$8-'3. Finansiering'!$C$7)*(M14/$M$14))))</f>
        <v>4.5499999999999999E-2</v>
      </c>
      <c r="O23" s="445">
        <f>IF('3. Finansiering'!$C$7+(('3. Finansiering'!$C$8-'3. Finansiering'!$C$7)*(N14/$M$14))&gt;'3. Finansiering'!$C$8,'3. Finansiering'!$C$8,('3. Finansiering'!$C$7+(('3. Finansiering'!$C$8-'3. Finansiering'!$C$7)*(N14/$M$14))))</f>
        <v>4.5499999999999999E-2</v>
      </c>
      <c r="P23" s="445">
        <f>IF('3. Finansiering'!$C$7+(('3. Finansiering'!$C$8-'3. Finansiering'!$C$7)*(O14/$M$14))&gt;'3. Finansiering'!$C$8,'3. Finansiering'!$C$8,('3. Finansiering'!$C$7+(('3. Finansiering'!$C$8-'3. Finansiering'!$C$7)*(O14/$M$14))))</f>
        <v>4.5499999999999999E-2</v>
      </c>
      <c r="Q23" s="445">
        <f>IF('3. Finansiering'!$C$7+(('3. Finansiering'!$C$8-'3. Finansiering'!$C$7)*(P14/$M$14))&gt;'3. Finansiering'!$C$8,'3. Finansiering'!$C$8,('3. Finansiering'!$C$7+(('3. Finansiering'!$C$8-'3. Finansiering'!$C$7)*(P14/$M$14))))</f>
        <v>4.5499999999999999E-2</v>
      </c>
      <c r="R23" s="445">
        <f>IF('3. Finansiering'!$C$7+(('3. Finansiering'!$C$8-'3. Finansiering'!$C$7)*(Q14/$M$14))&gt;'3. Finansiering'!$C$8,'3. Finansiering'!$C$8,('3. Finansiering'!$C$7+(('3. Finansiering'!$C$8-'3. Finansiering'!$C$7)*(Q14/$M$14))))</f>
        <v>4.5499999999999999E-2</v>
      </c>
      <c r="S23" s="445">
        <f>IF('3. Finansiering'!$C$7+(('3. Finansiering'!$C$8-'3. Finansiering'!$C$7)*(R14/$M$14))&gt;'3. Finansiering'!$C$8,'3. Finansiering'!$C$8,('3. Finansiering'!$C$7+(('3. Finansiering'!$C$8-'3. Finansiering'!$C$7)*(R14/$M$14))))</f>
        <v>4.5499999999999999E-2</v>
      </c>
      <c r="T23" s="445">
        <f>IF('3. Finansiering'!$C$7+(('3. Finansiering'!$C$8-'3. Finansiering'!$C$7)*(S14/$M$14))&gt;'3. Finansiering'!$C$8,'3. Finansiering'!$C$8,('3. Finansiering'!$C$7+(('3. Finansiering'!$C$8-'3. Finansiering'!$C$7)*(S14/$M$14))))</f>
        <v>4.5499999999999999E-2</v>
      </c>
      <c r="U23" s="445">
        <f>IF('3. Finansiering'!$C$7+(('3. Finansiering'!$C$8-'3. Finansiering'!$C$7)*(T14/$M$14))&gt;'3. Finansiering'!$C$8,'3. Finansiering'!$C$8,('3. Finansiering'!$C$7+(('3. Finansiering'!$C$8-'3. Finansiering'!$C$7)*(T14/$M$14))))</f>
        <v>4.5499999999999999E-2</v>
      </c>
      <c r="V23" s="445">
        <f>IF('3. Finansiering'!$C$7+(('3. Finansiering'!$C$8-'3. Finansiering'!$C$7)*(U14/$M$14))&gt;'3. Finansiering'!$C$8,'3. Finansiering'!$C$8,('3. Finansiering'!$C$7+(('3. Finansiering'!$C$8-'3. Finansiering'!$C$7)*(U14/$M$14))))</f>
        <v>4.5499999999999999E-2</v>
      </c>
      <c r="W23" s="445">
        <f>IF('3. Finansiering'!$C$7+(('3. Finansiering'!$C$8-'3. Finansiering'!$C$7)*(V14/$M$14))&gt;'3. Finansiering'!$C$8,'3. Finansiering'!$C$8,('3. Finansiering'!$C$7+(('3. Finansiering'!$C$8-'3. Finansiering'!$C$7)*(V14/$M$14))))</f>
        <v>4.5499999999999999E-2</v>
      </c>
      <c r="X23" s="445">
        <f>IF('3. Finansiering'!$C$7+(('3. Finansiering'!$C$8-'3. Finansiering'!$C$7)*(W14/$M$14))&gt;'3. Finansiering'!$C$8,'3. Finansiering'!$C$8,('3. Finansiering'!$C$7+(('3. Finansiering'!$C$8-'3. Finansiering'!$C$7)*(W14/$M$14))))</f>
        <v>4.5499999999999999E-2</v>
      </c>
      <c r="Y23" s="445">
        <f>IF('3. Finansiering'!$C$7+(('3. Finansiering'!$C$8-'3. Finansiering'!$C$7)*(X14/$M$14))&gt;'3. Finansiering'!$C$8,'3. Finansiering'!$C$8,('3. Finansiering'!$C$7+(('3. Finansiering'!$C$8-'3. Finansiering'!$C$7)*(X14/$M$14))))</f>
        <v>4.5499999999999999E-2</v>
      </c>
      <c r="Z23" s="445">
        <f>IF('3. Finansiering'!$C$7+(('3. Finansiering'!$C$8-'3. Finansiering'!$C$7)*(Y14/$M$14))&gt;'3. Finansiering'!$C$8,'3. Finansiering'!$C$8,('3. Finansiering'!$C$7+(('3. Finansiering'!$C$8-'3. Finansiering'!$C$7)*(Y14/$M$14))))</f>
        <v>4.5499999999999999E-2</v>
      </c>
      <c r="AA23" s="445">
        <f>IF('3. Finansiering'!$C$7+(('3. Finansiering'!$C$8-'3. Finansiering'!$C$7)*(Z14/$M$14))&gt;'3. Finansiering'!$C$8,'3. Finansiering'!$C$8,('3. Finansiering'!$C$7+(('3. Finansiering'!$C$8-'3. Finansiering'!$C$7)*(Z14/$M$14))))</f>
        <v>4.5499999999999999E-2</v>
      </c>
      <c r="AB23" s="445">
        <f>IF('3. Finansiering'!$C$7+(('3. Finansiering'!$C$8-'3. Finansiering'!$C$7)*(AA14/$M$14))&gt;'3. Finansiering'!$C$8,'3. Finansiering'!$C$8,('3. Finansiering'!$C$7+(('3. Finansiering'!$C$8-'3. Finansiering'!$C$7)*(AA14/$M$14))))</f>
        <v>4.5499999999999999E-2</v>
      </c>
      <c r="AC23" s="445">
        <f>IF('3. Finansiering'!$C$7+(('3. Finansiering'!$C$8-'3. Finansiering'!$C$7)*(AB14/$M$14))&gt;'3. Finansiering'!$C$8,'3. Finansiering'!$C$8,('3. Finansiering'!$C$7+(('3. Finansiering'!$C$8-'3. Finansiering'!$C$7)*(AB14/$M$14))))</f>
        <v>4.5499999999999999E-2</v>
      </c>
      <c r="AD23" s="445">
        <f>IF('3. Finansiering'!$C$7+(('3. Finansiering'!$C$8-'3. Finansiering'!$C$7)*(AC14/$M$14))&gt;'3. Finansiering'!$C$8,'3. Finansiering'!$C$8,('3. Finansiering'!$C$7+(('3. Finansiering'!$C$8-'3. Finansiering'!$C$7)*(AC14/$M$14))))</f>
        <v>4.5499999999999999E-2</v>
      </c>
      <c r="AE23" s="445">
        <f>IF('3. Finansiering'!$C$7+(('3. Finansiering'!$C$8-'3. Finansiering'!$C$7)*(AD14/$M$14))&gt;'3. Finansiering'!$C$8,'3. Finansiering'!$C$8,('3. Finansiering'!$C$7+(('3. Finansiering'!$C$8-'3. Finansiering'!$C$7)*(AD14/$M$14))))</f>
        <v>4.5499999999999999E-2</v>
      </c>
      <c r="AF23" s="445">
        <f>IF('3. Finansiering'!$C$7+(('3. Finansiering'!$C$8-'3. Finansiering'!$C$7)*(AE14/$M$14))&gt;'3. Finansiering'!$C$8,'3. Finansiering'!$C$8,('3. Finansiering'!$C$7+(('3. Finansiering'!$C$8-'3. Finansiering'!$C$7)*(AE14/$M$14))))</f>
        <v>4.5499999999999999E-2</v>
      </c>
      <c r="AG23" s="445">
        <f>IF('3. Finansiering'!$C$7+(('3. Finansiering'!$C$8-'3. Finansiering'!$C$7)*(AF14/$M$14))&gt;'3. Finansiering'!$C$8,'3. Finansiering'!$C$8,('3. Finansiering'!$C$7+(('3. Finansiering'!$C$8-'3. Finansiering'!$C$7)*(AF14/$M$14))))</f>
        <v>4.5499999999999999E-2</v>
      </c>
      <c r="AH23" s="445">
        <f>IF('3. Finansiering'!$C$7+(('3. Finansiering'!$C$8-'3. Finansiering'!$C$7)*(AG14/$M$14))&gt;'3. Finansiering'!$C$8,'3. Finansiering'!$C$8,('3. Finansiering'!$C$7+(('3. Finansiering'!$C$8-'3. Finansiering'!$C$7)*(AG14/$M$14))))</f>
        <v>4.5499999999999999E-2</v>
      </c>
      <c r="AI23" s="445">
        <f>IF('3. Finansiering'!$C$7+(('3. Finansiering'!$C$8-'3. Finansiering'!$C$7)*(AH14/$M$14))&gt;'3. Finansiering'!$C$8,'3. Finansiering'!$C$8,('3. Finansiering'!$C$7+(('3. Finansiering'!$C$8-'3. Finansiering'!$C$7)*(AH14/$M$14))))</f>
        <v>4.5499999999999999E-2</v>
      </c>
      <c r="AJ23" s="445">
        <f>IF('3. Finansiering'!$C$7+(('3. Finansiering'!$C$8-'3. Finansiering'!$C$7)*(AI14/$M$14))&gt;'3. Finansiering'!$C$8,'3. Finansiering'!$C$8,('3. Finansiering'!$C$7+(('3. Finansiering'!$C$8-'3. Finansiering'!$C$7)*(AI14/$M$14))))</f>
        <v>4.5499999999999999E-2</v>
      </c>
      <c r="AK23" s="445">
        <f>IF('3. Finansiering'!$C$7+(('3. Finansiering'!$C$8-'3. Finansiering'!$C$7)*(AJ14/$M$14))&gt;'3. Finansiering'!$C$8,'3. Finansiering'!$C$8,('3. Finansiering'!$C$7+(('3. Finansiering'!$C$8-'3. Finansiering'!$C$7)*(AJ14/$M$14))))</f>
        <v>4.5499999999999999E-2</v>
      </c>
      <c r="AL23" s="445">
        <f>IF('3. Finansiering'!$C$7+(('3. Finansiering'!$C$8-'3. Finansiering'!$C$7)*(AK14/$M$14))&gt;'3. Finansiering'!$C$8,'3. Finansiering'!$C$8,('3. Finansiering'!$C$7+(('3. Finansiering'!$C$8-'3. Finansiering'!$C$7)*(AK14/$M$14))))</f>
        <v>4.5499999999999999E-2</v>
      </c>
      <c r="AM23" s="445">
        <f>IF('3. Finansiering'!$C$7+(('3. Finansiering'!$C$8-'3. Finansiering'!$C$7)*(AL14/$M$14))&gt;'3. Finansiering'!$C$8,'3. Finansiering'!$C$8,('3. Finansiering'!$C$7+(('3. Finansiering'!$C$8-'3. Finansiering'!$C$7)*(AL14/$M$14))))</f>
        <v>4.5499999999999999E-2</v>
      </c>
      <c r="AN23" s="445">
        <f>IF('3. Finansiering'!$C$7+(('3. Finansiering'!$C$8-'3. Finansiering'!$C$7)*(AM14/$M$14))&gt;'3. Finansiering'!$C$8,'3. Finansiering'!$C$8,('3. Finansiering'!$C$7+(('3. Finansiering'!$C$8-'3. Finansiering'!$C$7)*(AM14/$M$14))))</f>
        <v>4.5499999999999999E-2</v>
      </c>
      <c r="AO23" s="445">
        <f>IF('3. Finansiering'!$C$7+(('3. Finansiering'!$C$8-'3. Finansiering'!$C$7)*(AN14/$M$14))&gt;'3. Finansiering'!$C$8,'3. Finansiering'!$C$8,('3. Finansiering'!$C$7+(('3. Finansiering'!$C$8-'3. Finansiering'!$C$7)*(AN14/$M$14))))</f>
        <v>4.5499999999999999E-2</v>
      </c>
      <c r="AP23" s="445">
        <f>IF('3. Finansiering'!$C$7+(('3. Finansiering'!$C$8-'3. Finansiering'!$C$7)*(AO14/$M$14))&gt;'3. Finansiering'!$C$8,'3. Finansiering'!$C$8,('3. Finansiering'!$C$7+(('3. Finansiering'!$C$8-'3. Finansiering'!$C$7)*(AO14/$M$14))))</f>
        <v>4.5499999999999999E-2</v>
      </c>
      <c r="AQ23" s="445">
        <f>IF('3. Finansiering'!$C$7+(('3. Finansiering'!$C$8-'3. Finansiering'!$C$7)*(AP14/$M$14))&gt;'3. Finansiering'!$C$8,'3. Finansiering'!$C$8,('3. Finansiering'!$C$7+(('3. Finansiering'!$C$8-'3. Finansiering'!$C$7)*(AP14/$M$14))))</f>
        <v>4.5499999999999999E-2</v>
      </c>
      <c r="AR23" s="445">
        <f>IF('3. Finansiering'!$C$7+(('3. Finansiering'!$C$8-'3. Finansiering'!$C$7)*(AQ14/$M$14))&gt;'3. Finansiering'!$C$8,'3. Finansiering'!$C$8,('3. Finansiering'!$C$7+(('3. Finansiering'!$C$8-'3. Finansiering'!$C$7)*(AQ14/$M$14))))</f>
        <v>4.5499999999999999E-2</v>
      </c>
      <c r="AS23" s="445">
        <f>IF('3. Finansiering'!$C$7+(('3. Finansiering'!$C$8-'3. Finansiering'!$C$7)*(AR14/$M$14))&gt;'3. Finansiering'!$C$8,'3. Finansiering'!$C$8,('3. Finansiering'!$C$7+(('3. Finansiering'!$C$8-'3. Finansiering'!$C$7)*(AR14/$M$14))))</f>
        <v>4.5499999999999999E-2</v>
      </c>
      <c r="AT23" s="445">
        <f>IF('3. Finansiering'!$C$7+(('3. Finansiering'!$C$8-'3. Finansiering'!$C$7)*(AS14/$M$14))&gt;'3. Finansiering'!$C$8,'3. Finansiering'!$C$8,('3. Finansiering'!$C$7+(('3. Finansiering'!$C$8-'3. Finansiering'!$C$7)*(AS14/$M$14))))</f>
        <v>4.5499999999999999E-2</v>
      </c>
      <c r="AU23" s="445">
        <f>IF('3. Finansiering'!$C$7+(('3. Finansiering'!$C$8-'3. Finansiering'!$C$7)*(AT14/$M$14))&gt;'3. Finansiering'!$C$8,'3. Finansiering'!$C$8,('3. Finansiering'!$C$7+(('3. Finansiering'!$C$8-'3. Finansiering'!$C$7)*(AT14/$M$14))))</f>
        <v>4.5499999999999999E-2</v>
      </c>
      <c r="AV23" s="445">
        <f>IF('3. Finansiering'!$C$7+(('3. Finansiering'!$C$8-'3. Finansiering'!$C$7)*(AU14/$M$14))&gt;'3. Finansiering'!$C$8,'3. Finansiering'!$C$8,('3. Finansiering'!$C$7+(('3. Finansiering'!$C$8-'3. Finansiering'!$C$7)*(AU14/$M$14))))</f>
        <v>4.5499999999999999E-2</v>
      </c>
      <c r="AW23" s="445">
        <f>IF('3. Finansiering'!$C$7+(('3. Finansiering'!$C$8-'3. Finansiering'!$C$7)*(AV14/$M$14))&gt;'3. Finansiering'!$C$8,'3. Finansiering'!$C$8,('3. Finansiering'!$C$7+(('3. Finansiering'!$C$8-'3. Finansiering'!$C$7)*(AV14/$M$14))))</f>
        <v>4.5499999999999999E-2</v>
      </c>
      <c r="AX23" s="445">
        <f>IF('3. Finansiering'!$C$7+(('3. Finansiering'!$C$8-'3. Finansiering'!$C$7)*(AW14/$M$14))&gt;'3. Finansiering'!$C$8,'3. Finansiering'!$C$8,('3. Finansiering'!$C$7+(('3. Finansiering'!$C$8-'3. Finansiering'!$C$7)*(AW14/$M$14))))</f>
        <v>4.5499999999999999E-2</v>
      </c>
      <c r="AY23" s="445">
        <f>IF('3. Finansiering'!$C$7+(('3. Finansiering'!$C$8-'3. Finansiering'!$C$7)*(AX14/$M$14))&gt;'3. Finansiering'!$C$8,'3. Finansiering'!$C$8,('3. Finansiering'!$C$7+(('3. Finansiering'!$C$8-'3. Finansiering'!$C$7)*(AX14/$M$14))))</f>
        <v>4.5499999999999999E-2</v>
      </c>
      <c r="AZ23" s="445">
        <f>IF('3. Finansiering'!$C$7+(('3. Finansiering'!$C$8-'3. Finansiering'!$C$7)*(AY14/$M$14))&gt;'3. Finansiering'!$C$8,'3. Finansiering'!$C$8,('3. Finansiering'!$C$7+(('3. Finansiering'!$C$8-'3. Finansiering'!$C$7)*(AY14/$M$14))))</f>
        <v>4.5499999999999999E-2</v>
      </c>
      <c r="BA23" s="445">
        <f>IF('3. Finansiering'!$C$7+(('3. Finansiering'!$C$8-'3. Finansiering'!$C$7)*(AZ14/$M$14))&gt;'3. Finansiering'!$C$8,'3. Finansiering'!$C$8,('3. Finansiering'!$C$7+(('3. Finansiering'!$C$8-'3. Finansiering'!$C$7)*(AZ14/$M$14))))</f>
        <v>4.5499999999999999E-2</v>
      </c>
      <c r="BB23" s="523"/>
    </row>
    <row r="24" spans="1:54">
      <c r="A24" s="504"/>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3"/>
    </row>
    <row r="25" spans="1:54">
      <c r="A25" s="504"/>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3"/>
    </row>
    <row r="26" spans="1:54" s="115" customFormat="1" ht="15">
      <c r="A26" s="19"/>
      <c r="B26" s="447" t="s">
        <v>216</v>
      </c>
      <c r="C26" s="447"/>
      <c r="D26" s="447">
        <f t="shared" ref="D26:AI26" si="3">IF(D24=0,0,D24+D20)</f>
        <v>-5308375.1999999993</v>
      </c>
      <c r="E26" s="447">
        <f t="shared" si="3"/>
        <v>-5350128.959999999</v>
      </c>
      <c r="F26" s="447">
        <f t="shared" si="3"/>
        <v>-5383997.2799999993</v>
      </c>
      <c r="G26" s="447">
        <f t="shared" si="3"/>
        <v>-5409980.1599999983</v>
      </c>
      <c r="H26" s="447">
        <f t="shared" si="3"/>
        <v>-5428077.5999999996</v>
      </c>
      <c r="I26" s="447">
        <f t="shared" si="3"/>
        <v>-5438289.5999999996</v>
      </c>
      <c r="J26" s="447">
        <f t="shared" si="3"/>
        <v>-5440616.1599999983</v>
      </c>
      <c r="K26" s="447">
        <f t="shared" si="3"/>
        <v>-5435057.2799999993</v>
      </c>
      <c r="L26" s="447">
        <f t="shared" si="3"/>
        <v>-5421612.959999999</v>
      </c>
      <c r="M26" s="447">
        <f t="shared" si="3"/>
        <v>-5400283.1999999993</v>
      </c>
      <c r="N26" s="447">
        <f t="shared" si="3"/>
        <v>-5371067.9999999981</v>
      </c>
      <c r="O26" s="447">
        <f t="shared" si="3"/>
        <v>-5249855.9999999981</v>
      </c>
      <c r="P26" s="447">
        <f t="shared" si="3"/>
        <v>-5128643.9999999991</v>
      </c>
      <c r="Q26" s="447">
        <f t="shared" si="3"/>
        <v>-5007431.9999999991</v>
      </c>
      <c r="R26" s="447">
        <f t="shared" si="3"/>
        <v>-4886219.9999999991</v>
      </c>
      <c r="S26" s="447">
        <f t="shared" si="3"/>
        <v>-4765007.9999999991</v>
      </c>
      <c r="T26" s="447">
        <f t="shared" si="3"/>
        <v>-4643795.9999999991</v>
      </c>
      <c r="U26" s="447">
        <f t="shared" si="3"/>
        <v>-4522583.9999999991</v>
      </c>
      <c r="V26" s="447">
        <f t="shared" si="3"/>
        <v>-4401371.9999999991</v>
      </c>
      <c r="W26" s="447">
        <f t="shared" si="3"/>
        <v>-4280159.9999999991</v>
      </c>
      <c r="X26" s="447">
        <f t="shared" si="3"/>
        <v>-4158947.9999999991</v>
      </c>
      <c r="Y26" s="447">
        <f t="shared" si="3"/>
        <v>-4037735.9999999991</v>
      </c>
      <c r="Z26" s="447">
        <f t="shared" si="3"/>
        <v>-3916523.9999999991</v>
      </c>
      <c r="AA26" s="447">
        <f t="shared" si="3"/>
        <v>-3795311.9999999991</v>
      </c>
      <c r="AB26" s="447">
        <f t="shared" si="3"/>
        <v>-3674099.9999999991</v>
      </c>
      <c r="AC26" s="447">
        <f t="shared" si="3"/>
        <v>-3552887.9999999995</v>
      </c>
      <c r="AD26" s="447">
        <f t="shared" si="3"/>
        <v>-3431675.9999999995</v>
      </c>
      <c r="AE26" s="447">
        <f t="shared" si="3"/>
        <v>-3310463.9999999995</v>
      </c>
      <c r="AF26" s="447">
        <f t="shared" si="3"/>
        <v>-3189251.9999999995</v>
      </c>
      <c r="AG26" s="447">
        <f t="shared" si="3"/>
        <v>-3068039.9999999995</v>
      </c>
      <c r="AH26" s="447">
        <f t="shared" si="3"/>
        <v>-2946827.9999999995</v>
      </c>
      <c r="AI26" s="447">
        <f t="shared" si="3"/>
        <v>-2825615.9999999995</v>
      </c>
      <c r="AJ26" s="447">
        <f t="shared" ref="AJ26:BA26" si="4">IF(AJ24=0,0,AJ24+AJ20)</f>
        <v>-2704403.9999999995</v>
      </c>
      <c r="AK26" s="447">
        <f t="shared" si="4"/>
        <v>-6704399.9999999981</v>
      </c>
      <c r="AL26" s="447">
        <f t="shared" si="4"/>
        <v>-6704399.9999999981</v>
      </c>
      <c r="AM26" s="447">
        <f t="shared" si="4"/>
        <v>-6704399.9999999981</v>
      </c>
      <c r="AN26" s="447">
        <f t="shared" si="4"/>
        <v>-6704399.9999999981</v>
      </c>
      <c r="AO26" s="447">
        <f t="shared" si="4"/>
        <v>-6704399.9999999981</v>
      </c>
      <c r="AP26" s="447">
        <f t="shared" si="4"/>
        <v>-6704399.9999999981</v>
      </c>
      <c r="AQ26" s="447">
        <f t="shared" si="4"/>
        <v>-6704399.9999999981</v>
      </c>
      <c r="AR26" s="447">
        <f t="shared" si="4"/>
        <v>-6704399.9999999981</v>
      </c>
      <c r="AS26" s="447">
        <f t="shared" si="4"/>
        <v>-6704399.9999999981</v>
      </c>
      <c r="AT26" s="447">
        <f t="shared" si="4"/>
        <v>-6704399.9999999981</v>
      </c>
      <c r="AU26" s="447">
        <f t="shared" si="4"/>
        <v>-6704399.9999999981</v>
      </c>
      <c r="AV26" s="447">
        <f t="shared" si="4"/>
        <v>-6704399.9999999981</v>
      </c>
      <c r="AW26" s="447">
        <f t="shared" si="4"/>
        <v>-6704399.9999999981</v>
      </c>
      <c r="AX26" s="447">
        <f t="shared" si="4"/>
        <v>-6704399.9999999981</v>
      </c>
      <c r="AY26" s="447">
        <f t="shared" si="4"/>
        <v>-6704399.9999999981</v>
      </c>
      <c r="AZ26" s="447">
        <f t="shared" si="4"/>
        <v>-6704399.9999999981</v>
      </c>
      <c r="BA26" s="447">
        <f t="shared" si="4"/>
        <v>-6704399.9999999981</v>
      </c>
    </row>
    <row r="27" spans="1:54">
      <c r="A27" s="504"/>
      <c r="B27" s="444" t="s">
        <v>76</v>
      </c>
      <c r="C27" s="444"/>
      <c r="D27" s="351">
        <f>D22/(ABS(SUM($D$15:D$15)))</f>
        <v>0.3589</v>
      </c>
      <c r="E27" s="351">
        <f>E22/(ABS(SUM($D$15:E$15)))</f>
        <v>0.3478</v>
      </c>
      <c r="F27" s="351">
        <f>F22/(ABS(SUM($D$15:F$15)))</f>
        <v>0.3367</v>
      </c>
      <c r="G27" s="351">
        <f>G22/(ABS(SUM($D$15:G$15)))</f>
        <v>0.3256</v>
      </c>
      <c r="H27" s="351">
        <f>H22/(ABS(SUM($D$15:H$15)))</f>
        <v>0.3145</v>
      </c>
      <c r="I27" s="351">
        <f>I22/(ABS(SUM($D$15:I$15)))</f>
        <v>0.3034</v>
      </c>
      <c r="J27" s="351">
        <f>J22/(ABS(SUM($D$15:J$15)))</f>
        <v>0.29229999999999995</v>
      </c>
      <c r="K27" s="351">
        <f>K22/(ABS(SUM($D$15:K$15)))</f>
        <v>0.28119999999999995</v>
      </c>
      <c r="L27" s="351">
        <f>L22/(ABS(SUM($D$15:L$15)))</f>
        <v>0.27009999999999995</v>
      </c>
      <c r="M27" s="351">
        <f>M22/(ABS(SUM($D$15:M$15)))</f>
        <v>0.25899999999999995</v>
      </c>
      <c r="N27" s="351">
        <f>N22/(ABS(SUM($D$15:N$15)))</f>
        <v>0.24789999999999998</v>
      </c>
      <c r="O27" s="351">
        <f>O22/(ABS(SUM($D$15:O$15)))</f>
        <v>0.23679999999999995</v>
      </c>
      <c r="P27" s="351">
        <f>P22/(ABS(SUM($D$15:P$15)))</f>
        <v>0.22569999999999998</v>
      </c>
      <c r="Q27" s="351">
        <f>Q22/(ABS(SUM($D$15:Q$15)))</f>
        <v>0.21459999999999999</v>
      </c>
      <c r="R27" s="351">
        <f>R22/(ABS(SUM($D$15:R$15)))</f>
        <v>0.20349999999999999</v>
      </c>
      <c r="S27" s="351">
        <f>S22/(ABS(SUM($D$15:S$15)))</f>
        <v>0.19239999999999999</v>
      </c>
      <c r="T27" s="351">
        <f>T22/(ABS(SUM($D$15:T$15)))</f>
        <v>0.18129999999999999</v>
      </c>
      <c r="U27" s="351">
        <f>U22/(ABS(SUM($D$15:U$15)))</f>
        <v>0.17019999999999999</v>
      </c>
      <c r="V27" s="351">
        <f>V22/(ABS(SUM($D$15:V$15)))</f>
        <v>0.15909999999999999</v>
      </c>
      <c r="W27" s="351">
        <f>W22/(ABS(SUM($D$15:W$15)))</f>
        <v>0.14799999999999999</v>
      </c>
      <c r="X27" s="351">
        <f>X22/(ABS(SUM($D$15:X$15)))</f>
        <v>0.13689999999999999</v>
      </c>
      <c r="Y27" s="351">
        <f>Y22/(ABS(SUM($D$15:Y$15)))</f>
        <v>0.1258</v>
      </c>
      <c r="Z27" s="351">
        <f>Z22/(ABS(SUM($D$15:Z$15)))</f>
        <v>0.11469999999999998</v>
      </c>
      <c r="AA27" s="351">
        <f>AA22/(ABS(SUM($D$15:AA$15)))</f>
        <v>0.10359999999999998</v>
      </c>
      <c r="AB27" s="351">
        <f>AB22/(ABS(SUM($D$15:AB$15)))</f>
        <v>9.2499999999999985E-2</v>
      </c>
      <c r="AC27" s="351">
        <f>AC22/(ABS(SUM($D$15:AC$15)))</f>
        <v>8.1400000000000014E-2</v>
      </c>
      <c r="AD27" s="351">
        <f>AD22/(ABS(SUM($D$15:AD$15)))</f>
        <v>7.0300000000000015E-2</v>
      </c>
      <c r="AE27" s="351">
        <f>AE22/(ABS(SUM($D$15:AE$15)))</f>
        <v>5.920000000000001E-2</v>
      </c>
      <c r="AF27" s="351">
        <f>AF22/(ABS(SUM($D$15:AF$15)))</f>
        <v>4.8100000000000004E-2</v>
      </c>
      <c r="AG27" s="351">
        <f>AG22/(ABS(SUM($D$15:AG$15)))</f>
        <v>3.7000000000000005E-2</v>
      </c>
      <c r="AH27" s="351">
        <f>AH22/(ABS(SUM($D$15:AH$15)))</f>
        <v>2.5900000000000003E-2</v>
      </c>
      <c r="AI27" s="351">
        <f>AI22/(ABS(SUM($D$15:AI$15)))</f>
        <v>1.4800000000000002E-2</v>
      </c>
      <c r="AJ27" s="351">
        <f>AJ22/(ABS(SUM($D$15:AJ$15)))</f>
        <v>3.7000000000000006E-3</v>
      </c>
      <c r="AK27" s="351">
        <f>AK22/(ABS(SUM($D$15:AK$15)))</f>
        <v>0.37</v>
      </c>
      <c r="AL27" s="351">
        <f>AL22/(ABS(SUM($D$15:AL$15)))</f>
        <v>0.37</v>
      </c>
      <c r="AM27" s="351">
        <f>AM22/(ABS(SUM($D$15:AM$15)))</f>
        <v>0.37</v>
      </c>
      <c r="AN27" s="351">
        <f>AN22/(ABS(SUM($D$15:AN$15)))</f>
        <v>0.37</v>
      </c>
      <c r="AO27" s="351">
        <f>AO22/(ABS(SUM($D$15:AO$15)))</f>
        <v>0.37</v>
      </c>
      <c r="AP27" s="351">
        <f>AP22/(ABS(SUM($D$15:AP$15)))</f>
        <v>0.37</v>
      </c>
      <c r="AQ27" s="351">
        <f>AQ22/(ABS(SUM($D$15:AQ$15)))</f>
        <v>0.37</v>
      </c>
      <c r="AR27" s="351">
        <f>AR22/(ABS(SUM($D$15:AR$15)))</f>
        <v>0.37</v>
      </c>
      <c r="AS27" s="351">
        <f>AS22/(ABS(SUM($D$15:AS$15)))</f>
        <v>0.37</v>
      </c>
      <c r="AT27" s="351">
        <f>AT22/(ABS(SUM($D$15:AT$15)))</f>
        <v>0.37</v>
      </c>
      <c r="AU27" s="351">
        <f>AU22/(ABS(SUM($D$15:AU$15)))</f>
        <v>0.37</v>
      </c>
      <c r="AV27" s="351">
        <f>AV22/(ABS(SUM($D$15:AV$15)))</f>
        <v>0.37</v>
      </c>
      <c r="AW27" s="351">
        <f>AW22/(ABS(SUM($D$15:AW$15)))</f>
        <v>0.37</v>
      </c>
      <c r="AX27" s="351">
        <f>AX22/(ABS(SUM($D$15:AX$15)))</f>
        <v>0.37</v>
      </c>
      <c r="AY27" s="351">
        <f>AY22/(ABS(SUM($D$15:AY$15)))</f>
        <v>0.37</v>
      </c>
      <c r="AZ27" s="351">
        <f>AZ22/(ABS(SUM($D$15:AZ$15)))</f>
        <v>0.37</v>
      </c>
      <c r="BA27" s="351">
        <f>BA22/(ABS(SUM($D$15:BA$15)))</f>
        <v>0.37</v>
      </c>
      <c r="BB27" s="523"/>
    </row>
    <row r="28" spans="1:54" s="11" customFormat="1">
      <c r="A28" s="504"/>
      <c r="B28" s="504"/>
      <c r="C28" s="504"/>
      <c r="D28" s="504"/>
      <c r="E28" s="504"/>
      <c r="F28" s="504"/>
      <c r="G28" s="504"/>
      <c r="H28" s="504"/>
      <c r="I28" s="504"/>
      <c r="J28" s="504"/>
      <c r="K28" s="504"/>
      <c r="L28" s="504"/>
      <c r="M28" s="504"/>
      <c r="N28" s="504"/>
      <c r="O28" s="504"/>
      <c r="P28" s="504"/>
      <c r="Q28" s="504"/>
      <c r="R28" s="504"/>
      <c r="S28" s="504"/>
      <c r="T28" s="504"/>
      <c r="U28" s="504"/>
      <c r="V28" s="504"/>
      <c r="W28" s="504"/>
      <c r="X28" s="504"/>
      <c r="Y28" s="504"/>
      <c r="Z28" s="504"/>
      <c r="AA28" s="504"/>
      <c r="AB28" s="504"/>
      <c r="AC28" s="504"/>
      <c r="AD28" s="504"/>
      <c r="AE28" s="504"/>
      <c r="AF28" s="504"/>
      <c r="AG28" s="504"/>
      <c r="AH28" s="504"/>
      <c r="AI28" s="504"/>
      <c r="AJ28" s="504"/>
      <c r="AK28" s="504"/>
      <c r="AL28" s="504"/>
      <c r="AM28" s="504"/>
      <c r="AN28" s="504"/>
      <c r="AO28" s="504"/>
      <c r="AP28" s="504"/>
      <c r="AQ28" s="504"/>
      <c r="AR28" s="504"/>
      <c r="AS28" s="504"/>
      <c r="AT28" s="504"/>
      <c r="AU28" s="504"/>
      <c r="AV28" s="504"/>
      <c r="AW28" s="504"/>
      <c r="AX28" s="504"/>
      <c r="AY28" s="504"/>
      <c r="AZ28" s="504"/>
      <c r="BA28" s="504"/>
      <c r="BB28" s="504"/>
    </row>
    <row r="29" spans="1:54" ht="15">
      <c r="A29" s="504"/>
      <c r="B29" s="327" t="s">
        <v>217</v>
      </c>
      <c r="C29" s="530"/>
      <c r="D29" s="504">
        <f>IF(D14&lt;='2. Kalkyldata'!$P$16,'3. Finansiering'!D13,"")</f>
        <v>2026</v>
      </c>
      <c r="E29" s="504">
        <f>IF(E14&lt;='2. Kalkyldata'!$P$16,'3. Finansiering'!E13,"")</f>
        <v>2027</v>
      </c>
      <c r="F29" s="504">
        <f>IF(F14&lt;='2. Kalkyldata'!$P$16,'3. Finansiering'!F13,"")</f>
        <v>2028</v>
      </c>
      <c r="G29" s="504">
        <f>IF(G14&lt;='2. Kalkyldata'!$P$16,'3. Finansiering'!G13,"")</f>
        <v>2029</v>
      </c>
      <c r="H29" s="504">
        <f>IF(H14&lt;='2. Kalkyldata'!$P$16,'3. Finansiering'!H13,"")</f>
        <v>2030</v>
      </c>
      <c r="I29" s="504">
        <f>IF(I14&lt;='2. Kalkyldata'!$P$16,'3. Finansiering'!I13,"")</f>
        <v>2031</v>
      </c>
      <c r="J29" s="504">
        <f>IF(J14&lt;='2. Kalkyldata'!$P$16,'3. Finansiering'!J13,"")</f>
        <v>2032</v>
      </c>
      <c r="K29" s="504">
        <f>IF(K14&lt;='2. Kalkyldata'!$P$16,'3. Finansiering'!K13,"")</f>
        <v>2033</v>
      </c>
      <c r="L29" s="504">
        <f>IF(L14&lt;='2. Kalkyldata'!$P$16,'3. Finansiering'!L13,"")</f>
        <v>2034</v>
      </c>
      <c r="M29" s="504">
        <f>IF(M14&lt;='2. Kalkyldata'!$P$16,'3. Finansiering'!M13,"")</f>
        <v>2035</v>
      </c>
      <c r="N29" s="504">
        <f>IF(N14&lt;='2. Kalkyldata'!$P$16,'3. Finansiering'!N13,"")</f>
        <v>2036</v>
      </c>
      <c r="O29" s="504">
        <f>IF(O14&lt;='2. Kalkyldata'!$P$16,'3. Finansiering'!O13,"")</f>
        <v>2037</v>
      </c>
      <c r="P29" s="504">
        <f>IF(P14&lt;='2. Kalkyldata'!$P$16,'3. Finansiering'!P13,"")</f>
        <v>2038</v>
      </c>
      <c r="Q29" s="504">
        <f>IF(Q14&lt;='2. Kalkyldata'!$P$16,'3. Finansiering'!Q13,"")</f>
        <v>2039</v>
      </c>
      <c r="R29" s="504">
        <f>IF(R14&lt;='2. Kalkyldata'!$P$16,'3. Finansiering'!R13,"")</f>
        <v>2040</v>
      </c>
      <c r="S29" s="504">
        <f>IF(S14&lt;='2. Kalkyldata'!$P$16,'3. Finansiering'!S13,"")</f>
        <v>2041</v>
      </c>
      <c r="T29" s="504">
        <f>IF(T14&lt;='2. Kalkyldata'!$P$16,'3. Finansiering'!T13,"")</f>
        <v>2042</v>
      </c>
      <c r="U29" s="504">
        <f>IF(U14&lt;='2. Kalkyldata'!$P$16,'3. Finansiering'!U13,"")</f>
        <v>2043</v>
      </c>
      <c r="V29" s="504">
        <f>IF(V14&lt;='2. Kalkyldata'!$P$16,'3. Finansiering'!V13,"")</f>
        <v>2044</v>
      </c>
      <c r="W29" s="504">
        <f>IF(W14&lt;='2. Kalkyldata'!$P$16,'3. Finansiering'!W13,"")</f>
        <v>2045</v>
      </c>
      <c r="X29" s="504">
        <f>IF(X14&lt;='2. Kalkyldata'!$P$16,'3. Finansiering'!X13,"")</f>
        <v>2046</v>
      </c>
      <c r="Y29" s="504" t="str">
        <f>IF(Y14&lt;='2. Kalkyldata'!$P$16,'3. Finansiering'!Y13,"")</f>
        <v/>
      </c>
      <c r="Z29" s="504" t="str">
        <f>IF(Z14&lt;='2. Kalkyldata'!$P$16,'3. Finansiering'!Z13,"")</f>
        <v/>
      </c>
      <c r="AA29" s="504" t="str">
        <f>IF(AA14&lt;='2. Kalkyldata'!$P$16,'3. Finansiering'!AA13,"")</f>
        <v/>
      </c>
      <c r="AB29" s="504" t="str">
        <f>IF(AB14&lt;='2. Kalkyldata'!$P$16,'3. Finansiering'!AB13,"")</f>
        <v/>
      </c>
      <c r="AC29" s="504" t="str">
        <f>IF(AC14&lt;='2. Kalkyldata'!$P$16,'3. Finansiering'!AC13,"")</f>
        <v/>
      </c>
      <c r="AD29" s="504" t="str">
        <f>IF(AD14&lt;='2. Kalkyldata'!$P$16,'3. Finansiering'!AD13,"")</f>
        <v/>
      </c>
      <c r="AE29" s="504" t="str">
        <f>IF(AE14&lt;='2. Kalkyldata'!$P$16,'3. Finansiering'!AE13,"")</f>
        <v/>
      </c>
      <c r="AF29" s="504" t="str">
        <f>IF(AF14&lt;='2. Kalkyldata'!$P$16,'3. Finansiering'!AF13,"")</f>
        <v/>
      </c>
      <c r="AG29" s="504" t="str">
        <f>IF(AG14&lt;='2. Kalkyldata'!$P$16,'3. Finansiering'!AG13,"")</f>
        <v/>
      </c>
      <c r="AH29" s="504" t="str">
        <f>IF(AH14&lt;='2. Kalkyldata'!$P$16,'3. Finansiering'!AH13,"")</f>
        <v/>
      </c>
      <c r="AI29" s="504" t="str">
        <f>IF(AI14&lt;='2. Kalkyldata'!$P$16,'3. Finansiering'!AI13,"")</f>
        <v/>
      </c>
      <c r="AJ29" s="504" t="str">
        <f>IF(AJ14&lt;='2. Kalkyldata'!$P$16,'3. Finansiering'!AJ13,"")</f>
        <v/>
      </c>
      <c r="AK29" s="504" t="str">
        <f>IF(AK14&lt;='2. Kalkyldata'!$P$16,'3. Finansiering'!AK13,"")</f>
        <v/>
      </c>
      <c r="AL29" s="504" t="str">
        <f>IF(AL14&lt;='2. Kalkyldata'!$P$16,'3. Finansiering'!AL13,"")</f>
        <v/>
      </c>
      <c r="AM29" s="504" t="str">
        <f>IF(AM14&lt;='2. Kalkyldata'!$P$16,'3. Finansiering'!AM13,"")</f>
        <v/>
      </c>
      <c r="AN29" s="504" t="str">
        <f>IF(AN14&lt;='2. Kalkyldata'!$P$16,'3. Finansiering'!AN13,"")</f>
        <v/>
      </c>
      <c r="AO29" s="504" t="str">
        <f>IF(AO14&lt;='2. Kalkyldata'!$P$16,'3. Finansiering'!AO13,"")</f>
        <v/>
      </c>
      <c r="AP29" s="504" t="str">
        <f>IF(AP14&lt;='2. Kalkyldata'!$P$16,'3. Finansiering'!AP13,"")</f>
        <v/>
      </c>
      <c r="AQ29" s="504" t="str">
        <f>IF(AQ14&lt;='2. Kalkyldata'!$P$16,'3. Finansiering'!AQ13,"")</f>
        <v/>
      </c>
      <c r="AR29" s="504" t="str">
        <f>IF(AR14&lt;='2. Kalkyldata'!$P$16,'3. Finansiering'!AR13,"")</f>
        <v/>
      </c>
      <c r="AS29" s="504" t="str">
        <f>IF(AS14&lt;='2. Kalkyldata'!$P$16,'3. Finansiering'!AS13,"")</f>
        <v/>
      </c>
      <c r="AT29" s="504" t="str">
        <f>IF(AT14&lt;='2. Kalkyldata'!$P$16,'3. Finansiering'!AT13,"")</f>
        <v/>
      </c>
      <c r="AU29" s="504" t="str">
        <f>IF(AU14&lt;='2. Kalkyldata'!$P$16,'3. Finansiering'!AU13,"")</f>
        <v/>
      </c>
      <c r="AV29" s="504" t="str">
        <f>IF(AV14&lt;='2. Kalkyldata'!$P$16,'3. Finansiering'!AV13,"")</f>
        <v/>
      </c>
      <c r="AW29" s="504" t="str">
        <f>IF(AW14&lt;='2. Kalkyldata'!$P$16,'3. Finansiering'!AW13,"")</f>
        <v/>
      </c>
      <c r="AX29" s="504" t="str">
        <f>IF(AX14&lt;='2. Kalkyldata'!$P$16,'3. Finansiering'!AX13,"")</f>
        <v/>
      </c>
      <c r="AY29" s="504" t="str">
        <f>IF(AY14&lt;='2. Kalkyldata'!$P$16,'3. Finansiering'!AY13,"")</f>
        <v/>
      </c>
      <c r="AZ29" s="504" t="str">
        <f>IF(AZ14&lt;='2. Kalkyldata'!$P$16,'3. Finansiering'!AZ13,"")</f>
        <v/>
      </c>
      <c r="BA29" s="504" t="str">
        <f>IF(BA14&lt;='2. Kalkyldata'!$P$16,'3. Finansiering'!BA13,"")</f>
        <v/>
      </c>
      <c r="BB29" s="504">
        <f>IF(BB13&gt;=BB13+'2. Kalkyldata'!$P$16,"",'3. Finansiering'!BB13)</f>
        <v>0</v>
      </c>
    </row>
    <row r="30" spans="1:54" outlineLevel="1">
      <c r="A30" s="504"/>
      <c r="B30" s="328" t="s">
        <v>218</v>
      </c>
      <c r="C30" s="617"/>
      <c r="D30" s="617">
        <f>IF(D$29="",0,('2. Kalkyldata'!$P$9-SUMIF('2. Kalkyldata'!$R$23:$R$27,'3. Finansiering'!D$12,'2. Kalkyldata'!$AA$23:$AA$27)))</f>
        <v>0</v>
      </c>
      <c r="E30" s="617">
        <f>IF(E$29="",0,('2. Kalkyldata'!$P$9-SUMIF('2. Kalkyldata'!$R$23:$R$27,'3. Finansiering'!E$12,'2. Kalkyldata'!$AA$23:$AA$27)))</f>
        <v>0</v>
      </c>
      <c r="F30" s="617">
        <f>IF(F$29="",0,('2. Kalkyldata'!$P$9-SUMIF('2. Kalkyldata'!$R$23:$R$27,'3. Finansiering'!F$12,'2. Kalkyldata'!$AA$23:$AA$27)))</f>
        <v>0</v>
      </c>
      <c r="G30" s="617">
        <f>IF(G$29="",0,('2. Kalkyldata'!$P$9-SUMIF('2. Kalkyldata'!$R$23:$R$27,'3. Finansiering'!G$12,'2. Kalkyldata'!$AA$23:$AA$27)))</f>
        <v>0</v>
      </c>
      <c r="H30" s="617">
        <f>IF(H$29="",0,('2. Kalkyldata'!$P$9-SUMIF('2. Kalkyldata'!$R$23:$R$27,'3. Finansiering'!H$12,'2. Kalkyldata'!$AA$23:$AA$27)))</f>
        <v>0</v>
      </c>
      <c r="I30" s="617">
        <f>IF(I$29="",0,('2. Kalkyldata'!$P$9-SUMIF('2. Kalkyldata'!$R$23:$R$27,'3. Finansiering'!I$12,'2. Kalkyldata'!$AA$23:$AA$27)))</f>
        <v>0</v>
      </c>
      <c r="J30" s="617">
        <f>IF(J$29="",0,('2. Kalkyldata'!$P$9-SUMIF('2. Kalkyldata'!$R$23:$R$27,'3. Finansiering'!J$12,'2. Kalkyldata'!$AA$23:$AA$27)))</f>
        <v>0</v>
      </c>
      <c r="K30" s="617">
        <f>IF(K$29="",0,('2. Kalkyldata'!$P$9-SUMIF('2. Kalkyldata'!$R$23:$R$27,'3. Finansiering'!K$12,'2. Kalkyldata'!$AA$23:$AA$27)))</f>
        <v>0</v>
      </c>
      <c r="L30" s="617">
        <f>IF(L$29="",0,('2. Kalkyldata'!$P$9-SUMIF('2. Kalkyldata'!$R$23:$R$27,'3. Finansiering'!L$12,'2. Kalkyldata'!$AA$23:$AA$27)))</f>
        <v>0</v>
      </c>
      <c r="M30" s="617">
        <f>IF(M$29="",0,('2. Kalkyldata'!$P$9-SUMIF('2. Kalkyldata'!$R$23:$R$27,'3. Finansiering'!M$12,'2. Kalkyldata'!$AA$23:$AA$27)))</f>
        <v>0</v>
      </c>
      <c r="N30" s="617">
        <f>IF(N$29="",0,('2. Kalkyldata'!$P$9-SUMIF('2. Kalkyldata'!$R$23:$R$27,'3. Finansiering'!N$12,'2. Kalkyldata'!$AA$23:$AA$27)))</f>
        <v>0</v>
      </c>
      <c r="O30" s="617">
        <f>IF(O$29="",0,('2. Kalkyldata'!$P$9-SUMIF('2. Kalkyldata'!$R$23:$R$27,'3. Finansiering'!O$12,'2. Kalkyldata'!$AA$23:$AA$27)))</f>
        <v>0</v>
      </c>
      <c r="P30" s="617">
        <f>IF(P$29="",0,('2. Kalkyldata'!$P$9-SUMIF('2. Kalkyldata'!$R$23:$R$27,'3. Finansiering'!P$12,'2. Kalkyldata'!$AA$23:$AA$27)))</f>
        <v>0</v>
      </c>
      <c r="Q30" s="617">
        <f>IF(Q$29="",0,('2. Kalkyldata'!$P$9-SUMIF('2. Kalkyldata'!$R$23:$R$27,'3. Finansiering'!Q$12,'2. Kalkyldata'!$AA$23:$AA$27)))</f>
        <v>0</v>
      </c>
      <c r="R30" s="617">
        <f>IF(R$29="",0,('2. Kalkyldata'!$P$9-SUMIF('2. Kalkyldata'!$R$23:$R$27,'3. Finansiering'!R$12,'2. Kalkyldata'!$AA$23:$AA$27)))</f>
        <v>0</v>
      </c>
      <c r="S30" s="617">
        <f>IF(S$29="",0,('2. Kalkyldata'!$P$9-SUMIF('2. Kalkyldata'!$R$23:$R$27,'3. Finansiering'!S$12,'2. Kalkyldata'!$AA$23:$AA$27)))</f>
        <v>0</v>
      </c>
      <c r="T30" s="617">
        <f>IF(T$29="",0,('2. Kalkyldata'!$P$9-SUMIF('2. Kalkyldata'!$R$23:$R$27,'3. Finansiering'!T$12,'2. Kalkyldata'!$AA$23:$AA$27)))</f>
        <v>0</v>
      </c>
      <c r="U30" s="617">
        <f>IF(U$29="",0,('2. Kalkyldata'!$P$9-SUMIF('2. Kalkyldata'!$R$23:$R$27,'3. Finansiering'!U$12,'2. Kalkyldata'!$AA$23:$AA$27)))</f>
        <v>0</v>
      </c>
      <c r="V30" s="617">
        <f>IF(V$29="",0,('2. Kalkyldata'!$P$9-SUMIF('2. Kalkyldata'!$R$23:$R$27,'3. Finansiering'!V$12,'2. Kalkyldata'!$AA$23:$AA$27)))</f>
        <v>0</v>
      </c>
      <c r="W30" s="617">
        <f>IF(W$29="",0,('2. Kalkyldata'!$P$9-SUMIF('2. Kalkyldata'!$R$23:$R$27,'3. Finansiering'!W$12,'2. Kalkyldata'!$AA$23:$AA$27)))</f>
        <v>0</v>
      </c>
      <c r="X30" s="617">
        <f>IF(X$29="",0,('2. Kalkyldata'!$P$9-SUMIF('2. Kalkyldata'!$R$23:$R$27,'3. Finansiering'!X$12,'2. Kalkyldata'!$AA$23:$AA$27)))</f>
        <v>0</v>
      </c>
      <c r="Y30" s="617">
        <f>IF(Y$29="",0,('2. Kalkyldata'!$P$9-SUMIF('2. Kalkyldata'!$R$23:$R$27,'3. Finansiering'!Y$12,'2. Kalkyldata'!$AA$23:$AA$27)))</f>
        <v>0</v>
      </c>
      <c r="Z30" s="617">
        <f>IF(Z$29="",0,('2. Kalkyldata'!$P$9-SUMIF('2. Kalkyldata'!$R$23:$R$27,'3. Finansiering'!Z$12,'2. Kalkyldata'!$AA$23:$AA$27)))</f>
        <v>0</v>
      </c>
      <c r="AA30" s="617">
        <f>IF(AA$29="",0,('2. Kalkyldata'!$P$9-SUMIF('2. Kalkyldata'!$R$23:$R$27,'3. Finansiering'!AA$12,'2. Kalkyldata'!$AA$23:$AA$27)))</f>
        <v>0</v>
      </c>
      <c r="AB30" s="617">
        <f>IF(AB$29="",0,('2. Kalkyldata'!$P$9-SUMIF('2. Kalkyldata'!$R$23:$R$27,'3. Finansiering'!AB$12,'2. Kalkyldata'!$AA$23:$AA$27)))</f>
        <v>0</v>
      </c>
      <c r="AC30" s="617">
        <f>IF(AC$29="",0,('2. Kalkyldata'!$P$9-SUMIF('2. Kalkyldata'!$R$23:$R$27,'3. Finansiering'!AC$12,'2. Kalkyldata'!$AA$23:$AA$27)))</f>
        <v>0</v>
      </c>
      <c r="AD30" s="617">
        <f>IF(AD$29="",0,('2. Kalkyldata'!$P$9-SUMIF('2. Kalkyldata'!$R$23:$R$27,'3. Finansiering'!AD$12,'2. Kalkyldata'!$AA$23:$AA$27)))</f>
        <v>0</v>
      </c>
      <c r="AE30" s="617">
        <f>IF(AE$29="",0,('2. Kalkyldata'!$P$9-SUMIF('2. Kalkyldata'!$R$23:$R$27,'3. Finansiering'!AE$12,'2. Kalkyldata'!$AA$23:$AA$27)))</f>
        <v>0</v>
      </c>
      <c r="AF30" s="617">
        <f>IF(AF$29="",0,('2. Kalkyldata'!$P$9-SUMIF('2. Kalkyldata'!$R$23:$R$27,'3. Finansiering'!AF$12,'2. Kalkyldata'!$AA$23:$AA$27)))</f>
        <v>0</v>
      </c>
      <c r="AG30" s="617">
        <f>IF(AG$29="",0,('2. Kalkyldata'!$P$9-SUMIF('2. Kalkyldata'!$R$23:$R$27,'3. Finansiering'!AG$12,'2. Kalkyldata'!$AA$23:$AA$27)))</f>
        <v>0</v>
      </c>
      <c r="AH30" s="617">
        <f>IF(AH$29="",0,('2. Kalkyldata'!$P$9-SUMIF('2. Kalkyldata'!$R$23:$R$27,'3. Finansiering'!AH$12,'2. Kalkyldata'!$AA$23:$AA$27)))</f>
        <v>0</v>
      </c>
      <c r="AI30" s="617">
        <f>IF(AI$29="",0,('2. Kalkyldata'!$P$9-SUMIF('2. Kalkyldata'!$R$23:$R$27,'3. Finansiering'!AI$12,'2. Kalkyldata'!$AA$23:$AA$27)))</f>
        <v>0</v>
      </c>
      <c r="AJ30" s="617">
        <f>IF(AJ$29="",0,('2. Kalkyldata'!$P$9-SUMIF('2. Kalkyldata'!$R$23:$R$27,'3. Finansiering'!AJ$12,'2. Kalkyldata'!$AA$23:$AA$27)))</f>
        <v>0</v>
      </c>
      <c r="AK30" s="617">
        <f>IF(AK$29="",0,('2. Kalkyldata'!$P$9-SUMIF('2. Kalkyldata'!$R$23:$R$27,'3. Finansiering'!AK$12,'2. Kalkyldata'!$AA$23:$AA$27)))</f>
        <v>0</v>
      </c>
      <c r="AL30" s="617">
        <f>IF(AL$29="",0,('2. Kalkyldata'!$P$9-SUMIF('2. Kalkyldata'!$R$23:$R$27,'3. Finansiering'!AL$12,'2. Kalkyldata'!$AA$23:$AA$27)))</f>
        <v>0</v>
      </c>
      <c r="AM30" s="617">
        <f>IF(AM$29="",0,('2. Kalkyldata'!$P$9-SUMIF('2. Kalkyldata'!$R$23:$R$27,'3. Finansiering'!AM$12,'2. Kalkyldata'!$AA$23:$AA$27)))</f>
        <v>0</v>
      </c>
      <c r="AN30" s="617">
        <f>IF(AN$29="",0,('2. Kalkyldata'!$P$9-SUMIF('2. Kalkyldata'!$R$23:$R$27,'3. Finansiering'!AN$12,'2. Kalkyldata'!$AA$23:$AA$27)))</f>
        <v>0</v>
      </c>
      <c r="AO30" s="617">
        <f>IF(AO$29="",0,('2. Kalkyldata'!$P$9-SUMIF('2. Kalkyldata'!$R$23:$R$27,'3. Finansiering'!AO$12,'2. Kalkyldata'!$AA$23:$AA$27)))</f>
        <v>0</v>
      </c>
      <c r="AP30" s="617">
        <f>IF(AP$29="",0,('2. Kalkyldata'!$P$9-SUMIF('2. Kalkyldata'!$R$23:$R$27,'3. Finansiering'!AP$12,'2. Kalkyldata'!$AA$23:$AA$27)))</f>
        <v>0</v>
      </c>
      <c r="AQ30" s="617">
        <f>IF(AQ$29="",0,('2. Kalkyldata'!$P$9-SUMIF('2. Kalkyldata'!$R$23:$R$27,'3. Finansiering'!AQ$12,'2. Kalkyldata'!$AA$23:$AA$27)))</f>
        <v>0</v>
      </c>
      <c r="AR30" s="617">
        <f>IF(AR$29="",0,('2. Kalkyldata'!$P$9-SUMIF('2. Kalkyldata'!$R$23:$R$27,'3. Finansiering'!AR$12,'2. Kalkyldata'!$AA$23:$AA$27)))</f>
        <v>0</v>
      </c>
      <c r="AS30" s="617">
        <f>IF(AS$29="",0,('2. Kalkyldata'!$P$9-SUMIF('2. Kalkyldata'!$R$23:$R$27,'3. Finansiering'!AS$12,'2. Kalkyldata'!$AA$23:$AA$27)))</f>
        <v>0</v>
      </c>
      <c r="AT30" s="617">
        <f>IF(AT$29="",0,('2. Kalkyldata'!$P$9-SUMIF('2. Kalkyldata'!$R$23:$R$27,'3. Finansiering'!AT$12,'2. Kalkyldata'!$AA$23:$AA$27)))</f>
        <v>0</v>
      </c>
      <c r="AU30" s="617">
        <f>IF(AU$29="",0,('2. Kalkyldata'!$P$9-SUMIF('2. Kalkyldata'!$R$23:$R$27,'3. Finansiering'!AU$12,'2. Kalkyldata'!$AA$23:$AA$27)))</f>
        <v>0</v>
      </c>
      <c r="AV30" s="617">
        <f>IF(AV$29="",0,('2. Kalkyldata'!$P$9-SUMIF('2. Kalkyldata'!$R$23:$R$27,'3. Finansiering'!AV$12,'2. Kalkyldata'!$AA$23:$AA$27)))</f>
        <v>0</v>
      </c>
      <c r="AW30" s="617">
        <f>IF(AW$29="",0,('2. Kalkyldata'!$P$9-SUMIF('2. Kalkyldata'!$R$23:$R$27,'3. Finansiering'!AW$12,'2. Kalkyldata'!$AA$23:$AA$27)))</f>
        <v>0</v>
      </c>
      <c r="AX30" s="617">
        <f>IF(AX$29="",0,('2. Kalkyldata'!$P$9-SUMIF('2. Kalkyldata'!$R$23:$R$27,'3. Finansiering'!AX$12,'2. Kalkyldata'!$AA$23:$AA$27)))</f>
        <v>0</v>
      </c>
      <c r="AY30" s="617">
        <f>IF(AY$29="",0,('2. Kalkyldata'!$P$9-SUMIF('2. Kalkyldata'!$R$23:$R$27,'3. Finansiering'!AY$12,'2. Kalkyldata'!$AA$23:$AA$27)))</f>
        <v>0</v>
      </c>
      <c r="AZ30" s="617">
        <f>IF(AZ$29="",0,('2. Kalkyldata'!$P$9-SUMIF('2. Kalkyldata'!$R$23:$R$27,'3. Finansiering'!AZ$12,'2. Kalkyldata'!$AA$23:$AA$27)))</f>
        <v>0</v>
      </c>
      <c r="BA30" s="617">
        <f>IF(BA$29="",0,('2. Kalkyldata'!$P$9-SUMIF('2. Kalkyldata'!$R$23:$R$27,'3. Finansiering'!BA$12,'2. Kalkyldata'!$AA$23:$AA$27)))</f>
        <v>0</v>
      </c>
      <c r="BB30" s="504"/>
    </row>
    <row r="31" spans="1:54" outlineLevel="1">
      <c r="A31" s="504"/>
      <c r="B31" s="328" t="str">
        <f>'2. Kalkyldata'!C23</f>
        <v>Skola</v>
      </c>
      <c r="C31" s="504"/>
      <c r="D31" s="617">
        <f>IF(D$29="",0,SUMIFS('2. Kalkyldata'!$W$23:$W$27,'2. Kalkyldata'!$C$23:$C$27,'3. Finansiering'!$B31,'2. Kalkyldata'!$R$23:$R$27,'3. Finansiering'!D$12))</f>
        <v>239999999.99999997</v>
      </c>
      <c r="E31" s="617">
        <f>IF(E$29="",0,SUMIFS('2. Kalkyldata'!$W$23:$W$27,'2. Kalkyldata'!$C$23:$C$27,'3. Finansiering'!$B31,'2. Kalkyldata'!$R$23:$R$27,'3. Finansiering'!E$12))</f>
        <v>239999999.99999997</v>
      </c>
      <c r="F31" s="617">
        <f>IF(F$29="",0,SUMIFS('2. Kalkyldata'!$W$23:$W$27,'2. Kalkyldata'!$C$23:$C$27,'3. Finansiering'!$B31,'2. Kalkyldata'!$R$23:$R$27,'3. Finansiering'!F$12))</f>
        <v>239999999.99999997</v>
      </c>
      <c r="G31" s="617">
        <f>IF(G$29="",0,SUMIFS('2. Kalkyldata'!$W$23:$W$27,'2. Kalkyldata'!$C$23:$C$27,'3. Finansiering'!$B31,'2. Kalkyldata'!$R$23:$R$27,'3. Finansiering'!G$12))</f>
        <v>239999999.99999997</v>
      </c>
      <c r="H31" s="617">
        <f>IF(H$29="",0,SUMIFS('2. Kalkyldata'!$W$23:$W$27,'2. Kalkyldata'!$C$23:$C$27,'3. Finansiering'!$B31,'2. Kalkyldata'!$R$23:$R$27,'3. Finansiering'!H$12))</f>
        <v>239999999.99999997</v>
      </c>
      <c r="I31" s="617">
        <f>IF(I$29="",0,SUMIFS('2. Kalkyldata'!$W$23:$W$27,'2. Kalkyldata'!$C$23:$C$27,'3. Finansiering'!$B31,'2. Kalkyldata'!$R$23:$R$27,'3. Finansiering'!I$12))</f>
        <v>239999999.99999997</v>
      </c>
      <c r="J31" s="617">
        <f>IF(J$29="",0,SUMIFS('2. Kalkyldata'!$W$23:$W$27,'2. Kalkyldata'!$C$23:$C$27,'3. Finansiering'!$B31,'2. Kalkyldata'!$R$23:$R$27,'3. Finansiering'!J$12))</f>
        <v>239999999.99999997</v>
      </c>
      <c r="K31" s="617">
        <f>IF(K$29="",0,SUMIFS('2. Kalkyldata'!$W$23:$W$27,'2. Kalkyldata'!$C$23:$C$27,'3. Finansiering'!$B31,'2. Kalkyldata'!$R$23:$R$27,'3. Finansiering'!K$12))</f>
        <v>239999999.99999997</v>
      </c>
      <c r="L31" s="617">
        <f>IF(L$29="",0,SUMIFS('2. Kalkyldata'!$W$23:$W$27,'2. Kalkyldata'!$C$23:$C$27,'3. Finansiering'!$B31,'2. Kalkyldata'!$R$23:$R$27,'3. Finansiering'!L$12))</f>
        <v>239999999.99999997</v>
      </c>
      <c r="M31" s="617">
        <f>IF(M$29="",0,SUMIFS('2. Kalkyldata'!$W$23:$W$27,'2. Kalkyldata'!$C$23:$C$27,'3. Finansiering'!$B31,'2. Kalkyldata'!$R$23:$R$27,'3. Finansiering'!M$12))</f>
        <v>239999999.99999997</v>
      </c>
      <c r="N31" s="617">
        <f>IF(N$29="",0,SUMIFS('2. Kalkyldata'!$W$23:$W$27,'2. Kalkyldata'!$C$23:$C$27,'3. Finansiering'!$B31,'2. Kalkyldata'!$R$23:$R$27,'3. Finansiering'!N$12))</f>
        <v>239999999.99999997</v>
      </c>
      <c r="O31" s="617">
        <f>IF(O$29="",0,SUMIFS('2. Kalkyldata'!$W$23:$W$27,'2. Kalkyldata'!$C$23:$C$27,'3. Finansiering'!$B31,'2. Kalkyldata'!$R$23:$R$27,'3. Finansiering'!O$12))</f>
        <v>239999999.99999997</v>
      </c>
      <c r="P31" s="617">
        <f>IF(P$29="",0,SUMIFS('2. Kalkyldata'!$W$23:$W$27,'2. Kalkyldata'!$C$23:$C$27,'3. Finansiering'!$B31,'2. Kalkyldata'!$R$23:$R$27,'3. Finansiering'!P$12))</f>
        <v>239999999.99999997</v>
      </c>
      <c r="Q31" s="617">
        <f>IF(Q$29="",0,SUMIFS('2. Kalkyldata'!$W$23:$W$27,'2. Kalkyldata'!$C$23:$C$27,'3. Finansiering'!$B31,'2. Kalkyldata'!$R$23:$R$27,'3. Finansiering'!Q$12))</f>
        <v>239999999.99999997</v>
      </c>
      <c r="R31" s="617">
        <f>IF(R$29="",0,SUMIFS('2. Kalkyldata'!$W$23:$W$27,'2. Kalkyldata'!$C$23:$C$27,'3. Finansiering'!$B31,'2. Kalkyldata'!$R$23:$R$27,'3. Finansiering'!R$12))</f>
        <v>239999999.99999997</v>
      </c>
      <c r="S31" s="617">
        <f>IF(S$29="",0,SUMIFS('2. Kalkyldata'!$W$23:$W$27,'2. Kalkyldata'!$C$23:$C$27,'3. Finansiering'!$B31,'2. Kalkyldata'!$R$23:$R$27,'3. Finansiering'!S$12))</f>
        <v>239999999.99999997</v>
      </c>
      <c r="T31" s="617">
        <f>IF(T$29="",0,SUMIFS('2. Kalkyldata'!$W$23:$W$27,'2. Kalkyldata'!$C$23:$C$27,'3. Finansiering'!$B31,'2. Kalkyldata'!$R$23:$R$27,'3. Finansiering'!T$12))</f>
        <v>239999999.99999997</v>
      </c>
      <c r="U31" s="617">
        <f>IF(U$29="",0,SUMIFS('2. Kalkyldata'!$W$23:$W$27,'2. Kalkyldata'!$C$23:$C$27,'3. Finansiering'!$B31,'2. Kalkyldata'!$R$23:$R$27,'3. Finansiering'!U$12))</f>
        <v>239999999.99999997</v>
      </c>
      <c r="V31" s="617">
        <f>IF(V$29="",0,SUMIFS('2. Kalkyldata'!$W$23:$W$27,'2. Kalkyldata'!$C$23:$C$27,'3. Finansiering'!$B31,'2. Kalkyldata'!$R$23:$R$27,'3. Finansiering'!V$12))</f>
        <v>239999999.99999997</v>
      </c>
      <c r="W31" s="617">
        <f>IF(W$29="",0,SUMIFS('2. Kalkyldata'!$W$23:$W$27,'2. Kalkyldata'!$C$23:$C$27,'3. Finansiering'!$B31,'2. Kalkyldata'!$R$23:$R$27,'3. Finansiering'!W$12))</f>
        <v>239999999.99999997</v>
      </c>
      <c r="X31" s="617">
        <f>IF(X$29="",0,SUMIFS('2. Kalkyldata'!$W$23:$W$27,'2. Kalkyldata'!$C$23:$C$27,'3. Finansiering'!$B31,'2. Kalkyldata'!$R$23:$R$27,'3. Finansiering'!X$12))</f>
        <v>239999999.99999997</v>
      </c>
      <c r="Y31" s="617">
        <f>IF(Y$29="",0,SUMIFS('2. Kalkyldata'!$W$23:$W$27,'2. Kalkyldata'!$C$23:$C$27,'3. Finansiering'!$B31,'2. Kalkyldata'!$R$23:$R$27,'3. Finansiering'!Y$12))</f>
        <v>0</v>
      </c>
      <c r="Z31" s="617">
        <f>IF(Z$29="",0,SUMIFS('2. Kalkyldata'!$W$23:$W$27,'2. Kalkyldata'!$C$23:$C$27,'3. Finansiering'!$B31,'2. Kalkyldata'!$R$23:$R$27,'3. Finansiering'!Z$12))</f>
        <v>0</v>
      </c>
      <c r="AA31" s="617">
        <f>IF(AA$29="",0,SUMIFS('2. Kalkyldata'!$W$23:$W$27,'2. Kalkyldata'!$C$23:$C$27,'3. Finansiering'!$B31,'2. Kalkyldata'!$R$23:$R$27,'3. Finansiering'!AA$12))</f>
        <v>0</v>
      </c>
      <c r="AB31" s="617">
        <f>IF(AB$29="",0,SUMIFS('2. Kalkyldata'!$W$23:$W$27,'2. Kalkyldata'!$C$23:$C$27,'3. Finansiering'!$B31,'2. Kalkyldata'!$R$23:$R$27,'3. Finansiering'!AB$12))</f>
        <v>0</v>
      </c>
      <c r="AC31" s="617">
        <f>IF(AC$29="",0,SUMIFS('2. Kalkyldata'!$W$23:$W$27,'2. Kalkyldata'!$C$23:$C$27,'3. Finansiering'!$B31,'2. Kalkyldata'!$R$23:$R$27,'3. Finansiering'!AC$12))</f>
        <v>0</v>
      </c>
      <c r="AD31" s="617">
        <f>IF(AD$29="",0,SUMIFS('2. Kalkyldata'!$W$23:$W$27,'2. Kalkyldata'!$C$23:$C$27,'3. Finansiering'!$B31,'2. Kalkyldata'!$R$23:$R$27,'3. Finansiering'!AD$12))</f>
        <v>0</v>
      </c>
      <c r="AE31" s="617">
        <f>IF(AE$29="",0,SUMIFS('2. Kalkyldata'!$W$23:$W$27,'2. Kalkyldata'!$C$23:$C$27,'3. Finansiering'!$B31,'2. Kalkyldata'!$R$23:$R$27,'3. Finansiering'!AE$12))</f>
        <v>0</v>
      </c>
      <c r="AF31" s="617">
        <f>IF(AF$29="",0,SUMIFS('2. Kalkyldata'!$W$23:$W$27,'2. Kalkyldata'!$C$23:$C$27,'3. Finansiering'!$B31,'2. Kalkyldata'!$R$23:$R$27,'3. Finansiering'!AF$12))</f>
        <v>0</v>
      </c>
      <c r="AG31" s="617">
        <f>IF(AG$29="",0,SUMIFS('2. Kalkyldata'!$W$23:$W$27,'2. Kalkyldata'!$C$23:$C$27,'3. Finansiering'!$B31,'2. Kalkyldata'!$R$23:$R$27,'3. Finansiering'!AG$12))</f>
        <v>0</v>
      </c>
      <c r="AH31" s="617">
        <f>IF(AH$29="",0,SUMIFS('2. Kalkyldata'!$W$23:$W$27,'2. Kalkyldata'!$C$23:$C$27,'3. Finansiering'!$B31,'2. Kalkyldata'!$R$23:$R$27,'3. Finansiering'!AH$12))</f>
        <v>0</v>
      </c>
      <c r="AI31" s="617">
        <f>IF(AI$29="",0,SUMIFS('2. Kalkyldata'!$W$23:$W$27,'2. Kalkyldata'!$C$23:$C$27,'3. Finansiering'!$B31,'2. Kalkyldata'!$R$23:$R$27,'3. Finansiering'!AI$12))</f>
        <v>0</v>
      </c>
      <c r="AJ31" s="617">
        <f>IF(AJ$29="",0,SUMIFS('2. Kalkyldata'!$W$23:$W$27,'2. Kalkyldata'!$C$23:$C$27,'3. Finansiering'!$B31,'2. Kalkyldata'!$R$23:$R$27,'3. Finansiering'!AJ$12))</f>
        <v>0</v>
      </c>
      <c r="AK31" s="617">
        <f>IF(AK$29="",0,SUMIFS('2. Kalkyldata'!$W$23:$W$27,'2. Kalkyldata'!$C$23:$C$27,'3. Finansiering'!$B31,'2. Kalkyldata'!$R$23:$R$27,'3. Finansiering'!AK$12))</f>
        <v>0</v>
      </c>
      <c r="AL31" s="617">
        <f>IF(AL$29="",0,SUMIFS('2. Kalkyldata'!$W$23:$W$27,'2. Kalkyldata'!$C$23:$C$27,'3. Finansiering'!$B31,'2. Kalkyldata'!$R$23:$R$27,'3. Finansiering'!AL$12))</f>
        <v>0</v>
      </c>
      <c r="AM31" s="617">
        <f>IF(AM$29="",0,SUMIFS('2. Kalkyldata'!$W$23:$W$27,'2. Kalkyldata'!$C$23:$C$27,'3. Finansiering'!$B31,'2. Kalkyldata'!$R$23:$R$27,'3. Finansiering'!AM$12))</f>
        <v>0</v>
      </c>
      <c r="AN31" s="617">
        <f>IF(AN$29="",0,SUMIFS('2. Kalkyldata'!$W$23:$W$27,'2. Kalkyldata'!$C$23:$C$27,'3. Finansiering'!$B31,'2. Kalkyldata'!$R$23:$R$27,'3. Finansiering'!AN$12))</f>
        <v>0</v>
      </c>
      <c r="AO31" s="617">
        <f>IF(AO$29="",0,SUMIFS('2. Kalkyldata'!$W$23:$W$27,'2. Kalkyldata'!$C$23:$C$27,'3. Finansiering'!$B31,'2. Kalkyldata'!$R$23:$R$27,'3. Finansiering'!AO$12))</f>
        <v>0</v>
      </c>
      <c r="AP31" s="617">
        <f>IF(AP$29="",0,SUMIFS('2. Kalkyldata'!$W$23:$W$27,'2. Kalkyldata'!$C$23:$C$27,'3. Finansiering'!$B31,'2. Kalkyldata'!$R$23:$R$27,'3. Finansiering'!AP$12))</f>
        <v>0</v>
      </c>
      <c r="AQ31" s="617">
        <f>IF(AQ$29="",0,SUMIFS('2. Kalkyldata'!$W$23:$W$27,'2. Kalkyldata'!$C$23:$C$27,'3. Finansiering'!$B31,'2. Kalkyldata'!$R$23:$R$27,'3. Finansiering'!AQ$12))</f>
        <v>0</v>
      </c>
      <c r="AR31" s="617">
        <f>IF(AR$29="",0,SUMIFS('2. Kalkyldata'!$W$23:$W$27,'2. Kalkyldata'!$C$23:$C$27,'3. Finansiering'!$B31,'2. Kalkyldata'!$R$23:$R$27,'3. Finansiering'!AR$12))</f>
        <v>0</v>
      </c>
      <c r="AS31" s="617">
        <f>IF(AS$29="",0,SUMIFS('2. Kalkyldata'!$W$23:$W$27,'2. Kalkyldata'!$C$23:$C$27,'3. Finansiering'!$B31,'2. Kalkyldata'!$R$23:$R$27,'3. Finansiering'!AS$12))</f>
        <v>0</v>
      </c>
      <c r="AT31" s="617">
        <f>IF(AT$29="",0,SUMIFS('2. Kalkyldata'!$W$23:$W$27,'2. Kalkyldata'!$C$23:$C$27,'3. Finansiering'!$B31,'2. Kalkyldata'!$R$23:$R$27,'3. Finansiering'!AT$12))</f>
        <v>0</v>
      </c>
      <c r="AU31" s="617">
        <f>IF(AU$29="",0,SUMIFS('2. Kalkyldata'!$W$23:$W$27,'2. Kalkyldata'!$C$23:$C$27,'3. Finansiering'!$B31,'2. Kalkyldata'!$R$23:$R$27,'3. Finansiering'!AU$12))</f>
        <v>0</v>
      </c>
      <c r="AV31" s="617">
        <f>IF(AV$29="",0,SUMIFS('2. Kalkyldata'!$W$23:$W$27,'2. Kalkyldata'!$C$23:$C$27,'3. Finansiering'!$B31,'2. Kalkyldata'!$R$23:$R$27,'3. Finansiering'!AV$12))</f>
        <v>0</v>
      </c>
      <c r="AW31" s="617">
        <f>IF(AW$29="",0,SUMIFS('2. Kalkyldata'!$W$23:$W$27,'2. Kalkyldata'!$C$23:$C$27,'3. Finansiering'!$B31,'2. Kalkyldata'!$R$23:$R$27,'3. Finansiering'!AW$12))</f>
        <v>0</v>
      </c>
      <c r="AX31" s="617">
        <f>IF(AX$29="",0,SUMIFS('2. Kalkyldata'!$W$23:$W$27,'2. Kalkyldata'!$C$23:$C$27,'3. Finansiering'!$B31,'2. Kalkyldata'!$R$23:$R$27,'3. Finansiering'!AX$12))</f>
        <v>0</v>
      </c>
      <c r="AY31" s="617">
        <f>IF(AY$29="",0,SUMIFS('2. Kalkyldata'!$W$23:$W$27,'2. Kalkyldata'!$C$23:$C$27,'3. Finansiering'!$B31,'2. Kalkyldata'!$R$23:$R$27,'3. Finansiering'!AY$12))</f>
        <v>0</v>
      </c>
      <c r="AZ31" s="617">
        <f>IF(AZ$29="",0,SUMIFS('2. Kalkyldata'!$W$23:$W$27,'2. Kalkyldata'!$C$23:$C$27,'3. Finansiering'!$B31,'2. Kalkyldata'!$R$23:$R$27,'3. Finansiering'!AZ$12))</f>
        <v>0</v>
      </c>
      <c r="BA31" s="617">
        <f>IF(BA$29="",0,SUMIFS('2. Kalkyldata'!$W$23:$W$27,'2. Kalkyldata'!$C$23:$C$27,'3. Finansiering'!$B31,'2. Kalkyldata'!$R$23:$R$27,'3. Finansiering'!BA$12))</f>
        <v>0</v>
      </c>
      <c r="BB31" s="504"/>
    </row>
    <row r="32" spans="1:54" outlineLevel="1">
      <c r="A32" s="504"/>
      <c r="B32" s="328">
        <f>'2. Kalkyldata'!C24</f>
        <v>0</v>
      </c>
      <c r="C32" s="504"/>
      <c r="D32" s="617">
        <f>IF(D$29="",0,SUMIFS('2. Kalkyldata'!$W$23:$W$27,'2. Kalkyldata'!$C$23:$C$27,'3. Finansiering'!$B32,'2. Kalkyldata'!$R$23:$R$27,'3. Finansiering'!D$12))</f>
        <v>0</v>
      </c>
      <c r="E32" s="617">
        <f>IF(E$29="",0,SUMIFS('2. Kalkyldata'!$W$23:$W$27,'2. Kalkyldata'!$C$23:$C$27,'3. Finansiering'!$B32,'2. Kalkyldata'!$R$23:$R$27,'3. Finansiering'!E$12))</f>
        <v>0</v>
      </c>
      <c r="F32" s="617">
        <f>IF(F$29="",0,SUMIFS('2. Kalkyldata'!$W$23:$W$27,'2. Kalkyldata'!$C$23:$C$27,'3. Finansiering'!$B32,'2. Kalkyldata'!$R$23:$R$27,'3. Finansiering'!F$12))</f>
        <v>0</v>
      </c>
      <c r="G32" s="617">
        <f>IF(G$29="",0,SUMIFS('2. Kalkyldata'!$W$23:$W$27,'2. Kalkyldata'!$C$23:$C$27,'3. Finansiering'!$B32,'2. Kalkyldata'!$R$23:$R$27,'3. Finansiering'!G$12))</f>
        <v>0</v>
      </c>
      <c r="H32" s="617">
        <f>IF(H$29="",0,SUMIFS('2. Kalkyldata'!$W$23:$W$27,'2. Kalkyldata'!$C$23:$C$27,'3. Finansiering'!$B32,'2. Kalkyldata'!$R$23:$R$27,'3. Finansiering'!H$12))</f>
        <v>0</v>
      </c>
      <c r="I32" s="617">
        <f>IF(I$29="",0,SUMIFS('2. Kalkyldata'!$W$23:$W$27,'2. Kalkyldata'!$C$23:$C$27,'3. Finansiering'!$B32,'2. Kalkyldata'!$R$23:$R$27,'3. Finansiering'!I$12))</f>
        <v>0</v>
      </c>
      <c r="J32" s="617">
        <f>IF(J$29="",0,SUMIFS('2. Kalkyldata'!$W$23:$W$27,'2. Kalkyldata'!$C$23:$C$27,'3. Finansiering'!$B32,'2. Kalkyldata'!$R$23:$R$27,'3. Finansiering'!J$12))</f>
        <v>0</v>
      </c>
      <c r="K32" s="617">
        <f>IF(K$29="",0,SUMIFS('2. Kalkyldata'!$W$23:$W$27,'2. Kalkyldata'!$C$23:$C$27,'3. Finansiering'!$B32,'2. Kalkyldata'!$R$23:$R$27,'3. Finansiering'!K$12))</f>
        <v>0</v>
      </c>
      <c r="L32" s="617">
        <f>IF(L$29="",0,SUMIFS('2. Kalkyldata'!$W$23:$W$27,'2. Kalkyldata'!$C$23:$C$27,'3. Finansiering'!$B32,'2. Kalkyldata'!$R$23:$R$27,'3. Finansiering'!L$12))</f>
        <v>0</v>
      </c>
      <c r="M32" s="617">
        <f>IF(M$29="",0,SUMIFS('2. Kalkyldata'!$W$23:$W$27,'2. Kalkyldata'!$C$23:$C$27,'3. Finansiering'!$B32,'2. Kalkyldata'!$R$23:$R$27,'3. Finansiering'!M$12))</f>
        <v>0</v>
      </c>
      <c r="N32" s="617">
        <f>IF(N$29="",0,SUMIFS('2. Kalkyldata'!$W$23:$W$27,'2. Kalkyldata'!$C$23:$C$27,'3. Finansiering'!$B32,'2. Kalkyldata'!$R$23:$R$27,'3. Finansiering'!N$12))</f>
        <v>0</v>
      </c>
      <c r="O32" s="617">
        <f>IF(O$29="",0,SUMIFS('2. Kalkyldata'!$W$23:$W$27,'2. Kalkyldata'!$C$23:$C$27,'3. Finansiering'!$B32,'2. Kalkyldata'!$R$23:$R$27,'3. Finansiering'!O$12))</f>
        <v>0</v>
      </c>
      <c r="P32" s="617">
        <f>IF(P$29="",0,SUMIFS('2. Kalkyldata'!$W$23:$W$27,'2. Kalkyldata'!$C$23:$C$27,'3. Finansiering'!$B32,'2. Kalkyldata'!$R$23:$R$27,'3. Finansiering'!P$12))</f>
        <v>0</v>
      </c>
      <c r="Q32" s="617">
        <f>IF(Q$29="",0,SUMIFS('2. Kalkyldata'!$W$23:$W$27,'2. Kalkyldata'!$C$23:$C$27,'3. Finansiering'!$B32,'2. Kalkyldata'!$R$23:$R$27,'3. Finansiering'!Q$12))</f>
        <v>0</v>
      </c>
      <c r="R32" s="617">
        <f>IF(R$29="",0,SUMIFS('2. Kalkyldata'!$W$23:$W$27,'2. Kalkyldata'!$C$23:$C$27,'3. Finansiering'!$B32,'2. Kalkyldata'!$R$23:$R$27,'3. Finansiering'!R$12))</f>
        <v>0</v>
      </c>
      <c r="S32" s="617">
        <f>IF(S$29="",0,SUMIFS('2. Kalkyldata'!$W$23:$W$27,'2. Kalkyldata'!$C$23:$C$27,'3. Finansiering'!$B32,'2. Kalkyldata'!$R$23:$R$27,'3. Finansiering'!S$12))</f>
        <v>0</v>
      </c>
      <c r="T32" s="617">
        <f>IF(T$29="",0,SUMIFS('2. Kalkyldata'!$W$23:$W$27,'2. Kalkyldata'!$C$23:$C$27,'3. Finansiering'!$B32,'2. Kalkyldata'!$R$23:$R$27,'3. Finansiering'!T$12))</f>
        <v>0</v>
      </c>
      <c r="U32" s="617">
        <f>IF(U$29="",0,SUMIFS('2. Kalkyldata'!$W$23:$W$27,'2. Kalkyldata'!$C$23:$C$27,'3. Finansiering'!$B32,'2. Kalkyldata'!$R$23:$R$27,'3. Finansiering'!U$12))</f>
        <v>0</v>
      </c>
      <c r="V32" s="617">
        <f>IF(V$29="",0,SUMIFS('2. Kalkyldata'!$W$23:$W$27,'2. Kalkyldata'!$C$23:$C$27,'3. Finansiering'!$B32,'2. Kalkyldata'!$R$23:$R$27,'3. Finansiering'!V$12))</f>
        <v>0</v>
      </c>
      <c r="W32" s="617">
        <f>IF(W$29="",0,SUMIFS('2. Kalkyldata'!$W$23:$W$27,'2. Kalkyldata'!$C$23:$C$27,'3. Finansiering'!$B32,'2. Kalkyldata'!$R$23:$R$27,'3. Finansiering'!W$12))</f>
        <v>0</v>
      </c>
      <c r="X32" s="617">
        <f>IF(X$29="",0,SUMIFS('2. Kalkyldata'!$W$23:$W$27,'2. Kalkyldata'!$C$23:$C$27,'3. Finansiering'!$B32,'2. Kalkyldata'!$R$23:$R$27,'3. Finansiering'!X$12))</f>
        <v>0</v>
      </c>
      <c r="Y32" s="617">
        <f>IF(Y$29="",0,SUMIFS('2. Kalkyldata'!$W$23:$W$27,'2. Kalkyldata'!$C$23:$C$27,'3. Finansiering'!$B32,'2. Kalkyldata'!$R$23:$R$27,'3. Finansiering'!Y$12))</f>
        <v>0</v>
      </c>
      <c r="Z32" s="617">
        <f>IF(Z$29="",0,SUMIFS('2. Kalkyldata'!$W$23:$W$27,'2. Kalkyldata'!$C$23:$C$27,'3. Finansiering'!$B32,'2. Kalkyldata'!$R$23:$R$27,'3. Finansiering'!Z$12))</f>
        <v>0</v>
      </c>
      <c r="AA32" s="617">
        <f>IF(AA$29="",0,SUMIFS('2. Kalkyldata'!$W$23:$W$27,'2. Kalkyldata'!$C$23:$C$27,'3. Finansiering'!$B32,'2. Kalkyldata'!$R$23:$R$27,'3. Finansiering'!AA$12))</f>
        <v>0</v>
      </c>
      <c r="AB32" s="617">
        <f>IF(AB$29="",0,SUMIFS('2. Kalkyldata'!$W$23:$W$27,'2. Kalkyldata'!$C$23:$C$27,'3. Finansiering'!$B32,'2. Kalkyldata'!$R$23:$R$27,'3. Finansiering'!AB$12))</f>
        <v>0</v>
      </c>
      <c r="AC32" s="617">
        <f>IF(AC$29="",0,SUMIFS('2. Kalkyldata'!$W$23:$W$27,'2. Kalkyldata'!$C$23:$C$27,'3. Finansiering'!$B32,'2. Kalkyldata'!$R$23:$R$27,'3. Finansiering'!AC$12))</f>
        <v>0</v>
      </c>
      <c r="AD32" s="617">
        <f>IF(AD$29="",0,SUMIFS('2. Kalkyldata'!$W$23:$W$27,'2. Kalkyldata'!$C$23:$C$27,'3. Finansiering'!$B32,'2. Kalkyldata'!$R$23:$R$27,'3. Finansiering'!AD$12))</f>
        <v>0</v>
      </c>
      <c r="AE32" s="617">
        <f>IF(AE$29="",0,SUMIFS('2. Kalkyldata'!$W$23:$W$27,'2. Kalkyldata'!$C$23:$C$27,'3. Finansiering'!$B32,'2. Kalkyldata'!$R$23:$R$27,'3. Finansiering'!AE$12))</f>
        <v>0</v>
      </c>
      <c r="AF32" s="617">
        <f>IF(AF$29="",0,SUMIFS('2. Kalkyldata'!$W$23:$W$27,'2. Kalkyldata'!$C$23:$C$27,'3. Finansiering'!$B32,'2. Kalkyldata'!$R$23:$R$27,'3. Finansiering'!AF$12))</f>
        <v>0</v>
      </c>
      <c r="AG32" s="617">
        <f>IF(AG$29="",0,SUMIFS('2. Kalkyldata'!$W$23:$W$27,'2. Kalkyldata'!$C$23:$C$27,'3. Finansiering'!$B32,'2. Kalkyldata'!$R$23:$R$27,'3. Finansiering'!AG$12))</f>
        <v>0</v>
      </c>
      <c r="AH32" s="617">
        <f>IF(AH$29="",0,SUMIFS('2. Kalkyldata'!$W$23:$W$27,'2. Kalkyldata'!$C$23:$C$27,'3. Finansiering'!$B32,'2. Kalkyldata'!$R$23:$R$27,'3. Finansiering'!AH$12))</f>
        <v>0</v>
      </c>
      <c r="AI32" s="617">
        <f>IF(AI$29="",0,SUMIFS('2. Kalkyldata'!$W$23:$W$27,'2. Kalkyldata'!$C$23:$C$27,'3. Finansiering'!$B32,'2. Kalkyldata'!$R$23:$R$27,'3. Finansiering'!AI$12))</f>
        <v>0</v>
      </c>
      <c r="AJ32" s="617">
        <f>IF(AJ$29="",0,SUMIFS('2. Kalkyldata'!$W$23:$W$27,'2. Kalkyldata'!$C$23:$C$27,'3. Finansiering'!$B32,'2. Kalkyldata'!$R$23:$R$27,'3. Finansiering'!AJ$12))</f>
        <v>0</v>
      </c>
      <c r="AK32" s="617">
        <f>IF(AK$29="",0,SUMIFS('2. Kalkyldata'!$W$23:$W$27,'2. Kalkyldata'!$C$23:$C$27,'3. Finansiering'!$B32,'2. Kalkyldata'!$R$23:$R$27,'3. Finansiering'!AK$12))</f>
        <v>0</v>
      </c>
      <c r="AL32" s="617">
        <f>IF(AL$29="",0,SUMIFS('2. Kalkyldata'!$W$23:$W$27,'2. Kalkyldata'!$C$23:$C$27,'3. Finansiering'!$B32,'2. Kalkyldata'!$R$23:$R$27,'3. Finansiering'!AL$12))</f>
        <v>0</v>
      </c>
      <c r="AM32" s="617">
        <f>IF(AM$29="",0,SUMIFS('2. Kalkyldata'!$W$23:$W$27,'2. Kalkyldata'!$C$23:$C$27,'3. Finansiering'!$B32,'2. Kalkyldata'!$R$23:$R$27,'3. Finansiering'!AM$12))</f>
        <v>0</v>
      </c>
      <c r="AN32" s="617">
        <f>IF(AN$29="",0,SUMIFS('2. Kalkyldata'!$W$23:$W$27,'2. Kalkyldata'!$C$23:$C$27,'3. Finansiering'!$B32,'2. Kalkyldata'!$R$23:$R$27,'3. Finansiering'!AN$12))</f>
        <v>0</v>
      </c>
      <c r="AO32" s="617">
        <f>IF(AO$29="",0,SUMIFS('2. Kalkyldata'!$W$23:$W$27,'2. Kalkyldata'!$C$23:$C$27,'3. Finansiering'!$B32,'2. Kalkyldata'!$R$23:$R$27,'3. Finansiering'!AO$12))</f>
        <v>0</v>
      </c>
      <c r="AP32" s="617">
        <f>IF(AP$29="",0,SUMIFS('2. Kalkyldata'!$W$23:$W$27,'2. Kalkyldata'!$C$23:$C$27,'3. Finansiering'!$B32,'2. Kalkyldata'!$R$23:$R$27,'3. Finansiering'!AP$12))</f>
        <v>0</v>
      </c>
      <c r="AQ32" s="617">
        <f>IF(AQ$29="",0,SUMIFS('2. Kalkyldata'!$W$23:$W$27,'2. Kalkyldata'!$C$23:$C$27,'3. Finansiering'!$B32,'2. Kalkyldata'!$R$23:$R$27,'3. Finansiering'!AQ$12))</f>
        <v>0</v>
      </c>
      <c r="AR32" s="617">
        <f>IF(AR$29="",0,SUMIFS('2. Kalkyldata'!$W$23:$W$27,'2. Kalkyldata'!$C$23:$C$27,'3. Finansiering'!$B32,'2. Kalkyldata'!$R$23:$R$27,'3. Finansiering'!AR$12))</f>
        <v>0</v>
      </c>
      <c r="AS32" s="617">
        <f>IF(AS$29="",0,SUMIFS('2. Kalkyldata'!$W$23:$W$27,'2. Kalkyldata'!$C$23:$C$27,'3. Finansiering'!$B32,'2. Kalkyldata'!$R$23:$R$27,'3. Finansiering'!AS$12))</f>
        <v>0</v>
      </c>
      <c r="AT32" s="617">
        <f>IF(AT$29="",0,SUMIFS('2. Kalkyldata'!$W$23:$W$27,'2. Kalkyldata'!$C$23:$C$27,'3. Finansiering'!$B32,'2. Kalkyldata'!$R$23:$R$27,'3. Finansiering'!AT$12))</f>
        <v>0</v>
      </c>
      <c r="AU32" s="617">
        <f>IF(AU$29="",0,SUMIFS('2. Kalkyldata'!$W$23:$W$27,'2. Kalkyldata'!$C$23:$C$27,'3. Finansiering'!$B32,'2. Kalkyldata'!$R$23:$R$27,'3. Finansiering'!AU$12))</f>
        <v>0</v>
      </c>
      <c r="AV32" s="617">
        <f>IF(AV$29="",0,SUMIFS('2. Kalkyldata'!$W$23:$W$27,'2. Kalkyldata'!$C$23:$C$27,'3. Finansiering'!$B32,'2. Kalkyldata'!$R$23:$R$27,'3. Finansiering'!AV$12))</f>
        <v>0</v>
      </c>
      <c r="AW32" s="617">
        <f>IF(AW$29="",0,SUMIFS('2. Kalkyldata'!$W$23:$W$27,'2. Kalkyldata'!$C$23:$C$27,'3. Finansiering'!$B32,'2. Kalkyldata'!$R$23:$R$27,'3. Finansiering'!AW$12))</f>
        <v>0</v>
      </c>
      <c r="AX32" s="617">
        <f>IF(AX$29="",0,SUMIFS('2. Kalkyldata'!$W$23:$W$27,'2. Kalkyldata'!$C$23:$C$27,'3. Finansiering'!$B32,'2. Kalkyldata'!$R$23:$R$27,'3. Finansiering'!AX$12))</f>
        <v>0</v>
      </c>
      <c r="AY32" s="617">
        <f>IF(AY$29="",0,SUMIFS('2. Kalkyldata'!$W$23:$W$27,'2. Kalkyldata'!$C$23:$C$27,'3. Finansiering'!$B32,'2. Kalkyldata'!$R$23:$R$27,'3. Finansiering'!AY$12))</f>
        <v>0</v>
      </c>
      <c r="AZ32" s="617">
        <f>IF(AZ$29="",0,SUMIFS('2. Kalkyldata'!$W$23:$W$27,'2. Kalkyldata'!$C$23:$C$27,'3. Finansiering'!$B32,'2. Kalkyldata'!$R$23:$R$27,'3. Finansiering'!AZ$12))</f>
        <v>0</v>
      </c>
      <c r="BA32" s="617">
        <f>IF(BA$29="",0,SUMIFS('2. Kalkyldata'!$W$23:$W$27,'2. Kalkyldata'!$C$23:$C$27,'3. Finansiering'!$B32,'2. Kalkyldata'!$R$23:$R$27,'3. Finansiering'!BA$12))</f>
        <v>0</v>
      </c>
      <c r="BB32" s="504"/>
    </row>
    <row r="33" spans="1:61" outlineLevel="1">
      <c r="A33" s="504"/>
      <c r="B33" s="328">
        <f>'2. Kalkyldata'!C25</f>
        <v>0</v>
      </c>
      <c r="C33" s="504"/>
      <c r="D33" s="617">
        <f>IF(D$29="",0,SUMIFS('2. Kalkyldata'!$W$23:$W$27,'2. Kalkyldata'!$C$23:$C$27,'3. Finansiering'!$B33,'2. Kalkyldata'!$R$23:$R$27,'3. Finansiering'!D$12))</f>
        <v>0</v>
      </c>
      <c r="E33" s="617">
        <f>IF(E$29="",0,SUMIFS('2. Kalkyldata'!$W$23:$W$27,'2. Kalkyldata'!$C$23:$C$27,'3. Finansiering'!$B33,'2. Kalkyldata'!$R$23:$R$27,'3. Finansiering'!E$12))</f>
        <v>0</v>
      </c>
      <c r="F33" s="617">
        <f>IF(F$29="",0,SUMIFS('2. Kalkyldata'!$W$23:$W$27,'2. Kalkyldata'!$C$23:$C$27,'3. Finansiering'!$B33,'2. Kalkyldata'!$R$23:$R$27,'3. Finansiering'!F$12))</f>
        <v>0</v>
      </c>
      <c r="G33" s="617">
        <f>IF(G$29="",0,SUMIFS('2. Kalkyldata'!$W$23:$W$27,'2. Kalkyldata'!$C$23:$C$27,'3. Finansiering'!$B33,'2. Kalkyldata'!$R$23:$R$27,'3. Finansiering'!G$12))</f>
        <v>0</v>
      </c>
      <c r="H33" s="617">
        <f>IF(H$29="",0,SUMIFS('2. Kalkyldata'!$W$23:$W$27,'2. Kalkyldata'!$C$23:$C$27,'3. Finansiering'!$B33,'2. Kalkyldata'!$R$23:$R$27,'3. Finansiering'!H$12))</f>
        <v>0</v>
      </c>
      <c r="I33" s="617">
        <f>IF(I$29="",0,SUMIFS('2. Kalkyldata'!$W$23:$W$27,'2. Kalkyldata'!$C$23:$C$27,'3. Finansiering'!$B33,'2. Kalkyldata'!$R$23:$R$27,'3. Finansiering'!I$12))</f>
        <v>0</v>
      </c>
      <c r="J33" s="617">
        <f>IF(J$29="",0,SUMIFS('2. Kalkyldata'!$W$23:$W$27,'2. Kalkyldata'!$C$23:$C$27,'3. Finansiering'!$B33,'2. Kalkyldata'!$R$23:$R$27,'3. Finansiering'!J$12))</f>
        <v>0</v>
      </c>
      <c r="K33" s="617">
        <f>IF(K$29="",0,SUMIFS('2. Kalkyldata'!$W$23:$W$27,'2. Kalkyldata'!$C$23:$C$27,'3. Finansiering'!$B33,'2. Kalkyldata'!$R$23:$R$27,'3. Finansiering'!K$12))</f>
        <v>0</v>
      </c>
      <c r="L33" s="617">
        <f>IF(L$29="",0,SUMIFS('2. Kalkyldata'!$W$23:$W$27,'2. Kalkyldata'!$C$23:$C$27,'3. Finansiering'!$B33,'2. Kalkyldata'!$R$23:$R$27,'3. Finansiering'!L$12))</f>
        <v>0</v>
      </c>
      <c r="M33" s="617">
        <f>IF(M$29="",0,SUMIFS('2. Kalkyldata'!$W$23:$W$27,'2. Kalkyldata'!$C$23:$C$27,'3. Finansiering'!$B33,'2. Kalkyldata'!$R$23:$R$27,'3. Finansiering'!M$12))</f>
        <v>0</v>
      </c>
      <c r="N33" s="617">
        <f>IF(N$29="",0,SUMIFS('2. Kalkyldata'!$W$23:$W$27,'2. Kalkyldata'!$C$23:$C$27,'3. Finansiering'!$B33,'2. Kalkyldata'!$R$23:$R$27,'3. Finansiering'!N$12))</f>
        <v>0</v>
      </c>
      <c r="O33" s="617">
        <f>IF(O$29="",0,SUMIFS('2. Kalkyldata'!$W$23:$W$27,'2. Kalkyldata'!$C$23:$C$27,'3. Finansiering'!$B33,'2. Kalkyldata'!$R$23:$R$27,'3. Finansiering'!O$12))</f>
        <v>0</v>
      </c>
      <c r="P33" s="617">
        <f>IF(P$29="",0,SUMIFS('2. Kalkyldata'!$W$23:$W$27,'2. Kalkyldata'!$C$23:$C$27,'3. Finansiering'!$B33,'2. Kalkyldata'!$R$23:$R$27,'3. Finansiering'!P$12))</f>
        <v>0</v>
      </c>
      <c r="Q33" s="617">
        <f>IF(Q$29="",0,SUMIFS('2. Kalkyldata'!$W$23:$W$27,'2. Kalkyldata'!$C$23:$C$27,'3. Finansiering'!$B33,'2. Kalkyldata'!$R$23:$R$27,'3. Finansiering'!Q$12))</f>
        <v>0</v>
      </c>
      <c r="R33" s="617">
        <f>IF(R$29="",0,SUMIFS('2. Kalkyldata'!$W$23:$W$27,'2. Kalkyldata'!$C$23:$C$27,'3. Finansiering'!$B33,'2. Kalkyldata'!$R$23:$R$27,'3. Finansiering'!R$12))</f>
        <v>0</v>
      </c>
      <c r="S33" s="617">
        <f>IF(S$29="",0,SUMIFS('2. Kalkyldata'!$W$23:$W$27,'2. Kalkyldata'!$C$23:$C$27,'3. Finansiering'!$B33,'2. Kalkyldata'!$R$23:$R$27,'3. Finansiering'!S$12))</f>
        <v>0</v>
      </c>
      <c r="T33" s="617">
        <f>IF(T$29="",0,SUMIFS('2. Kalkyldata'!$W$23:$W$27,'2. Kalkyldata'!$C$23:$C$27,'3. Finansiering'!$B33,'2. Kalkyldata'!$R$23:$R$27,'3. Finansiering'!T$12))</f>
        <v>0</v>
      </c>
      <c r="U33" s="617">
        <f>IF(U$29="",0,SUMIFS('2. Kalkyldata'!$W$23:$W$27,'2. Kalkyldata'!$C$23:$C$27,'3. Finansiering'!$B33,'2. Kalkyldata'!$R$23:$R$27,'3. Finansiering'!U$12))</f>
        <v>0</v>
      </c>
      <c r="V33" s="617">
        <f>IF(V$29="",0,SUMIFS('2. Kalkyldata'!$W$23:$W$27,'2. Kalkyldata'!$C$23:$C$27,'3. Finansiering'!$B33,'2. Kalkyldata'!$R$23:$R$27,'3. Finansiering'!V$12))</f>
        <v>0</v>
      </c>
      <c r="W33" s="617">
        <f>IF(W$29="",0,SUMIFS('2. Kalkyldata'!$W$23:$W$27,'2. Kalkyldata'!$C$23:$C$27,'3. Finansiering'!$B33,'2. Kalkyldata'!$R$23:$R$27,'3. Finansiering'!W$12))</f>
        <v>0</v>
      </c>
      <c r="X33" s="617">
        <f>IF(X$29="",0,SUMIFS('2. Kalkyldata'!$W$23:$W$27,'2. Kalkyldata'!$C$23:$C$27,'3. Finansiering'!$B33,'2. Kalkyldata'!$R$23:$R$27,'3. Finansiering'!X$12))</f>
        <v>0</v>
      </c>
      <c r="Y33" s="617">
        <f>IF(Y$29="",0,SUMIFS('2. Kalkyldata'!$W$23:$W$27,'2. Kalkyldata'!$C$23:$C$27,'3. Finansiering'!$B33,'2. Kalkyldata'!$R$23:$R$27,'3. Finansiering'!Y$12))</f>
        <v>0</v>
      </c>
      <c r="Z33" s="617">
        <f>IF(Z$29="",0,SUMIFS('2. Kalkyldata'!$W$23:$W$27,'2. Kalkyldata'!$C$23:$C$27,'3. Finansiering'!$B33,'2. Kalkyldata'!$R$23:$R$27,'3. Finansiering'!Z$12))</f>
        <v>0</v>
      </c>
      <c r="AA33" s="617">
        <f>IF(AA$29="",0,SUMIFS('2. Kalkyldata'!$W$23:$W$27,'2. Kalkyldata'!$C$23:$C$27,'3. Finansiering'!$B33,'2. Kalkyldata'!$R$23:$R$27,'3. Finansiering'!AA$12))</f>
        <v>0</v>
      </c>
      <c r="AB33" s="617">
        <f>IF(AB$29="",0,SUMIFS('2. Kalkyldata'!$W$23:$W$27,'2. Kalkyldata'!$C$23:$C$27,'3. Finansiering'!$B33,'2. Kalkyldata'!$R$23:$R$27,'3. Finansiering'!AB$12))</f>
        <v>0</v>
      </c>
      <c r="AC33" s="617">
        <f>IF(AC$29="",0,SUMIFS('2. Kalkyldata'!$W$23:$W$27,'2. Kalkyldata'!$C$23:$C$27,'3. Finansiering'!$B33,'2. Kalkyldata'!$R$23:$R$27,'3. Finansiering'!AC$12))</f>
        <v>0</v>
      </c>
      <c r="AD33" s="617">
        <f>IF(AD$29="",0,SUMIFS('2. Kalkyldata'!$W$23:$W$27,'2. Kalkyldata'!$C$23:$C$27,'3. Finansiering'!$B33,'2. Kalkyldata'!$R$23:$R$27,'3. Finansiering'!AD$12))</f>
        <v>0</v>
      </c>
      <c r="AE33" s="617">
        <f>IF(AE$29="",0,SUMIFS('2. Kalkyldata'!$W$23:$W$27,'2. Kalkyldata'!$C$23:$C$27,'3. Finansiering'!$B33,'2. Kalkyldata'!$R$23:$R$27,'3. Finansiering'!AE$12))</f>
        <v>0</v>
      </c>
      <c r="AF33" s="617">
        <f>IF(AF$29="",0,SUMIFS('2. Kalkyldata'!$W$23:$W$27,'2. Kalkyldata'!$C$23:$C$27,'3. Finansiering'!$B33,'2. Kalkyldata'!$R$23:$R$27,'3. Finansiering'!AF$12))</f>
        <v>0</v>
      </c>
      <c r="AG33" s="617">
        <f>IF(AG$29="",0,SUMIFS('2. Kalkyldata'!$W$23:$W$27,'2. Kalkyldata'!$C$23:$C$27,'3. Finansiering'!$B33,'2. Kalkyldata'!$R$23:$R$27,'3. Finansiering'!AG$12))</f>
        <v>0</v>
      </c>
      <c r="AH33" s="617">
        <f>IF(AH$29="",0,SUMIFS('2. Kalkyldata'!$W$23:$W$27,'2. Kalkyldata'!$C$23:$C$27,'3. Finansiering'!$B33,'2. Kalkyldata'!$R$23:$R$27,'3. Finansiering'!AH$12))</f>
        <v>0</v>
      </c>
      <c r="AI33" s="617">
        <f>IF(AI$29="",0,SUMIFS('2. Kalkyldata'!$W$23:$W$27,'2. Kalkyldata'!$C$23:$C$27,'3. Finansiering'!$B33,'2. Kalkyldata'!$R$23:$R$27,'3. Finansiering'!AI$12))</f>
        <v>0</v>
      </c>
      <c r="AJ33" s="617">
        <f>IF(AJ$29="",0,SUMIFS('2. Kalkyldata'!$W$23:$W$27,'2. Kalkyldata'!$C$23:$C$27,'3. Finansiering'!$B33,'2. Kalkyldata'!$R$23:$R$27,'3. Finansiering'!AJ$12))</f>
        <v>0</v>
      </c>
      <c r="AK33" s="617">
        <f>IF(AK$29="",0,SUMIFS('2. Kalkyldata'!$W$23:$W$27,'2. Kalkyldata'!$C$23:$C$27,'3. Finansiering'!$B33,'2. Kalkyldata'!$R$23:$R$27,'3. Finansiering'!AK$12))</f>
        <v>0</v>
      </c>
      <c r="AL33" s="617">
        <f>IF(AL$29="",0,SUMIFS('2. Kalkyldata'!$W$23:$W$27,'2. Kalkyldata'!$C$23:$C$27,'3. Finansiering'!$B33,'2. Kalkyldata'!$R$23:$R$27,'3. Finansiering'!AL$12))</f>
        <v>0</v>
      </c>
      <c r="AM33" s="617">
        <f>IF(AM$29="",0,SUMIFS('2. Kalkyldata'!$W$23:$W$27,'2. Kalkyldata'!$C$23:$C$27,'3. Finansiering'!$B33,'2. Kalkyldata'!$R$23:$R$27,'3. Finansiering'!AM$12))</f>
        <v>0</v>
      </c>
      <c r="AN33" s="617">
        <f>IF(AN$29="",0,SUMIFS('2. Kalkyldata'!$W$23:$W$27,'2. Kalkyldata'!$C$23:$C$27,'3. Finansiering'!$B33,'2. Kalkyldata'!$R$23:$R$27,'3. Finansiering'!AN$12))</f>
        <v>0</v>
      </c>
      <c r="AO33" s="617">
        <f>IF(AO$29="",0,SUMIFS('2. Kalkyldata'!$W$23:$W$27,'2. Kalkyldata'!$C$23:$C$27,'3. Finansiering'!$B33,'2. Kalkyldata'!$R$23:$R$27,'3. Finansiering'!AO$12))</f>
        <v>0</v>
      </c>
      <c r="AP33" s="617">
        <f>IF(AP$29="",0,SUMIFS('2. Kalkyldata'!$W$23:$W$27,'2. Kalkyldata'!$C$23:$C$27,'3. Finansiering'!$B33,'2. Kalkyldata'!$R$23:$R$27,'3. Finansiering'!AP$12))</f>
        <v>0</v>
      </c>
      <c r="AQ33" s="617">
        <f>IF(AQ$29="",0,SUMIFS('2. Kalkyldata'!$W$23:$W$27,'2. Kalkyldata'!$C$23:$C$27,'3. Finansiering'!$B33,'2. Kalkyldata'!$R$23:$R$27,'3. Finansiering'!AQ$12))</f>
        <v>0</v>
      </c>
      <c r="AR33" s="617">
        <f>IF(AR$29="",0,SUMIFS('2. Kalkyldata'!$W$23:$W$27,'2. Kalkyldata'!$C$23:$C$27,'3. Finansiering'!$B33,'2. Kalkyldata'!$R$23:$R$27,'3. Finansiering'!AR$12))</f>
        <v>0</v>
      </c>
      <c r="AS33" s="617">
        <f>IF(AS$29="",0,SUMIFS('2. Kalkyldata'!$W$23:$W$27,'2. Kalkyldata'!$C$23:$C$27,'3. Finansiering'!$B33,'2. Kalkyldata'!$R$23:$R$27,'3. Finansiering'!AS$12))</f>
        <v>0</v>
      </c>
      <c r="AT33" s="617">
        <f>IF(AT$29="",0,SUMIFS('2. Kalkyldata'!$W$23:$W$27,'2. Kalkyldata'!$C$23:$C$27,'3. Finansiering'!$B33,'2. Kalkyldata'!$R$23:$R$27,'3. Finansiering'!AT$12))</f>
        <v>0</v>
      </c>
      <c r="AU33" s="617">
        <f>IF(AU$29="",0,SUMIFS('2. Kalkyldata'!$W$23:$W$27,'2. Kalkyldata'!$C$23:$C$27,'3. Finansiering'!$B33,'2. Kalkyldata'!$R$23:$R$27,'3. Finansiering'!AU$12))</f>
        <v>0</v>
      </c>
      <c r="AV33" s="617">
        <f>IF(AV$29="",0,SUMIFS('2. Kalkyldata'!$W$23:$W$27,'2. Kalkyldata'!$C$23:$C$27,'3. Finansiering'!$B33,'2. Kalkyldata'!$R$23:$R$27,'3. Finansiering'!AV$12))</f>
        <v>0</v>
      </c>
      <c r="AW33" s="617">
        <f>IF(AW$29="",0,SUMIFS('2. Kalkyldata'!$W$23:$W$27,'2. Kalkyldata'!$C$23:$C$27,'3. Finansiering'!$B33,'2. Kalkyldata'!$R$23:$R$27,'3. Finansiering'!AW$12))</f>
        <v>0</v>
      </c>
      <c r="AX33" s="617">
        <f>IF(AX$29="",0,SUMIFS('2. Kalkyldata'!$W$23:$W$27,'2. Kalkyldata'!$C$23:$C$27,'3. Finansiering'!$B33,'2. Kalkyldata'!$R$23:$R$27,'3. Finansiering'!AX$12))</f>
        <v>0</v>
      </c>
      <c r="AY33" s="617">
        <f>IF(AY$29="",0,SUMIFS('2. Kalkyldata'!$W$23:$W$27,'2. Kalkyldata'!$C$23:$C$27,'3. Finansiering'!$B33,'2. Kalkyldata'!$R$23:$R$27,'3. Finansiering'!AY$12))</f>
        <v>0</v>
      </c>
      <c r="AZ33" s="617">
        <f>IF(AZ$29="",0,SUMIFS('2. Kalkyldata'!$W$23:$W$27,'2. Kalkyldata'!$C$23:$C$27,'3. Finansiering'!$B33,'2. Kalkyldata'!$R$23:$R$27,'3. Finansiering'!AZ$12))</f>
        <v>0</v>
      </c>
      <c r="BA33" s="617">
        <f>IF(BA$29="",0,SUMIFS('2. Kalkyldata'!$W$23:$W$27,'2. Kalkyldata'!$C$23:$C$27,'3. Finansiering'!$B33,'2. Kalkyldata'!$R$23:$R$27,'3. Finansiering'!BA$12))</f>
        <v>0</v>
      </c>
      <c r="BB33" s="504"/>
      <c r="BC33" s="523"/>
      <c r="BD33" s="523"/>
      <c r="BE33" s="523"/>
      <c r="BF33" s="523"/>
      <c r="BG33" s="523"/>
      <c r="BH33" s="523"/>
      <c r="BI33" s="523"/>
    </row>
    <row r="34" spans="1:61" outlineLevel="1">
      <c r="A34" s="504"/>
      <c r="B34" s="328">
        <f>'2. Kalkyldata'!C26</f>
        <v>0</v>
      </c>
      <c r="C34" s="504"/>
      <c r="D34" s="617">
        <f>IF(D$29="",0,SUMIFS('2. Kalkyldata'!$W$23:$W$27,'2. Kalkyldata'!$C$23:$C$27,'3. Finansiering'!$B34,'2. Kalkyldata'!$R$23:$R$27,'3. Finansiering'!D$12))</f>
        <v>0</v>
      </c>
      <c r="E34" s="617">
        <f>IF(E$29="",0,SUMIFS('2. Kalkyldata'!$W$23:$W$27,'2. Kalkyldata'!$C$23:$C$27,'3. Finansiering'!$B34,'2. Kalkyldata'!$R$23:$R$27,'3. Finansiering'!E$12))</f>
        <v>0</v>
      </c>
      <c r="F34" s="617">
        <f>IF(F$29="",0,SUMIFS('2. Kalkyldata'!$W$23:$W$27,'2. Kalkyldata'!$C$23:$C$27,'3. Finansiering'!$B34,'2. Kalkyldata'!$R$23:$R$27,'3. Finansiering'!F$12))</f>
        <v>0</v>
      </c>
      <c r="G34" s="617">
        <f>IF(G$29="",0,SUMIFS('2. Kalkyldata'!$W$23:$W$27,'2. Kalkyldata'!$C$23:$C$27,'3. Finansiering'!$B34,'2. Kalkyldata'!$R$23:$R$27,'3. Finansiering'!G$12))</f>
        <v>0</v>
      </c>
      <c r="H34" s="617">
        <f>IF(H$29="",0,SUMIFS('2. Kalkyldata'!$W$23:$W$27,'2. Kalkyldata'!$C$23:$C$27,'3. Finansiering'!$B34,'2. Kalkyldata'!$R$23:$R$27,'3. Finansiering'!H$12))</f>
        <v>0</v>
      </c>
      <c r="I34" s="617">
        <f>IF(I$29="",0,SUMIFS('2. Kalkyldata'!$W$23:$W$27,'2. Kalkyldata'!$C$23:$C$27,'3. Finansiering'!$B34,'2. Kalkyldata'!$R$23:$R$27,'3. Finansiering'!I$12))</f>
        <v>0</v>
      </c>
      <c r="J34" s="617">
        <f>IF(J$29="",0,SUMIFS('2. Kalkyldata'!$W$23:$W$27,'2. Kalkyldata'!$C$23:$C$27,'3. Finansiering'!$B34,'2. Kalkyldata'!$R$23:$R$27,'3. Finansiering'!J$12))</f>
        <v>0</v>
      </c>
      <c r="K34" s="617">
        <f>IF(K$29="",0,SUMIFS('2. Kalkyldata'!$W$23:$W$27,'2. Kalkyldata'!$C$23:$C$27,'3. Finansiering'!$B34,'2. Kalkyldata'!$R$23:$R$27,'3. Finansiering'!K$12))</f>
        <v>0</v>
      </c>
      <c r="L34" s="617">
        <f>IF(L$29="",0,SUMIFS('2. Kalkyldata'!$W$23:$W$27,'2. Kalkyldata'!$C$23:$C$27,'3. Finansiering'!$B34,'2. Kalkyldata'!$R$23:$R$27,'3. Finansiering'!L$12))</f>
        <v>0</v>
      </c>
      <c r="M34" s="617">
        <f>IF(M$29="",0,SUMIFS('2. Kalkyldata'!$W$23:$W$27,'2. Kalkyldata'!$C$23:$C$27,'3. Finansiering'!$B34,'2. Kalkyldata'!$R$23:$R$27,'3. Finansiering'!M$12))</f>
        <v>0</v>
      </c>
      <c r="N34" s="617">
        <f>IF(N$29="",0,SUMIFS('2. Kalkyldata'!$W$23:$W$27,'2. Kalkyldata'!$C$23:$C$27,'3. Finansiering'!$B34,'2. Kalkyldata'!$R$23:$R$27,'3. Finansiering'!N$12))</f>
        <v>0</v>
      </c>
      <c r="O34" s="617">
        <f>IF(O$29="",0,SUMIFS('2. Kalkyldata'!$W$23:$W$27,'2. Kalkyldata'!$C$23:$C$27,'3. Finansiering'!$B34,'2. Kalkyldata'!$R$23:$R$27,'3. Finansiering'!O$12))</f>
        <v>0</v>
      </c>
      <c r="P34" s="617">
        <f>IF(P$29="",0,SUMIFS('2. Kalkyldata'!$W$23:$W$27,'2. Kalkyldata'!$C$23:$C$27,'3. Finansiering'!$B34,'2. Kalkyldata'!$R$23:$R$27,'3. Finansiering'!P$12))</f>
        <v>0</v>
      </c>
      <c r="Q34" s="617">
        <f>IF(Q$29="",0,SUMIFS('2. Kalkyldata'!$W$23:$W$27,'2. Kalkyldata'!$C$23:$C$27,'3. Finansiering'!$B34,'2. Kalkyldata'!$R$23:$R$27,'3. Finansiering'!Q$12))</f>
        <v>0</v>
      </c>
      <c r="R34" s="617">
        <f>IF(R$29="",0,SUMIFS('2. Kalkyldata'!$W$23:$W$27,'2. Kalkyldata'!$C$23:$C$27,'3. Finansiering'!$B34,'2. Kalkyldata'!$R$23:$R$27,'3. Finansiering'!R$12))</f>
        <v>0</v>
      </c>
      <c r="S34" s="617">
        <f>IF(S$29="",0,SUMIFS('2. Kalkyldata'!$W$23:$W$27,'2. Kalkyldata'!$C$23:$C$27,'3. Finansiering'!$B34,'2. Kalkyldata'!$R$23:$R$27,'3. Finansiering'!S$12))</f>
        <v>0</v>
      </c>
      <c r="T34" s="617">
        <f>IF(T$29="",0,SUMIFS('2. Kalkyldata'!$W$23:$W$27,'2. Kalkyldata'!$C$23:$C$27,'3. Finansiering'!$B34,'2. Kalkyldata'!$R$23:$R$27,'3. Finansiering'!T$12))</f>
        <v>0</v>
      </c>
      <c r="U34" s="617">
        <f>IF(U$29="",0,SUMIFS('2. Kalkyldata'!$W$23:$W$27,'2. Kalkyldata'!$C$23:$C$27,'3. Finansiering'!$B34,'2. Kalkyldata'!$R$23:$R$27,'3. Finansiering'!U$12))</f>
        <v>0</v>
      </c>
      <c r="V34" s="617">
        <f>IF(V$29="",0,SUMIFS('2. Kalkyldata'!$W$23:$W$27,'2. Kalkyldata'!$C$23:$C$27,'3. Finansiering'!$B34,'2. Kalkyldata'!$R$23:$R$27,'3. Finansiering'!V$12))</f>
        <v>0</v>
      </c>
      <c r="W34" s="617">
        <f>IF(W$29="",0,SUMIFS('2. Kalkyldata'!$W$23:$W$27,'2. Kalkyldata'!$C$23:$C$27,'3. Finansiering'!$B34,'2. Kalkyldata'!$R$23:$R$27,'3. Finansiering'!W$12))</f>
        <v>0</v>
      </c>
      <c r="X34" s="617">
        <f>IF(X$29="",0,SUMIFS('2. Kalkyldata'!$W$23:$W$27,'2. Kalkyldata'!$C$23:$C$27,'3. Finansiering'!$B34,'2. Kalkyldata'!$R$23:$R$27,'3. Finansiering'!X$12))</f>
        <v>0</v>
      </c>
      <c r="Y34" s="617">
        <f>IF(Y$29="",0,SUMIFS('2. Kalkyldata'!$W$23:$W$27,'2. Kalkyldata'!$C$23:$C$27,'3. Finansiering'!$B34,'2. Kalkyldata'!$R$23:$R$27,'3. Finansiering'!Y$12))</f>
        <v>0</v>
      </c>
      <c r="Z34" s="617">
        <f>IF(Z$29="",0,SUMIFS('2. Kalkyldata'!$W$23:$W$27,'2. Kalkyldata'!$C$23:$C$27,'3. Finansiering'!$B34,'2. Kalkyldata'!$R$23:$R$27,'3. Finansiering'!Z$12))</f>
        <v>0</v>
      </c>
      <c r="AA34" s="617">
        <f>IF(AA$29="",0,SUMIFS('2. Kalkyldata'!$W$23:$W$27,'2. Kalkyldata'!$C$23:$C$27,'3. Finansiering'!$B34,'2. Kalkyldata'!$R$23:$R$27,'3. Finansiering'!AA$12))</f>
        <v>0</v>
      </c>
      <c r="AB34" s="617">
        <f>IF(AB$29="",0,SUMIFS('2. Kalkyldata'!$W$23:$W$27,'2. Kalkyldata'!$C$23:$C$27,'3. Finansiering'!$B34,'2. Kalkyldata'!$R$23:$R$27,'3. Finansiering'!AB$12))</f>
        <v>0</v>
      </c>
      <c r="AC34" s="617">
        <f>IF(AC$29="",0,SUMIFS('2. Kalkyldata'!$W$23:$W$27,'2. Kalkyldata'!$C$23:$C$27,'3. Finansiering'!$B34,'2. Kalkyldata'!$R$23:$R$27,'3. Finansiering'!AC$12))</f>
        <v>0</v>
      </c>
      <c r="AD34" s="617">
        <f>IF(AD$29="",0,SUMIFS('2. Kalkyldata'!$W$23:$W$27,'2. Kalkyldata'!$C$23:$C$27,'3. Finansiering'!$B34,'2. Kalkyldata'!$R$23:$R$27,'3. Finansiering'!AD$12))</f>
        <v>0</v>
      </c>
      <c r="AE34" s="617">
        <f>IF(AE$29="",0,SUMIFS('2. Kalkyldata'!$W$23:$W$27,'2. Kalkyldata'!$C$23:$C$27,'3. Finansiering'!$B34,'2. Kalkyldata'!$R$23:$R$27,'3. Finansiering'!AE$12))</f>
        <v>0</v>
      </c>
      <c r="AF34" s="617">
        <f>IF(AF$29="",0,SUMIFS('2. Kalkyldata'!$W$23:$W$27,'2. Kalkyldata'!$C$23:$C$27,'3. Finansiering'!$B34,'2. Kalkyldata'!$R$23:$R$27,'3. Finansiering'!AF$12))</f>
        <v>0</v>
      </c>
      <c r="AG34" s="617">
        <f>IF(AG$29="",0,SUMIFS('2. Kalkyldata'!$W$23:$W$27,'2. Kalkyldata'!$C$23:$C$27,'3. Finansiering'!$B34,'2. Kalkyldata'!$R$23:$R$27,'3. Finansiering'!AG$12))</f>
        <v>0</v>
      </c>
      <c r="AH34" s="617">
        <f>IF(AH$29="",0,SUMIFS('2. Kalkyldata'!$W$23:$W$27,'2. Kalkyldata'!$C$23:$C$27,'3. Finansiering'!$B34,'2. Kalkyldata'!$R$23:$R$27,'3. Finansiering'!AH$12))</f>
        <v>0</v>
      </c>
      <c r="AI34" s="617">
        <f>IF(AI$29="",0,SUMIFS('2. Kalkyldata'!$W$23:$W$27,'2. Kalkyldata'!$C$23:$C$27,'3. Finansiering'!$B34,'2. Kalkyldata'!$R$23:$R$27,'3. Finansiering'!AI$12))</f>
        <v>0</v>
      </c>
      <c r="AJ34" s="617">
        <f>IF(AJ$29="",0,SUMIFS('2. Kalkyldata'!$W$23:$W$27,'2. Kalkyldata'!$C$23:$C$27,'3. Finansiering'!$B34,'2. Kalkyldata'!$R$23:$R$27,'3. Finansiering'!AJ$12))</f>
        <v>0</v>
      </c>
      <c r="AK34" s="617">
        <f>IF(AK$29="",0,SUMIFS('2. Kalkyldata'!$W$23:$W$27,'2. Kalkyldata'!$C$23:$C$27,'3. Finansiering'!$B34,'2. Kalkyldata'!$R$23:$R$27,'3. Finansiering'!AK$12))</f>
        <v>0</v>
      </c>
      <c r="AL34" s="617">
        <f>IF(AL$29="",0,SUMIFS('2. Kalkyldata'!$W$23:$W$27,'2. Kalkyldata'!$C$23:$C$27,'3. Finansiering'!$B34,'2. Kalkyldata'!$R$23:$R$27,'3. Finansiering'!AL$12))</f>
        <v>0</v>
      </c>
      <c r="AM34" s="617">
        <f>IF(AM$29="",0,SUMIFS('2. Kalkyldata'!$W$23:$W$27,'2. Kalkyldata'!$C$23:$C$27,'3. Finansiering'!$B34,'2. Kalkyldata'!$R$23:$R$27,'3. Finansiering'!AM$12))</f>
        <v>0</v>
      </c>
      <c r="AN34" s="617">
        <f>IF(AN$29="",0,SUMIFS('2. Kalkyldata'!$W$23:$W$27,'2. Kalkyldata'!$C$23:$C$27,'3. Finansiering'!$B34,'2. Kalkyldata'!$R$23:$R$27,'3. Finansiering'!AN$12))</f>
        <v>0</v>
      </c>
      <c r="AO34" s="617">
        <f>IF(AO$29="",0,SUMIFS('2. Kalkyldata'!$W$23:$W$27,'2. Kalkyldata'!$C$23:$C$27,'3. Finansiering'!$B34,'2. Kalkyldata'!$R$23:$R$27,'3. Finansiering'!AO$12))</f>
        <v>0</v>
      </c>
      <c r="AP34" s="617">
        <f>IF(AP$29="",0,SUMIFS('2. Kalkyldata'!$W$23:$W$27,'2. Kalkyldata'!$C$23:$C$27,'3. Finansiering'!$B34,'2. Kalkyldata'!$R$23:$R$27,'3. Finansiering'!AP$12))</f>
        <v>0</v>
      </c>
      <c r="AQ34" s="617">
        <f>IF(AQ$29="",0,SUMIFS('2. Kalkyldata'!$W$23:$W$27,'2. Kalkyldata'!$C$23:$C$27,'3. Finansiering'!$B34,'2. Kalkyldata'!$R$23:$R$27,'3. Finansiering'!AQ$12))</f>
        <v>0</v>
      </c>
      <c r="AR34" s="617">
        <f>IF(AR$29="",0,SUMIFS('2. Kalkyldata'!$W$23:$W$27,'2. Kalkyldata'!$C$23:$C$27,'3. Finansiering'!$B34,'2. Kalkyldata'!$R$23:$R$27,'3. Finansiering'!AR$12))</f>
        <v>0</v>
      </c>
      <c r="AS34" s="617">
        <f>IF(AS$29="",0,SUMIFS('2. Kalkyldata'!$W$23:$W$27,'2. Kalkyldata'!$C$23:$C$27,'3. Finansiering'!$B34,'2. Kalkyldata'!$R$23:$R$27,'3. Finansiering'!AS$12))</f>
        <v>0</v>
      </c>
      <c r="AT34" s="617">
        <f>IF(AT$29="",0,SUMIFS('2. Kalkyldata'!$W$23:$W$27,'2. Kalkyldata'!$C$23:$C$27,'3. Finansiering'!$B34,'2. Kalkyldata'!$R$23:$R$27,'3. Finansiering'!AT$12))</f>
        <v>0</v>
      </c>
      <c r="AU34" s="617">
        <f>IF(AU$29="",0,SUMIFS('2. Kalkyldata'!$W$23:$W$27,'2. Kalkyldata'!$C$23:$C$27,'3. Finansiering'!$B34,'2. Kalkyldata'!$R$23:$R$27,'3. Finansiering'!AU$12))</f>
        <v>0</v>
      </c>
      <c r="AV34" s="617">
        <f>IF(AV$29="",0,SUMIFS('2. Kalkyldata'!$W$23:$W$27,'2. Kalkyldata'!$C$23:$C$27,'3. Finansiering'!$B34,'2. Kalkyldata'!$R$23:$R$27,'3. Finansiering'!AV$12))</f>
        <v>0</v>
      </c>
      <c r="AW34" s="617">
        <f>IF(AW$29="",0,SUMIFS('2. Kalkyldata'!$W$23:$W$27,'2. Kalkyldata'!$C$23:$C$27,'3. Finansiering'!$B34,'2. Kalkyldata'!$R$23:$R$27,'3. Finansiering'!AW$12))</f>
        <v>0</v>
      </c>
      <c r="AX34" s="617">
        <f>IF(AX$29="",0,SUMIFS('2. Kalkyldata'!$W$23:$W$27,'2. Kalkyldata'!$C$23:$C$27,'3. Finansiering'!$B34,'2. Kalkyldata'!$R$23:$R$27,'3. Finansiering'!AX$12))</f>
        <v>0</v>
      </c>
      <c r="AY34" s="617">
        <f>IF(AY$29="",0,SUMIFS('2. Kalkyldata'!$W$23:$W$27,'2. Kalkyldata'!$C$23:$C$27,'3. Finansiering'!$B34,'2. Kalkyldata'!$R$23:$R$27,'3. Finansiering'!AY$12))</f>
        <v>0</v>
      </c>
      <c r="AZ34" s="617">
        <f>IF(AZ$29="",0,SUMIFS('2. Kalkyldata'!$W$23:$W$27,'2. Kalkyldata'!$C$23:$C$27,'3. Finansiering'!$B34,'2. Kalkyldata'!$R$23:$R$27,'3. Finansiering'!AZ$12))</f>
        <v>0</v>
      </c>
      <c r="BA34" s="617">
        <f>IF(BA$29="",0,SUMIFS('2. Kalkyldata'!$W$23:$W$27,'2. Kalkyldata'!$C$23:$C$27,'3. Finansiering'!$B34,'2. Kalkyldata'!$R$23:$R$27,'3. Finansiering'!BA$12))</f>
        <v>0</v>
      </c>
      <c r="BB34" s="504"/>
      <c r="BC34" s="523"/>
      <c r="BD34" s="523"/>
      <c r="BE34" s="523"/>
      <c r="BF34" s="523"/>
      <c r="BG34" s="523"/>
      <c r="BH34" s="523"/>
      <c r="BI34" s="523"/>
    </row>
    <row r="35" spans="1:61" outlineLevel="1">
      <c r="A35" s="504"/>
      <c r="B35" s="328">
        <f>'2. Kalkyldata'!C27</f>
        <v>0</v>
      </c>
      <c r="C35" s="504"/>
      <c r="D35" s="617">
        <f>IF(D$29="",0,SUMIFS('2. Kalkyldata'!$W$23:$W$27,'2. Kalkyldata'!$C$23:$C$27,'3. Finansiering'!$B35,'2. Kalkyldata'!$R$23:$R$27,'3. Finansiering'!D$12))</f>
        <v>0</v>
      </c>
      <c r="E35" s="617">
        <f>IF(E$29="",0,SUMIFS('2. Kalkyldata'!$W$23:$W$27,'2. Kalkyldata'!$C$23:$C$27,'3. Finansiering'!$B35,'2. Kalkyldata'!$R$23:$R$27,'3. Finansiering'!E$12))</f>
        <v>0</v>
      </c>
      <c r="F35" s="617">
        <f>IF(F$29="",0,SUMIFS('2. Kalkyldata'!$W$23:$W$27,'2. Kalkyldata'!$C$23:$C$27,'3. Finansiering'!$B35,'2. Kalkyldata'!$R$23:$R$27,'3. Finansiering'!F$12))</f>
        <v>0</v>
      </c>
      <c r="G35" s="617">
        <f>IF(G$29="",0,SUMIFS('2. Kalkyldata'!$W$23:$W$27,'2. Kalkyldata'!$C$23:$C$27,'3. Finansiering'!$B35,'2. Kalkyldata'!$R$23:$R$27,'3. Finansiering'!G$12))</f>
        <v>0</v>
      </c>
      <c r="H35" s="617">
        <f>IF(H$29="",0,SUMIFS('2. Kalkyldata'!$W$23:$W$27,'2. Kalkyldata'!$C$23:$C$27,'3. Finansiering'!$B35,'2. Kalkyldata'!$R$23:$R$27,'3. Finansiering'!H$12))</f>
        <v>0</v>
      </c>
      <c r="I35" s="617">
        <f>IF(I$29="",0,SUMIFS('2. Kalkyldata'!$W$23:$W$27,'2. Kalkyldata'!$C$23:$C$27,'3. Finansiering'!$B35,'2. Kalkyldata'!$R$23:$R$27,'3. Finansiering'!I$12))</f>
        <v>0</v>
      </c>
      <c r="J35" s="617">
        <f>IF(J$29="",0,SUMIFS('2. Kalkyldata'!$W$23:$W$27,'2. Kalkyldata'!$C$23:$C$27,'3. Finansiering'!$B35,'2. Kalkyldata'!$R$23:$R$27,'3. Finansiering'!J$12))</f>
        <v>0</v>
      </c>
      <c r="K35" s="617">
        <f>IF(K$29="",0,SUMIFS('2. Kalkyldata'!$W$23:$W$27,'2. Kalkyldata'!$C$23:$C$27,'3. Finansiering'!$B35,'2. Kalkyldata'!$R$23:$R$27,'3. Finansiering'!K$12))</f>
        <v>0</v>
      </c>
      <c r="L35" s="617">
        <f>IF(L$29="",0,SUMIFS('2. Kalkyldata'!$W$23:$W$27,'2. Kalkyldata'!$C$23:$C$27,'3. Finansiering'!$B35,'2. Kalkyldata'!$R$23:$R$27,'3. Finansiering'!L$12))</f>
        <v>0</v>
      </c>
      <c r="M35" s="617">
        <f>IF(M$29="",0,SUMIFS('2. Kalkyldata'!$W$23:$W$27,'2. Kalkyldata'!$C$23:$C$27,'3. Finansiering'!$B35,'2. Kalkyldata'!$R$23:$R$27,'3. Finansiering'!M$12))</f>
        <v>0</v>
      </c>
      <c r="N35" s="617">
        <f>IF(N$29="",0,SUMIFS('2. Kalkyldata'!$W$23:$W$27,'2. Kalkyldata'!$C$23:$C$27,'3. Finansiering'!$B35,'2. Kalkyldata'!$R$23:$R$27,'3. Finansiering'!N$12))</f>
        <v>0</v>
      </c>
      <c r="O35" s="617">
        <f>IF(O$29="",0,SUMIFS('2. Kalkyldata'!$W$23:$W$27,'2. Kalkyldata'!$C$23:$C$27,'3. Finansiering'!$B35,'2. Kalkyldata'!$R$23:$R$27,'3. Finansiering'!O$12))</f>
        <v>0</v>
      </c>
      <c r="P35" s="617">
        <f>IF(P$29="",0,SUMIFS('2. Kalkyldata'!$W$23:$W$27,'2. Kalkyldata'!$C$23:$C$27,'3. Finansiering'!$B35,'2. Kalkyldata'!$R$23:$R$27,'3. Finansiering'!P$12))</f>
        <v>0</v>
      </c>
      <c r="Q35" s="617">
        <f>IF(Q$29="",0,SUMIFS('2. Kalkyldata'!$W$23:$W$27,'2. Kalkyldata'!$C$23:$C$27,'3. Finansiering'!$B35,'2. Kalkyldata'!$R$23:$R$27,'3. Finansiering'!Q$12))</f>
        <v>0</v>
      </c>
      <c r="R35" s="617">
        <f>IF(R$29="",0,SUMIFS('2. Kalkyldata'!$W$23:$W$27,'2. Kalkyldata'!$C$23:$C$27,'3. Finansiering'!$B35,'2. Kalkyldata'!$R$23:$R$27,'3. Finansiering'!R$12))</f>
        <v>0</v>
      </c>
      <c r="S35" s="617">
        <f>IF(S$29="",0,SUMIFS('2. Kalkyldata'!$W$23:$W$27,'2. Kalkyldata'!$C$23:$C$27,'3. Finansiering'!$B35,'2. Kalkyldata'!$R$23:$R$27,'3. Finansiering'!S$12))</f>
        <v>0</v>
      </c>
      <c r="T35" s="617">
        <f>IF(T$29="",0,SUMIFS('2. Kalkyldata'!$W$23:$W$27,'2. Kalkyldata'!$C$23:$C$27,'3. Finansiering'!$B35,'2. Kalkyldata'!$R$23:$R$27,'3. Finansiering'!T$12))</f>
        <v>0</v>
      </c>
      <c r="U35" s="617">
        <f>IF(U$29="",0,SUMIFS('2. Kalkyldata'!$W$23:$W$27,'2. Kalkyldata'!$C$23:$C$27,'3. Finansiering'!$B35,'2. Kalkyldata'!$R$23:$R$27,'3. Finansiering'!U$12))</f>
        <v>0</v>
      </c>
      <c r="V35" s="617">
        <f>IF(V$29="",0,SUMIFS('2. Kalkyldata'!$W$23:$W$27,'2. Kalkyldata'!$C$23:$C$27,'3. Finansiering'!$B35,'2. Kalkyldata'!$R$23:$R$27,'3. Finansiering'!V$12))</f>
        <v>0</v>
      </c>
      <c r="W35" s="617">
        <f>IF(W$29="",0,SUMIFS('2. Kalkyldata'!$W$23:$W$27,'2. Kalkyldata'!$C$23:$C$27,'3. Finansiering'!$B35,'2. Kalkyldata'!$R$23:$R$27,'3. Finansiering'!W$12))</f>
        <v>0</v>
      </c>
      <c r="X35" s="617">
        <f>IF(X$29="",0,SUMIFS('2. Kalkyldata'!$W$23:$W$27,'2. Kalkyldata'!$C$23:$C$27,'3. Finansiering'!$B35,'2. Kalkyldata'!$R$23:$R$27,'3. Finansiering'!X$12))</f>
        <v>0</v>
      </c>
      <c r="Y35" s="617">
        <f>IF(Y$29="",0,SUMIFS('2. Kalkyldata'!$W$23:$W$27,'2. Kalkyldata'!$C$23:$C$27,'3. Finansiering'!$B35,'2. Kalkyldata'!$R$23:$R$27,'3. Finansiering'!Y$12))</f>
        <v>0</v>
      </c>
      <c r="Z35" s="617">
        <f>IF(Z$29="",0,SUMIFS('2. Kalkyldata'!$W$23:$W$27,'2. Kalkyldata'!$C$23:$C$27,'3. Finansiering'!$B35,'2. Kalkyldata'!$R$23:$R$27,'3. Finansiering'!Z$12))</f>
        <v>0</v>
      </c>
      <c r="AA35" s="617">
        <f>IF(AA$29="",0,SUMIFS('2. Kalkyldata'!$W$23:$W$27,'2. Kalkyldata'!$C$23:$C$27,'3. Finansiering'!$B35,'2. Kalkyldata'!$R$23:$R$27,'3. Finansiering'!AA$12))</f>
        <v>0</v>
      </c>
      <c r="AB35" s="617">
        <f>IF(AB$29="",0,SUMIFS('2. Kalkyldata'!$W$23:$W$27,'2. Kalkyldata'!$C$23:$C$27,'3. Finansiering'!$B35,'2. Kalkyldata'!$R$23:$R$27,'3. Finansiering'!AB$12))</f>
        <v>0</v>
      </c>
      <c r="AC35" s="617">
        <f>IF(AC$29="",0,SUMIFS('2. Kalkyldata'!$W$23:$W$27,'2. Kalkyldata'!$C$23:$C$27,'3. Finansiering'!$B35,'2. Kalkyldata'!$R$23:$R$27,'3. Finansiering'!AC$12))</f>
        <v>0</v>
      </c>
      <c r="AD35" s="617">
        <f>IF(AD$29="",0,SUMIFS('2. Kalkyldata'!$W$23:$W$27,'2. Kalkyldata'!$C$23:$C$27,'3. Finansiering'!$B35,'2. Kalkyldata'!$R$23:$R$27,'3. Finansiering'!AD$12))</f>
        <v>0</v>
      </c>
      <c r="AE35" s="617">
        <f>IF(AE$29="",0,SUMIFS('2. Kalkyldata'!$W$23:$W$27,'2. Kalkyldata'!$C$23:$C$27,'3. Finansiering'!$B35,'2. Kalkyldata'!$R$23:$R$27,'3. Finansiering'!AE$12))</f>
        <v>0</v>
      </c>
      <c r="AF35" s="617">
        <f>IF(AF$29="",0,SUMIFS('2. Kalkyldata'!$W$23:$W$27,'2. Kalkyldata'!$C$23:$C$27,'3. Finansiering'!$B35,'2. Kalkyldata'!$R$23:$R$27,'3. Finansiering'!AF$12))</f>
        <v>0</v>
      </c>
      <c r="AG35" s="617">
        <f>IF(AG$29="",0,SUMIFS('2. Kalkyldata'!$W$23:$W$27,'2. Kalkyldata'!$C$23:$C$27,'3. Finansiering'!$B35,'2. Kalkyldata'!$R$23:$R$27,'3. Finansiering'!AG$12))</f>
        <v>0</v>
      </c>
      <c r="AH35" s="617">
        <f>IF(AH$29="",0,SUMIFS('2. Kalkyldata'!$W$23:$W$27,'2. Kalkyldata'!$C$23:$C$27,'3. Finansiering'!$B35,'2. Kalkyldata'!$R$23:$R$27,'3. Finansiering'!AH$12))</f>
        <v>0</v>
      </c>
      <c r="AI35" s="617">
        <f>IF(AI$29="",0,SUMIFS('2. Kalkyldata'!$W$23:$W$27,'2. Kalkyldata'!$C$23:$C$27,'3. Finansiering'!$B35,'2. Kalkyldata'!$R$23:$R$27,'3. Finansiering'!AI$12))</f>
        <v>0</v>
      </c>
      <c r="AJ35" s="617">
        <f>IF(AJ$29="",0,SUMIFS('2. Kalkyldata'!$W$23:$W$27,'2. Kalkyldata'!$C$23:$C$27,'3. Finansiering'!$B35,'2. Kalkyldata'!$R$23:$R$27,'3. Finansiering'!AJ$12))</f>
        <v>0</v>
      </c>
      <c r="AK35" s="617">
        <f>IF(AK$29="",0,SUMIFS('2. Kalkyldata'!$W$23:$W$27,'2. Kalkyldata'!$C$23:$C$27,'3. Finansiering'!$B35,'2. Kalkyldata'!$R$23:$R$27,'3. Finansiering'!AK$12))</f>
        <v>0</v>
      </c>
      <c r="AL35" s="617">
        <f>IF(AL$29="",0,SUMIFS('2. Kalkyldata'!$W$23:$W$27,'2. Kalkyldata'!$C$23:$C$27,'3. Finansiering'!$B35,'2. Kalkyldata'!$R$23:$R$27,'3. Finansiering'!AL$12))</f>
        <v>0</v>
      </c>
      <c r="AM35" s="617">
        <f>IF(AM$29="",0,SUMIFS('2. Kalkyldata'!$W$23:$W$27,'2. Kalkyldata'!$C$23:$C$27,'3. Finansiering'!$B35,'2. Kalkyldata'!$R$23:$R$27,'3. Finansiering'!AM$12))</f>
        <v>0</v>
      </c>
      <c r="AN35" s="617">
        <f>IF(AN$29="",0,SUMIFS('2. Kalkyldata'!$W$23:$W$27,'2. Kalkyldata'!$C$23:$C$27,'3. Finansiering'!$B35,'2. Kalkyldata'!$R$23:$R$27,'3. Finansiering'!AN$12))</f>
        <v>0</v>
      </c>
      <c r="AO35" s="617">
        <f>IF(AO$29="",0,SUMIFS('2. Kalkyldata'!$W$23:$W$27,'2. Kalkyldata'!$C$23:$C$27,'3. Finansiering'!$B35,'2. Kalkyldata'!$R$23:$R$27,'3. Finansiering'!AO$12))</f>
        <v>0</v>
      </c>
      <c r="AP35" s="617">
        <f>IF(AP$29="",0,SUMIFS('2. Kalkyldata'!$W$23:$W$27,'2. Kalkyldata'!$C$23:$C$27,'3. Finansiering'!$B35,'2. Kalkyldata'!$R$23:$R$27,'3. Finansiering'!AP$12))</f>
        <v>0</v>
      </c>
      <c r="AQ35" s="617">
        <f>IF(AQ$29="",0,SUMIFS('2. Kalkyldata'!$W$23:$W$27,'2. Kalkyldata'!$C$23:$C$27,'3. Finansiering'!$B35,'2. Kalkyldata'!$R$23:$R$27,'3. Finansiering'!AQ$12))</f>
        <v>0</v>
      </c>
      <c r="AR35" s="617">
        <f>IF(AR$29="",0,SUMIFS('2. Kalkyldata'!$W$23:$W$27,'2. Kalkyldata'!$C$23:$C$27,'3. Finansiering'!$B35,'2. Kalkyldata'!$R$23:$R$27,'3. Finansiering'!AR$12))</f>
        <v>0</v>
      </c>
      <c r="AS35" s="617">
        <f>IF(AS$29="",0,SUMIFS('2. Kalkyldata'!$W$23:$W$27,'2. Kalkyldata'!$C$23:$C$27,'3. Finansiering'!$B35,'2. Kalkyldata'!$R$23:$R$27,'3. Finansiering'!AS$12))</f>
        <v>0</v>
      </c>
      <c r="AT35" s="617">
        <f>IF(AT$29="",0,SUMIFS('2. Kalkyldata'!$W$23:$W$27,'2. Kalkyldata'!$C$23:$C$27,'3. Finansiering'!$B35,'2. Kalkyldata'!$R$23:$R$27,'3. Finansiering'!AT$12))</f>
        <v>0</v>
      </c>
      <c r="AU35" s="617">
        <f>IF(AU$29="",0,SUMIFS('2. Kalkyldata'!$W$23:$W$27,'2. Kalkyldata'!$C$23:$C$27,'3. Finansiering'!$B35,'2. Kalkyldata'!$R$23:$R$27,'3. Finansiering'!AU$12))</f>
        <v>0</v>
      </c>
      <c r="AV35" s="617">
        <f>IF(AV$29="",0,SUMIFS('2. Kalkyldata'!$W$23:$W$27,'2. Kalkyldata'!$C$23:$C$27,'3. Finansiering'!$B35,'2. Kalkyldata'!$R$23:$R$27,'3. Finansiering'!AV$12))</f>
        <v>0</v>
      </c>
      <c r="AW35" s="617">
        <f>IF(AW$29="",0,SUMIFS('2. Kalkyldata'!$W$23:$W$27,'2. Kalkyldata'!$C$23:$C$27,'3. Finansiering'!$B35,'2. Kalkyldata'!$R$23:$R$27,'3. Finansiering'!AW$12))</f>
        <v>0</v>
      </c>
      <c r="AX35" s="617">
        <f>IF(AX$29="",0,SUMIFS('2. Kalkyldata'!$W$23:$W$27,'2. Kalkyldata'!$C$23:$C$27,'3. Finansiering'!$B35,'2. Kalkyldata'!$R$23:$R$27,'3. Finansiering'!AX$12))</f>
        <v>0</v>
      </c>
      <c r="AY35" s="617">
        <f>IF(AY$29="",0,SUMIFS('2. Kalkyldata'!$W$23:$W$27,'2. Kalkyldata'!$C$23:$C$27,'3. Finansiering'!$B35,'2. Kalkyldata'!$R$23:$R$27,'3. Finansiering'!AY$12))</f>
        <v>0</v>
      </c>
      <c r="AZ35" s="617">
        <f>IF(AZ$29="",0,SUMIFS('2. Kalkyldata'!$W$23:$W$27,'2. Kalkyldata'!$C$23:$C$27,'3. Finansiering'!$B35,'2. Kalkyldata'!$R$23:$R$27,'3. Finansiering'!AZ$12))</f>
        <v>0</v>
      </c>
      <c r="BA35" s="617">
        <f>IF(BA$29="",0,SUMIFS('2. Kalkyldata'!$W$23:$W$27,'2. Kalkyldata'!$C$23:$C$27,'3. Finansiering'!$B35,'2. Kalkyldata'!$R$23:$R$27,'3. Finansiering'!BA$12))</f>
        <v>0</v>
      </c>
      <c r="BB35" s="504"/>
      <c r="BC35" s="523"/>
      <c r="BD35" s="523"/>
      <c r="BE35" s="523"/>
      <c r="BF35" s="523"/>
      <c r="BG35" s="523"/>
      <c r="BH35" s="523"/>
      <c r="BI35" s="523"/>
    </row>
    <row r="36" spans="1:61" outlineLevel="1">
      <c r="A36" s="504"/>
      <c r="B36" s="328" t="s">
        <v>219</v>
      </c>
      <c r="C36" s="504"/>
      <c r="D36" s="617">
        <f>IF(D$29="",0,SUMIFS('2. Kalkyldata'!$W$23:$W$27,'2. Kalkyldata'!$C$23:$C$27,'3. Finansiering'!$B36,'2. Kalkyldata'!$R$23:$R$27,'3. Finansiering'!D$12))</f>
        <v>0</v>
      </c>
      <c r="E36" s="617">
        <f>IF(E$29="",0,SUMIFS('2. Kalkyldata'!$W$23:$W$27,'2. Kalkyldata'!$C$23:$C$27,'3. Finansiering'!$B36,'2. Kalkyldata'!$R$23:$R$27,'3. Finansiering'!E$12))</f>
        <v>0</v>
      </c>
      <c r="F36" s="617">
        <f>IF(F$29="",0,SUMIFS('2. Kalkyldata'!$W$23:$W$27,'2. Kalkyldata'!$C$23:$C$27,'3. Finansiering'!$B36,'2. Kalkyldata'!$R$23:$R$27,'3. Finansiering'!F$12))</f>
        <v>0</v>
      </c>
      <c r="G36" s="617">
        <f>IF(G$29="",0,SUMIFS('2. Kalkyldata'!$W$23:$W$27,'2. Kalkyldata'!$C$23:$C$27,'3. Finansiering'!$B36,'2. Kalkyldata'!$R$23:$R$27,'3. Finansiering'!G$12))</f>
        <v>0</v>
      </c>
      <c r="H36" s="617">
        <f>IF(H$29="",0,SUMIFS('2. Kalkyldata'!$W$23:$W$27,'2. Kalkyldata'!$C$23:$C$27,'3. Finansiering'!$B36,'2. Kalkyldata'!$R$23:$R$27,'3. Finansiering'!H$12))</f>
        <v>0</v>
      </c>
      <c r="I36" s="617">
        <f>IF(I$29="",0,SUMIFS('2. Kalkyldata'!$W$23:$W$27,'2. Kalkyldata'!$C$23:$C$27,'3. Finansiering'!$B36,'2. Kalkyldata'!$R$23:$R$27,'3. Finansiering'!I$12))</f>
        <v>0</v>
      </c>
      <c r="J36" s="617">
        <f>IF(J$29="",0,SUMIFS('2. Kalkyldata'!$W$23:$W$27,'2. Kalkyldata'!$C$23:$C$27,'3. Finansiering'!$B36,'2. Kalkyldata'!$R$23:$R$27,'3. Finansiering'!J$12))</f>
        <v>0</v>
      </c>
      <c r="K36" s="617">
        <f>IF(K$29="",0,SUMIFS('2. Kalkyldata'!$W$23:$W$27,'2. Kalkyldata'!$C$23:$C$27,'3. Finansiering'!$B36,'2. Kalkyldata'!$R$23:$R$27,'3. Finansiering'!K$12))</f>
        <v>0</v>
      </c>
      <c r="L36" s="617">
        <f>IF(L$29="",0,SUMIFS('2. Kalkyldata'!$W$23:$W$27,'2. Kalkyldata'!$C$23:$C$27,'3. Finansiering'!$B36,'2. Kalkyldata'!$R$23:$R$27,'3. Finansiering'!L$12))</f>
        <v>0</v>
      </c>
      <c r="M36" s="617">
        <f>IF(M$29="",0,SUMIFS('2. Kalkyldata'!$W$23:$W$27,'2. Kalkyldata'!$C$23:$C$27,'3. Finansiering'!$B36,'2. Kalkyldata'!$R$23:$R$27,'3. Finansiering'!M$12))</f>
        <v>0</v>
      </c>
      <c r="N36" s="617">
        <f>IF(N$29="",0,SUMIFS('2. Kalkyldata'!$W$23:$W$27,'2. Kalkyldata'!$C$23:$C$27,'3. Finansiering'!$B36,'2. Kalkyldata'!$R$23:$R$27,'3. Finansiering'!N$12))</f>
        <v>0</v>
      </c>
      <c r="O36" s="617">
        <f>IF(O$29="",0,SUMIFS('2. Kalkyldata'!$W$23:$W$27,'2. Kalkyldata'!$C$23:$C$27,'3. Finansiering'!$B36,'2. Kalkyldata'!$R$23:$R$27,'3. Finansiering'!O$12))</f>
        <v>0</v>
      </c>
      <c r="P36" s="617">
        <f>IF(P$29="",0,SUMIFS('2. Kalkyldata'!$W$23:$W$27,'2. Kalkyldata'!$C$23:$C$27,'3. Finansiering'!$B36,'2. Kalkyldata'!$R$23:$R$27,'3. Finansiering'!P$12))</f>
        <v>0</v>
      </c>
      <c r="Q36" s="617">
        <f>IF(Q$29="",0,SUMIFS('2. Kalkyldata'!$W$23:$W$27,'2. Kalkyldata'!$C$23:$C$27,'3. Finansiering'!$B36,'2. Kalkyldata'!$R$23:$R$27,'3. Finansiering'!Q$12))</f>
        <v>0</v>
      </c>
      <c r="R36" s="617">
        <f>IF(R$29="",0,SUMIFS('2. Kalkyldata'!$W$23:$W$27,'2. Kalkyldata'!$C$23:$C$27,'3. Finansiering'!$B36,'2. Kalkyldata'!$R$23:$R$27,'3. Finansiering'!R$12))</f>
        <v>0</v>
      </c>
      <c r="S36" s="617">
        <f>IF(S$29="",0,SUMIFS('2. Kalkyldata'!$W$23:$W$27,'2. Kalkyldata'!$C$23:$C$27,'3. Finansiering'!$B36,'2. Kalkyldata'!$R$23:$R$27,'3. Finansiering'!S$12))</f>
        <v>0</v>
      </c>
      <c r="T36" s="617">
        <f>IF(T$29="",0,SUMIFS('2. Kalkyldata'!$W$23:$W$27,'2. Kalkyldata'!$C$23:$C$27,'3. Finansiering'!$B36,'2. Kalkyldata'!$R$23:$R$27,'3. Finansiering'!T$12))</f>
        <v>0</v>
      </c>
      <c r="U36" s="617">
        <f>IF(U$29="",0,SUMIFS('2. Kalkyldata'!$W$23:$W$27,'2. Kalkyldata'!$C$23:$C$27,'3. Finansiering'!$B36,'2. Kalkyldata'!$R$23:$R$27,'3. Finansiering'!U$12))</f>
        <v>0</v>
      </c>
      <c r="V36" s="617">
        <f>IF(V$29="",0,SUMIFS('2. Kalkyldata'!$W$23:$W$27,'2. Kalkyldata'!$C$23:$C$27,'3. Finansiering'!$B36,'2. Kalkyldata'!$R$23:$R$27,'3. Finansiering'!V$12))</f>
        <v>0</v>
      </c>
      <c r="W36" s="617">
        <f>IF(W$29="",0,SUMIFS('2. Kalkyldata'!$W$23:$W$27,'2. Kalkyldata'!$C$23:$C$27,'3. Finansiering'!$B36,'2. Kalkyldata'!$R$23:$R$27,'3. Finansiering'!W$12))</f>
        <v>0</v>
      </c>
      <c r="X36" s="617">
        <f>IF(X$29="",0,SUMIFS('2. Kalkyldata'!$W$23:$W$27,'2. Kalkyldata'!$C$23:$C$27,'3. Finansiering'!$B36,'2. Kalkyldata'!$R$23:$R$27,'3. Finansiering'!X$12))</f>
        <v>0</v>
      </c>
      <c r="Y36" s="617">
        <f>IF(Y$29="",0,SUMIFS('2. Kalkyldata'!$W$23:$W$27,'2. Kalkyldata'!$C$23:$C$27,'3. Finansiering'!$B36,'2. Kalkyldata'!$R$23:$R$27,'3. Finansiering'!Y$12))</f>
        <v>0</v>
      </c>
      <c r="Z36" s="617">
        <f>IF(Z$29="",0,SUMIFS('2. Kalkyldata'!$W$23:$W$27,'2. Kalkyldata'!$C$23:$C$27,'3. Finansiering'!$B36,'2. Kalkyldata'!$R$23:$R$27,'3. Finansiering'!Z$12))</f>
        <v>0</v>
      </c>
      <c r="AA36" s="617">
        <f>IF(AA$29="",0,SUMIFS('2. Kalkyldata'!$W$23:$W$27,'2. Kalkyldata'!$C$23:$C$27,'3. Finansiering'!$B36,'2. Kalkyldata'!$R$23:$R$27,'3. Finansiering'!AA$12))</f>
        <v>0</v>
      </c>
      <c r="AB36" s="617">
        <f>IF(AB$29="",0,SUMIFS('2. Kalkyldata'!$W$23:$W$27,'2. Kalkyldata'!$C$23:$C$27,'3. Finansiering'!$B36,'2. Kalkyldata'!$R$23:$R$27,'3. Finansiering'!AB$12))</f>
        <v>0</v>
      </c>
      <c r="AC36" s="617">
        <f>IF(AC$29="",0,SUMIFS('2. Kalkyldata'!$W$23:$W$27,'2. Kalkyldata'!$C$23:$C$27,'3. Finansiering'!$B36,'2. Kalkyldata'!$R$23:$R$27,'3. Finansiering'!AC$12))</f>
        <v>0</v>
      </c>
      <c r="AD36" s="617">
        <f>IF(AD$29="",0,SUMIFS('2. Kalkyldata'!$W$23:$W$27,'2. Kalkyldata'!$C$23:$C$27,'3. Finansiering'!$B36,'2. Kalkyldata'!$R$23:$R$27,'3. Finansiering'!AD$12))</f>
        <v>0</v>
      </c>
      <c r="AE36" s="617">
        <f>IF(AE$29="",0,SUMIFS('2. Kalkyldata'!$W$23:$W$27,'2. Kalkyldata'!$C$23:$C$27,'3. Finansiering'!$B36,'2. Kalkyldata'!$R$23:$R$27,'3. Finansiering'!AE$12))</f>
        <v>0</v>
      </c>
      <c r="AF36" s="617">
        <f>IF(AF$29="",0,SUMIFS('2. Kalkyldata'!$W$23:$W$27,'2. Kalkyldata'!$C$23:$C$27,'3. Finansiering'!$B36,'2. Kalkyldata'!$R$23:$R$27,'3. Finansiering'!AF$12))</f>
        <v>0</v>
      </c>
      <c r="AG36" s="617">
        <f>IF(AG$29="",0,SUMIFS('2. Kalkyldata'!$W$23:$W$27,'2. Kalkyldata'!$C$23:$C$27,'3. Finansiering'!$B36,'2. Kalkyldata'!$R$23:$R$27,'3. Finansiering'!AG$12))</f>
        <v>0</v>
      </c>
      <c r="AH36" s="617">
        <f>IF(AH$29="",0,SUMIFS('2. Kalkyldata'!$W$23:$W$27,'2. Kalkyldata'!$C$23:$C$27,'3. Finansiering'!$B36,'2. Kalkyldata'!$R$23:$R$27,'3. Finansiering'!AH$12))</f>
        <v>0</v>
      </c>
      <c r="AI36" s="617">
        <f>IF(AI$29="",0,SUMIFS('2. Kalkyldata'!$W$23:$W$27,'2. Kalkyldata'!$C$23:$C$27,'3. Finansiering'!$B36,'2. Kalkyldata'!$R$23:$R$27,'3. Finansiering'!AI$12))</f>
        <v>0</v>
      </c>
      <c r="AJ36" s="617">
        <f>IF(AJ$29="",0,SUMIFS('2. Kalkyldata'!$W$23:$W$27,'2. Kalkyldata'!$C$23:$C$27,'3. Finansiering'!$B36,'2. Kalkyldata'!$R$23:$R$27,'3. Finansiering'!AJ$12))</f>
        <v>0</v>
      </c>
      <c r="AK36" s="617">
        <f>IF(AK$29="",0,SUMIFS('2. Kalkyldata'!$W$23:$W$27,'2. Kalkyldata'!$C$23:$C$27,'3. Finansiering'!$B36,'2. Kalkyldata'!$R$23:$R$27,'3. Finansiering'!AK$12))</f>
        <v>0</v>
      </c>
      <c r="AL36" s="617">
        <f>IF(AL$29="",0,SUMIFS('2. Kalkyldata'!$W$23:$W$27,'2. Kalkyldata'!$C$23:$C$27,'3. Finansiering'!$B36,'2. Kalkyldata'!$R$23:$R$27,'3. Finansiering'!AL$12))</f>
        <v>0</v>
      </c>
      <c r="AM36" s="617">
        <f>IF(AM$29="",0,SUMIFS('2. Kalkyldata'!$W$23:$W$27,'2. Kalkyldata'!$C$23:$C$27,'3. Finansiering'!$B36,'2. Kalkyldata'!$R$23:$R$27,'3. Finansiering'!AM$12))</f>
        <v>0</v>
      </c>
      <c r="AN36" s="617">
        <f>IF(AN$29="",0,SUMIFS('2. Kalkyldata'!$W$23:$W$27,'2. Kalkyldata'!$C$23:$C$27,'3. Finansiering'!$B36,'2. Kalkyldata'!$R$23:$R$27,'3. Finansiering'!AN$12))</f>
        <v>0</v>
      </c>
      <c r="AO36" s="617">
        <f>IF(AO$29="",0,SUMIFS('2. Kalkyldata'!$W$23:$W$27,'2. Kalkyldata'!$C$23:$C$27,'3. Finansiering'!$B36,'2. Kalkyldata'!$R$23:$R$27,'3. Finansiering'!AO$12))</f>
        <v>0</v>
      </c>
      <c r="AP36" s="617">
        <f>IF(AP$29="",0,SUMIFS('2. Kalkyldata'!$W$23:$W$27,'2. Kalkyldata'!$C$23:$C$27,'3. Finansiering'!$B36,'2. Kalkyldata'!$R$23:$R$27,'3. Finansiering'!AP$12))</f>
        <v>0</v>
      </c>
      <c r="AQ36" s="617">
        <f>IF(AQ$29="",0,SUMIFS('2. Kalkyldata'!$W$23:$W$27,'2. Kalkyldata'!$C$23:$C$27,'3. Finansiering'!$B36,'2. Kalkyldata'!$R$23:$R$27,'3. Finansiering'!AQ$12))</f>
        <v>0</v>
      </c>
      <c r="AR36" s="617">
        <f>IF(AR$29="",0,SUMIFS('2. Kalkyldata'!$W$23:$W$27,'2. Kalkyldata'!$C$23:$C$27,'3. Finansiering'!$B36,'2. Kalkyldata'!$R$23:$R$27,'3. Finansiering'!AR$12))</f>
        <v>0</v>
      </c>
      <c r="AS36" s="617">
        <f>IF(AS$29="",0,SUMIFS('2. Kalkyldata'!$W$23:$W$27,'2. Kalkyldata'!$C$23:$C$27,'3. Finansiering'!$B36,'2. Kalkyldata'!$R$23:$R$27,'3. Finansiering'!AS$12))</f>
        <v>0</v>
      </c>
      <c r="AT36" s="617">
        <f>IF(AT$29="",0,SUMIFS('2. Kalkyldata'!$W$23:$W$27,'2. Kalkyldata'!$C$23:$C$27,'3. Finansiering'!$B36,'2. Kalkyldata'!$R$23:$R$27,'3. Finansiering'!AT$12))</f>
        <v>0</v>
      </c>
      <c r="AU36" s="617">
        <f>IF(AU$29="",0,SUMIFS('2. Kalkyldata'!$W$23:$W$27,'2. Kalkyldata'!$C$23:$C$27,'3. Finansiering'!$B36,'2. Kalkyldata'!$R$23:$R$27,'3. Finansiering'!AU$12))</f>
        <v>0</v>
      </c>
      <c r="AV36" s="617">
        <f>IF(AV$29="",0,SUMIFS('2. Kalkyldata'!$W$23:$W$27,'2. Kalkyldata'!$C$23:$C$27,'3. Finansiering'!$B36,'2. Kalkyldata'!$R$23:$R$27,'3. Finansiering'!AV$12))</f>
        <v>0</v>
      </c>
      <c r="AW36" s="617">
        <f>IF(AW$29="",0,SUMIFS('2. Kalkyldata'!$W$23:$W$27,'2. Kalkyldata'!$C$23:$C$27,'3. Finansiering'!$B36,'2. Kalkyldata'!$R$23:$R$27,'3. Finansiering'!AW$12))</f>
        <v>0</v>
      </c>
      <c r="AX36" s="617">
        <f>IF(AX$29="",0,SUMIFS('2. Kalkyldata'!$W$23:$W$27,'2. Kalkyldata'!$C$23:$C$27,'3. Finansiering'!$B36,'2. Kalkyldata'!$R$23:$R$27,'3. Finansiering'!AX$12))</f>
        <v>0</v>
      </c>
      <c r="AY36" s="617">
        <f>IF(AY$29="",0,SUMIFS('2. Kalkyldata'!$W$23:$W$27,'2. Kalkyldata'!$C$23:$C$27,'3. Finansiering'!$B36,'2. Kalkyldata'!$R$23:$R$27,'3. Finansiering'!AY$12))</f>
        <v>0</v>
      </c>
      <c r="AZ36" s="617">
        <f>IF(AZ$29="",0,SUMIFS('2. Kalkyldata'!$W$23:$W$27,'2. Kalkyldata'!$C$23:$C$27,'3. Finansiering'!$B36,'2. Kalkyldata'!$R$23:$R$27,'3. Finansiering'!AZ$12))</f>
        <v>0</v>
      </c>
      <c r="BA36" s="617">
        <f>IF(BA$29="",0,SUMIFS('2. Kalkyldata'!$W$23:$W$27,'2. Kalkyldata'!$C$23:$C$27,'3. Finansiering'!$B36,'2. Kalkyldata'!$R$23:$R$27,'3. Finansiering'!BA$12))</f>
        <v>0</v>
      </c>
      <c r="BB36" s="504"/>
      <c r="BC36" s="523"/>
      <c r="BD36" s="523"/>
      <c r="BE36" s="523"/>
      <c r="BF36" s="523"/>
      <c r="BG36" s="523"/>
      <c r="BH36" s="523"/>
      <c r="BI36" s="523"/>
    </row>
    <row r="37" spans="1:61" s="115" customFormat="1" ht="15">
      <c r="A37" s="19"/>
      <c r="B37" s="327"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4"/>
      <c r="B38" s="159"/>
      <c r="C38" s="504"/>
      <c r="D38" s="504"/>
      <c r="E38" s="504"/>
      <c r="F38" s="504"/>
      <c r="G38" s="504"/>
      <c r="H38" s="504"/>
      <c r="I38" s="504"/>
      <c r="J38" s="504"/>
      <c r="K38" s="504"/>
      <c r="L38" s="504"/>
      <c r="M38" s="504"/>
      <c r="N38" s="504"/>
      <c r="O38" s="504"/>
      <c r="P38" s="504"/>
      <c r="Q38" s="504"/>
      <c r="R38" s="504"/>
      <c r="S38" s="504"/>
      <c r="T38" s="504"/>
      <c r="U38" s="504"/>
      <c r="V38" s="504"/>
      <c r="W38" s="504"/>
      <c r="X38" s="504"/>
      <c r="Y38" s="504"/>
      <c r="Z38" s="504"/>
      <c r="AA38" s="504"/>
      <c r="AB38" s="504"/>
      <c r="AC38" s="504"/>
      <c r="AD38" s="504"/>
      <c r="AE38" s="504"/>
      <c r="AF38" s="504"/>
      <c r="AG38" s="504"/>
      <c r="AH38" s="504"/>
      <c r="AI38" s="504"/>
      <c r="AJ38" s="504"/>
      <c r="AK38" s="504"/>
      <c r="AL38" s="504"/>
      <c r="AM38" s="504"/>
      <c r="AN38" s="504"/>
      <c r="AO38" s="504"/>
      <c r="AP38" s="504"/>
      <c r="AQ38" s="504"/>
      <c r="AR38" s="504"/>
      <c r="AS38" s="504"/>
      <c r="AT38" s="504"/>
      <c r="AU38" s="504"/>
      <c r="AV38" s="504"/>
      <c r="AW38" s="504"/>
      <c r="AX38" s="504"/>
      <c r="AY38" s="504"/>
      <c r="AZ38" s="504"/>
      <c r="BA38" s="504"/>
      <c r="BB38" s="504"/>
      <c r="BC38" s="523"/>
      <c r="BD38" s="523"/>
      <c r="BE38" s="523"/>
      <c r="BF38" s="523"/>
      <c r="BG38" s="523"/>
      <c r="BH38" s="523"/>
      <c r="BI38" s="523"/>
    </row>
    <row r="39" spans="1:61" ht="15">
      <c r="A39" s="504"/>
      <c r="B39" s="327" t="s">
        <v>220</v>
      </c>
      <c r="C39" s="504"/>
      <c r="D39" s="504"/>
      <c r="E39" s="504"/>
      <c r="F39" s="504"/>
      <c r="G39" s="504"/>
      <c r="H39" s="504"/>
      <c r="I39" s="504"/>
      <c r="J39" s="504"/>
      <c r="K39" s="504"/>
      <c r="L39" s="504"/>
      <c r="M39" s="504"/>
      <c r="N39" s="504"/>
      <c r="O39" s="504"/>
      <c r="P39" s="504"/>
      <c r="Q39" s="504"/>
      <c r="R39" s="504"/>
      <c r="S39" s="504"/>
      <c r="T39" s="504"/>
      <c r="U39" s="504"/>
      <c r="V39" s="504"/>
      <c r="W39" s="504"/>
      <c r="X39" s="504"/>
      <c r="Y39" s="504"/>
      <c r="Z39" s="504"/>
      <c r="AA39" s="504"/>
      <c r="AB39" s="504"/>
      <c r="AC39" s="504"/>
      <c r="AD39" s="504"/>
      <c r="AE39" s="504"/>
      <c r="AF39" s="504"/>
      <c r="AG39" s="504"/>
      <c r="AH39" s="504"/>
      <c r="AI39" s="504"/>
      <c r="AJ39" s="504"/>
      <c r="AK39" s="504"/>
      <c r="AL39" s="504"/>
      <c r="AM39" s="504"/>
      <c r="AN39" s="504"/>
      <c r="AO39" s="504"/>
      <c r="AP39" s="504"/>
      <c r="AQ39" s="504"/>
      <c r="AR39" s="504"/>
      <c r="AS39" s="504"/>
      <c r="AT39" s="504"/>
      <c r="AU39" s="504"/>
      <c r="AV39" s="504"/>
      <c r="AW39" s="504"/>
      <c r="AX39" s="504"/>
      <c r="AY39" s="504"/>
      <c r="AZ39" s="504"/>
      <c r="BA39" s="504"/>
      <c r="BB39" s="504"/>
      <c r="BC39" s="523"/>
      <c r="BD39" s="523"/>
      <c r="BE39" s="523"/>
      <c r="BF39" s="523"/>
      <c r="BG39" s="523"/>
      <c r="BH39" s="523"/>
      <c r="BI39" s="523"/>
    </row>
    <row r="40" spans="1:61" hidden="1" outlineLevel="1">
      <c r="A40" s="504"/>
      <c r="B40" s="328" t="s">
        <v>221</v>
      </c>
      <c r="C40" s="504"/>
      <c r="D40" s="617">
        <f>-D30/'2. Kalkyldata'!$P$18</f>
        <v>0</v>
      </c>
      <c r="E40" s="617">
        <f>-E30/'2. Kalkyldata'!$P$18</f>
        <v>0</v>
      </c>
      <c r="F40" s="617">
        <f>-F30/'2. Kalkyldata'!$P$18</f>
        <v>0</v>
      </c>
      <c r="G40" s="617">
        <f>-G30/'2. Kalkyldata'!$P$18</f>
        <v>0</v>
      </c>
      <c r="H40" s="617">
        <f>-H30/'2. Kalkyldata'!$P$18</f>
        <v>0</v>
      </c>
      <c r="I40" s="617">
        <f>-I30/'2. Kalkyldata'!$P$18</f>
        <v>0</v>
      </c>
      <c r="J40" s="617">
        <f>-J30/'2. Kalkyldata'!$P$18</f>
        <v>0</v>
      </c>
      <c r="K40" s="617">
        <f>-K30/'2. Kalkyldata'!$P$18</f>
        <v>0</v>
      </c>
      <c r="L40" s="617">
        <f>-L30/'2. Kalkyldata'!$P$18</f>
        <v>0</v>
      </c>
      <c r="M40" s="617">
        <f>-M30/'2. Kalkyldata'!$P$18</f>
        <v>0</v>
      </c>
      <c r="N40" s="617">
        <f>-N30/'2. Kalkyldata'!$P$18</f>
        <v>0</v>
      </c>
      <c r="O40" s="617">
        <f>-O30/'2. Kalkyldata'!$P$18</f>
        <v>0</v>
      </c>
      <c r="P40" s="617">
        <f>-P30/'2. Kalkyldata'!$P$18</f>
        <v>0</v>
      </c>
      <c r="Q40" s="617">
        <f>-Q30/'2. Kalkyldata'!$P$18</f>
        <v>0</v>
      </c>
      <c r="R40" s="617">
        <f>-R30/'2. Kalkyldata'!$P$18</f>
        <v>0</v>
      </c>
      <c r="S40" s="617">
        <f>-S30/'2. Kalkyldata'!$P$18</f>
        <v>0</v>
      </c>
      <c r="T40" s="617">
        <f>-T30/'2. Kalkyldata'!$P$18</f>
        <v>0</v>
      </c>
      <c r="U40" s="617">
        <f>-U30/'2. Kalkyldata'!$P$18</f>
        <v>0</v>
      </c>
      <c r="V40" s="617">
        <f>-V30/'2. Kalkyldata'!$P$18</f>
        <v>0</v>
      </c>
      <c r="W40" s="617">
        <f>-W30/'2. Kalkyldata'!$P$18</f>
        <v>0</v>
      </c>
      <c r="X40" s="617">
        <f>-X30/'2. Kalkyldata'!$P$18</f>
        <v>0</v>
      </c>
      <c r="Y40" s="617">
        <f>-Y30/'2. Kalkyldata'!$P$18</f>
        <v>0</v>
      </c>
      <c r="Z40" s="617">
        <f>-Z30/'2. Kalkyldata'!$P$18</f>
        <v>0</v>
      </c>
      <c r="AA40" s="617">
        <f>-AA30/'2. Kalkyldata'!$P$18</f>
        <v>0</v>
      </c>
      <c r="AB40" s="617">
        <f>-AB30/'2. Kalkyldata'!$P$18</f>
        <v>0</v>
      </c>
      <c r="AC40" s="617">
        <f>-AC30/'2. Kalkyldata'!$P$18</f>
        <v>0</v>
      </c>
      <c r="AD40" s="617">
        <f>-AD30/'2. Kalkyldata'!$P$18</f>
        <v>0</v>
      </c>
      <c r="AE40" s="617">
        <f>-AE30/'2. Kalkyldata'!$P$18</f>
        <v>0</v>
      </c>
      <c r="AF40" s="617">
        <f>-AF30/'2. Kalkyldata'!$P$18</f>
        <v>0</v>
      </c>
      <c r="AG40" s="617">
        <f>-AG30/'2. Kalkyldata'!$P$18</f>
        <v>0</v>
      </c>
      <c r="AH40" s="617">
        <f>-AH30/'2. Kalkyldata'!$P$18</f>
        <v>0</v>
      </c>
      <c r="AI40" s="617">
        <f>-AI30/'2. Kalkyldata'!$P$18</f>
        <v>0</v>
      </c>
      <c r="AJ40" s="617">
        <f>-AJ30/'2. Kalkyldata'!$P$18</f>
        <v>0</v>
      </c>
      <c r="AK40" s="617">
        <f>-AK30/'2. Kalkyldata'!$P$18</f>
        <v>0</v>
      </c>
      <c r="AL40" s="617">
        <f>-AL30/'2. Kalkyldata'!$P$18</f>
        <v>0</v>
      </c>
      <c r="AM40" s="617">
        <f>-AM30/'2. Kalkyldata'!$P$18</f>
        <v>0</v>
      </c>
      <c r="AN40" s="617">
        <f>-AN30/'2. Kalkyldata'!$P$18</f>
        <v>0</v>
      </c>
      <c r="AO40" s="617">
        <f>-AO30/'2. Kalkyldata'!$P$18</f>
        <v>0</v>
      </c>
      <c r="AP40" s="617">
        <f>-AP30/'2. Kalkyldata'!$P$18</f>
        <v>0</v>
      </c>
      <c r="AQ40" s="617">
        <f>-AQ30/'2. Kalkyldata'!$P$18</f>
        <v>0</v>
      </c>
      <c r="AR40" s="617">
        <f>-AR30/'2. Kalkyldata'!$P$18</f>
        <v>0</v>
      </c>
      <c r="AS40" s="617">
        <f>-AS30/'2. Kalkyldata'!$P$18</f>
        <v>0</v>
      </c>
      <c r="AT40" s="617">
        <f>-AT30/'2. Kalkyldata'!$P$18</f>
        <v>0</v>
      </c>
      <c r="AU40" s="617">
        <f>-AU30/'2. Kalkyldata'!$P$18</f>
        <v>0</v>
      </c>
      <c r="AV40" s="617">
        <f>-AV30/'2. Kalkyldata'!$P$18</f>
        <v>0</v>
      </c>
      <c r="AW40" s="617">
        <f>-AW30/'2. Kalkyldata'!$P$18</f>
        <v>0</v>
      </c>
      <c r="AX40" s="617">
        <f>-AX30/'2. Kalkyldata'!$P$18</f>
        <v>0</v>
      </c>
      <c r="AY40" s="617">
        <f>-AY30/'2. Kalkyldata'!$P$18</f>
        <v>0</v>
      </c>
      <c r="AZ40" s="617">
        <f>-AZ30/'2. Kalkyldata'!$P$18</f>
        <v>0</v>
      </c>
      <c r="BA40" s="617">
        <f>-BA30/'2. Kalkyldata'!$P$18</f>
        <v>0</v>
      </c>
      <c r="BB40" s="504"/>
      <c r="BC40" s="523"/>
      <c r="BD40" s="523"/>
      <c r="BE40" s="523"/>
      <c r="BF40" s="523"/>
      <c r="BG40" s="523"/>
      <c r="BH40" s="523"/>
      <c r="BI40" s="523"/>
    </row>
    <row r="41" spans="1:61" hidden="1" outlineLevel="1">
      <c r="A41" s="504"/>
      <c r="B41" s="328" t="str">
        <f>B31</f>
        <v>Skola</v>
      </c>
      <c r="C41" s="504"/>
      <c r="D41" s="617">
        <f>IF(D$29&lt;'2. Kalkyldata'!$M23,0,-D31/'2. Kalkyldata'!$P$16)</f>
        <v>-7272727.2727272715</v>
      </c>
      <c r="E41" s="617">
        <f>IF(E$29&lt;'2. Kalkyldata'!$M23,0,-E31/'2. Kalkyldata'!$P$16)</f>
        <v>-7272727.2727272715</v>
      </c>
      <c r="F41" s="617">
        <f>IF(F$29&lt;'2. Kalkyldata'!$M23,0,-F31/'2. Kalkyldata'!$P$16)</f>
        <v>-7272727.2727272715</v>
      </c>
      <c r="G41" s="617">
        <f>IF(G$29&lt;'2. Kalkyldata'!$M23,0,-G31/'2. Kalkyldata'!$P$16)</f>
        <v>-7272727.2727272715</v>
      </c>
      <c r="H41" s="617">
        <f>IF(H$29&lt;'2. Kalkyldata'!$M23,0,-H31/'2. Kalkyldata'!$P$16)</f>
        <v>-7272727.2727272715</v>
      </c>
      <c r="I41" s="617">
        <f>IF(I$29&lt;'2. Kalkyldata'!$M23,0,-I31/'2. Kalkyldata'!$P$16)</f>
        <v>-7272727.2727272715</v>
      </c>
      <c r="J41" s="617">
        <f>IF(J$29&lt;'2. Kalkyldata'!$M23,0,-J31/'2. Kalkyldata'!$P$16)</f>
        <v>-7272727.2727272715</v>
      </c>
      <c r="K41" s="617">
        <f>IF(K$29&lt;'2. Kalkyldata'!$M23,0,-K31/'2. Kalkyldata'!$P$16)</f>
        <v>-7272727.2727272715</v>
      </c>
      <c r="L41" s="617">
        <f>IF(L$29&lt;'2. Kalkyldata'!$M23,0,-L31/'2. Kalkyldata'!$P$16)</f>
        <v>-7272727.2727272715</v>
      </c>
      <c r="M41" s="617">
        <f>IF(M$29&lt;'2. Kalkyldata'!$M23,0,-M31/'2. Kalkyldata'!$P$16)</f>
        <v>-7272727.2727272715</v>
      </c>
      <c r="N41" s="617">
        <f>IF(N$29&lt;'2. Kalkyldata'!$M23,0,-N31/'2. Kalkyldata'!$P$16)</f>
        <v>-7272727.2727272715</v>
      </c>
      <c r="O41" s="617">
        <f>IF(O$29&lt;'2. Kalkyldata'!$M23,0,-O31/'2. Kalkyldata'!$P$16)</f>
        <v>-7272727.2727272715</v>
      </c>
      <c r="P41" s="617">
        <f>IF(P$29&lt;'2. Kalkyldata'!$M23,0,-P31/'2. Kalkyldata'!$P$16)</f>
        <v>-7272727.2727272715</v>
      </c>
      <c r="Q41" s="617">
        <f>IF(Q$29&lt;'2. Kalkyldata'!$M23,0,-Q31/'2. Kalkyldata'!$P$16)</f>
        <v>-7272727.2727272715</v>
      </c>
      <c r="R41" s="617">
        <f>IF(R$29&lt;'2. Kalkyldata'!$M23,0,-R31/'2. Kalkyldata'!$P$16)</f>
        <v>-7272727.2727272715</v>
      </c>
      <c r="S41" s="617">
        <f>IF(S$29&lt;'2. Kalkyldata'!$M23,0,-S31/'2. Kalkyldata'!$P$16)</f>
        <v>-7272727.2727272715</v>
      </c>
      <c r="T41" s="617">
        <f>IF(T$29&lt;'2. Kalkyldata'!$M23,0,-T31/'2. Kalkyldata'!$P$16)</f>
        <v>-7272727.2727272715</v>
      </c>
      <c r="U41" s="617">
        <f>IF(U$29&lt;'2. Kalkyldata'!$M23,0,-U31/'2. Kalkyldata'!$P$16)</f>
        <v>-7272727.2727272715</v>
      </c>
      <c r="V41" s="617">
        <f>IF(V$29&lt;'2. Kalkyldata'!$M23,0,-V31/'2. Kalkyldata'!$P$16)</f>
        <v>-7272727.2727272715</v>
      </c>
      <c r="W41" s="617">
        <f>IF(W$29&lt;'2. Kalkyldata'!$M23,0,-W31/'2. Kalkyldata'!$P$16)</f>
        <v>-7272727.2727272715</v>
      </c>
      <c r="X41" s="617">
        <f>IF(X$29&lt;'2. Kalkyldata'!$M23,0,-X31/'2. Kalkyldata'!$P$16)</f>
        <v>-7272727.2727272715</v>
      </c>
      <c r="Y41" s="617">
        <f>IF(Y$29&lt;'2. Kalkyldata'!$M23,0,-Y31/'2. Kalkyldata'!$P$16)</f>
        <v>0</v>
      </c>
      <c r="Z41" s="617">
        <f>IF(Z$29&lt;'2. Kalkyldata'!$M23,0,-Z31/'2. Kalkyldata'!$P$16)</f>
        <v>0</v>
      </c>
      <c r="AA41" s="617">
        <f>IF(AA$29&lt;'2. Kalkyldata'!$M23,0,-AA31/'2. Kalkyldata'!$P$16)</f>
        <v>0</v>
      </c>
      <c r="AB41" s="617">
        <f>IF(AB$29&lt;'2. Kalkyldata'!$M23,0,-AB31/'2. Kalkyldata'!$P$16)</f>
        <v>0</v>
      </c>
      <c r="AC41" s="617">
        <f>IF(AC$29&lt;'2. Kalkyldata'!$M23,0,-AC31/'2. Kalkyldata'!$P$16)</f>
        <v>0</v>
      </c>
      <c r="AD41" s="617">
        <f>IF(AD$29&lt;'2. Kalkyldata'!$M23,0,-AD31/'2. Kalkyldata'!$P$16)</f>
        <v>0</v>
      </c>
      <c r="AE41" s="617">
        <f>IF(AE$29&lt;'2. Kalkyldata'!$M23,0,-AE31/'2. Kalkyldata'!$P$16)</f>
        <v>0</v>
      </c>
      <c r="AF41" s="617">
        <f>IF(AF$29&lt;'2. Kalkyldata'!$M23,0,-AF31/'2. Kalkyldata'!$P$16)</f>
        <v>0</v>
      </c>
      <c r="AG41" s="617">
        <f>IF(AG$29&lt;'2. Kalkyldata'!$M23,0,-AG31/'2. Kalkyldata'!$P$16)</f>
        <v>0</v>
      </c>
      <c r="AH41" s="617">
        <f>IF(AH$29&lt;'2. Kalkyldata'!$M23,0,-AH31/'2. Kalkyldata'!$P$16)</f>
        <v>0</v>
      </c>
      <c r="AI41" s="617">
        <f>IF(AI$29&lt;'2. Kalkyldata'!$M23,0,-AI31/'2. Kalkyldata'!$P$16)</f>
        <v>0</v>
      </c>
      <c r="AJ41" s="617">
        <f>IF(AJ$29&lt;'2. Kalkyldata'!$M23,0,-AJ31/'2. Kalkyldata'!$P$16)</f>
        <v>0</v>
      </c>
      <c r="AK41" s="617">
        <f>IF(AK$29&lt;'2. Kalkyldata'!$M23,0,-AK31/'2. Kalkyldata'!$P$16)</f>
        <v>0</v>
      </c>
      <c r="AL41" s="617">
        <f>IF(AL$29&lt;'2. Kalkyldata'!$M23,0,-AL31/'2. Kalkyldata'!$P$16)</f>
        <v>0</v>
      </c>
      <c r="AM41" s="617">
        <f>IF(AM$29&lt;'2. Kalkyldata'!$M23,0,-AM31/'2. Kalkyldata'!$P$16)</f>
        <v>0</v>
      </c>
      <c r="AN41" s="617">
        <f>IF(AN$29&lt;'2. Kalkyldata'!$M23,0,-AN31/'2. Kalkyldata'!$P$16)</f>
        <v>0</v>
      </c>
      <c r="AO41" s="617">
        <f>IF(AO$29&lt;'2. Kalkyldata'!$M23,0,-AO31/'2. Kalkyldata'!$P$16)</f>
        <v>0</v>
      </c>
      <c r="AP41" s="617">
        <f>IF(AP$29&lt;'2. Kalkyldata'!$M23,0,-AP31/'2. Kalkyldata'!$P$16)</f>
        <v>0</v>
      </c>
      <c r="AQ41" s="617">
        <f>IF(AQ$29&lt;'2. Kalkyldata'!$M23,0,-AQ31/'2. Kalkyldata'!$P$16)</f>
        <v>0</v>
      </c>
      <c r="AR41" s="617">
        <f>IF(AR$29&lt;'2. Kalkyldata'!$M23,0,-AR31/'2. Kalkyldata'!$P$16)</f>
        <v>0</v>
      </c>
      <c r="AS41" s="617">
        <f>IF(AS$29&lt;'2. Kalkyldata'!$M23,0,-AS31/'2. Kalkyldata'!$P$16)</f>
        <v>0</v>
      </c>
      <c r="AT41" s="617">
        <f>IF(AT$29&lt;'2. Kalkyldata'!$M23,0,-AT31/'2. Kalkyldata'!$P$16)</f>
        <v>0</v>
      </c>
      <c r="AU41" s="617">
        <f>IF(AU$29&lt;'2. Kalkyldata'!$M23,0,-AU31/'2. Kalkyldata'!$P$16)</f>
        <v>0</v>
      </c>
      <c r="AV41" s="617">
        <f>IF(AV$29&lt;'2. Kalkyldata'!$M23,0,-AV31/'2. Kalkyldata'!$P$16)</f>
        <v>0</v>
      </c>
      <c r="AW41" s="617">
        <f>IF(AW$29&lt;'2. Kalkyldata'!$M23,0,-AW31/'2. Kalkyldata'!$P$16)</f>
        <v>0</v>
      </c>
      <c r="AX41" s="617">
        <f>IF(AX$29&lt;'2. Kalkyldata'!$M23,0,-AX31/'2. Kalkyldata'!$P$16)</f>
        <v>0</v>
      </c>
      <c r="AY41" s="617">
        <f>IF(AY$29&lt;'2. Kalkyldata'!$M23,0,-AY31/'2. Kalkyldata'!$P$16)</f>
        <v>0</v>
      </c>
      <c r="AZ41" s="617">
        <f>IF(AZ$29&lt;'2. Kalkyldata'!$M23,0,-AZ31/'2. Kalkyldata'!$P$16)</f>
        <v>0</v>
      </c>
      <c r="BA41" s="617">
        <f>IF(BA$29&lt;'2. Kalkyldata'!$M23,0,-BA31/'2. Kalkyldata'!$P$16)</f>
        <v>0</v>
      </c>
      <c r="BB41" s="504"/>
      <c r="BC41" s="523"/>
      <c r="BD41" s="523"/>
      <c r="BE41" s="523"/>
      <c r="BF41" s="523"/>
      <c r="BG41" s="523"/>
      <c r="BH41" s="523"/>
      <c r="BI41" s="523"/>
    </row>
    <row r="42" spans="1:61" hidden="1" outlineLevel="1">
      <c r="A42" s="504"/>
      <c r="B42" s="328">
        <f>B32</f>
        <v>0</v>
      </c>
      <c r="C42" s="504"/>
      <c r="D42" s="617">
        <f>IF(D$29&lt;'2. Kalkyldata'!$M24,0,-D32/'2. Kalkyldata'!$P$16)</f>
        <v>0</v>
      </c>
      <c r="E42" s="617">
        <f>IF(E$29&lt;'2. Kalkyldata'!$M24,0,-E32/'2. Kalkyldata'!$P$16)</f>
        <v>0</v>
      </c>
      <c r="F42" s="617">
        <f>IF(F$29&lt;'2. Kalkyldata'!$M24,0,-F32/'2. Kalkyldata'!$P$16)</f>
        <v>0</v>
      </c>
      <c r="G42" s="617">
        <f>IF(G$29&lt;'2. Kalkyldata'!$M24,0,-G32/'2. Kalkyldata'!$P$16)</f>
        <v>0</v>
      </c>
      <c r="H42" s="617">
        <f>IF(H$29&lt;'2. Kalkyldata'!$M24,0,-H32/'2. Kalkyldata'!$P$16)</f>
        <v>0</v>
      </c>
      <c r="I42" s="617">
        <f>IF(I$29&lt;'2. Kalkyldata'!$M24,0,-I32/'2. Kalkyldata'!$P$16)</f>
        <v>0</v>
      </c>
      <c r="J42" s="617">
        <f>IF(J$29&lt;'2. Kalkyldata'!$M24,0,-J32/'2. Kalkyldata'!$P$16)</f>
        <v>0</v>
      </c>
      <c r="K42" s="617">
        <f>IF(K$29&lt;'2. Kalkyldata'!$M24,0,-K32/'2. Kalkyldata'!$P$16)</f>
        <v>0</v>
      </c>
      <c r="L42" s="617">
        <f>IF(L$29&lt;'2. Kalkyldata'!$M24,0,-L32/'2. Kalkyldata'!$P$16)</f>
        <v>0</v>
      </c>
      <c r="M42" s="617">
        <f>IF(M$29&lt;'2. Kalkyldata'!$M24,0,-M32/'2. Kalkyldata'!$P$16)</f>
        <v>0</v>
      </c>
      <c r="N42" s="617">
        <f>IF(N$29&lt;'2. Kalkyldata'!$M24,0,-N32/'2. Kalkyldata'!$P$16)</f>
        <v>0</v>
      </c>
      <c r="O42" s="617">
        <f>IF(O$29&lt;'2. Kalkyldata'!$M24,0,-O32/'2. Kalkyldata'!$P$16)</f>
        <v>0</v>
      </c>
      <c r="P42" s="617">
        <f>IF(P$29&lt;'2. Kalkyldata'!$M24,0,-P32/'2. Kalkyldata'!$P$16)</f>
        <v>0</v>
      </c>
      <c r="Q42" s="617">
        <f>IF(Q$29&lt;'2. Kalkyldata'!$M24,0,-Q32/'2. Kalkyldata'!$P$16)</f>
        <v>0</v>
      </c>
      <c r="R42" s="617">
        <f>IF(R$29&lt;'2. Kalkyldata'!$M24,0,-R32/'2. Kalkyldata'!$P$16)</f>
        <v>0</v>
      </c>
      <c r="S42" s="617">
        <f>IF(S$29&lt;'2. Kalkyldata'!$M24,0,-S32/'2. Kalkyldata'!$P$16)</f>
        <v>0</v>
      </c>
      <c r="T42" s="617">
        <f>IF(T$29&lt;'2. Kalkyldata'!$M24,0,-T32/'2. Kalkyldata'!$P$16)</f>
        <v>0</v>
      </c>
      <c r="U42" s="617">
        <f>IF(U$29&lt;'2. Kalkyldata'!$M24,0,-U32/'2. Kalkyldata'!$P$16)</f>
        <v>0</v>
      </c>
      <c r="V42" s="617">
        <f>IF(V$29&lt;'2. Kalkyldata'!$M24,0,-V32/'2. Kalkyldata'!$P$16)</f>
        <v>0</v>
      </c>
      <c r="W42" s="617">
        <f>IF(W$29&lt;'2. Kalkyldata'!$M24,0,-W32/'2. Kalkyldata'!$P$16)</f>
        <v>0</v>
      </c>
      <c r="X42" s="617">
        <f>IF(X$29&lt;'2. Kalkyldata'!$M24,0,-X32/'2. Kalkyldata'!$P$16)</f>
        <v>0</v>
      </c>
      <c r="Y42" s="617">
        <f>IF(Y$29&lt;'2. Kalkyldata'!$M24,0,-Y32/'2. Kalkyldata'!$P$16)</f>
        <v>0</v>
      </c>
      <c r="Z42" s="617">
        <f>IF(Z$29&lt;'2. Kalkyldata'!$M24,0,-Z32/'2. Kalkyldata'!$P$16)</f>
        <v>0</v>
      </c>
      <c r="AA42" s="617">
        <f>IF(AA$29&lt;'2. Kalkyldata'!$M24,0,-AA32/'2. Kalkyldata'!$P$16)</f>
        <v>0</v>
      </c>
      <c r="AB42" s="617">
        <f>IF(AB$29&lt;'2. Kalkyldata'!$M24,0,-AB32/'2. Kalkyldata'!$P$16)</f>
        <v>0</v>
      </c>
      <c r="AC42" s="617">
        <f>IF(AC$29&lt;'2. Kalkyldata'!$M24,0,-AC32/'2. Kalkyldata'!$P$16)</f>
        <v>0</v>
      </c>
      <c r="AD42" s="617">
        <f>IF(AD$29&lt;'2. Kalkyldata'!$M24,0,-AD32/'2. Kalkyldata'!$P$16)</f>
        <v>0</v>
      </c>
      <c r="AE42" s="617">
        <f>IF(AE$29&lt;'2. Kalkyldata'!$M24,0,-AE32/'2. Kalkyldata'!$P$16)</f>
        <v>0</v>
      </c>
      <c r="AF42" s="617">
        <f>IF(AF$29&lt;'2. Kalkyldata'!$M24,0,-AF32/'2. Kalkyldata'!$P$16)</f>
        <v>0</v>
      </c>
      <c r="AG42" s="617">
        <f>IF(AG$29&lt;'2. Kalkyldata'!$M24,0,-AG32/'2. Kalkyldata'!$P$16)</f>
        <v>0</v>
      </c>
      <c r="AH42" s="617">
        <f>IF(AH$29&lt;'2. Kalkyldata'!$M24,0,-AH32/'2. Kalkyldata'!$P$16)</f>
        <v>0</v>
      </c>
      <c r="AI42" s="617">
        <f>IF(AI$29&lt;'2. Kalkyldata'!$M24,0,-AI32/'2. Kalkyldata'!$P$16)</f>
        <v>0</v>
      </c>
      <c r="AJ42" s="617">
        <f>IF(AJ$29&lt;'2. Kalkyldata'!$M24,0,-AJ32/'2. Kalkyldata'!$P$16)</f>
        <v>0</v>
      </c>
      <c r="AK42" s="617">
        <f>IF(AK$29&lt;'2. Kalkyldata'!$M24,0,-AK32/'2. Kalkyldata'!$P$16)</f>
        <v>0</v>
      </c>
      <c r="AL42" s="617">
        <f>IF(AL$29&lt;'2. Kalkyldata'!$M24,0,-AL32/'2. Kalkyldata'!$P$16)</f>
        <v>0</v>
      </c>
      <c r="AM42" s="617">
        <f>IF(AM$29&lt;'2. Kalkyldata'!$M24,0,-AM32/'2. Kalkyldata'!$P$16)</f>
        <v>0</v>
      </c>
      <c r="AN42" s="617">
        <f>IF(AN$29&lt;'2. Kalkyldata'!$M24,0,-AN32/'2. Kalkyldata'!$P$16)</f>
        <v>0</v>
      </c>
      <c r="AO42" s="617">
        <f>IF(AO$29&lt;'2. Kalkyldata'!$M24,0,-AO32/'2. Kalkyldata'!$P$16)</f>
        <v>0</v>
      </c>
      <c r="AP42" s="617">
        <f>IF(AP$29&lt;'2. Kalkyldata'!$M24,0,-AP32/'2. Kalkyldata'!$P$16)</f>
        <v>0</v>
      </c>
      <c r="AQ42" s="617">
        <f>IF(AQ$29&lt;'2. Kalkyldata'!$M24,0,-AQ32/'2. Kalkyldata'!$P$16)</f>
        <v>0</v>
      </c>
      <c r="AR42" s="617">
        <f>IF(AR$29&lt;'2. Kalkyldata'!$M24,0,-AR32/'2. Kalkyldata'!$P$16)</f>
        <v>0</v>
      </c>
      <c r="AS42" s="617">
        <f>IF(AS$29&lt;'2. Kalkyldata'!$M24,0,-AS32/'2. Kalkyldata'!$P$16)</f>
        <v>0</v>
      </c>
      <c r="AT42" s="617">
        <f>IF(AT$29&lt;'2. Kalkyldata'!$M24,0,-AT32/'2. Kalkyldata'!$P$16)</f>
        <v>0</v>
      </c>
      <c r="AU42" s="617">
        <f>IF(AU$29&lt;'2. Kalkyldata'!$M24,0,-AU32/'2. Kalkyldata'!$P$16)</f>
        <v>0</v>
      </c>
      <c r="AV42" s="617">
        <f>IF(AV$29&lt;'2. Kalkyldata'!$M24,0,-AV32/'2. Kalkyldata'!$P$16)</f>
        <v>0</v>
      </c>
      <c r="AW42" s="617">
        <f>IF(AW$29&lt;'2. Kalkyldata'!$M24,0,-AW32/'2. Kalkyldata'!$P$16)</f>
        <v>0</v>
      </c>
      <c r="AX42" s="617">
        <f>IF(AX$29&lt;'2. Kalkyldata'!$M24,0,-AX32/'2. Kalkyldata'!$P$16)</f>
        <v>0</v>
      </c>
      <c r="AY42" s="617">
        <f>IF(AY$29&lt;'2. Kalkyldata'!$M24,0,-AY32/'2. Kalkyldata'!$P$16)</f>
        <v>0</v>
      </c>
      <c r="AZ42" s="617">
        <f>IF(AZ$29&lt;'2. Kalkyldata'!$M24,0,-AZ32/'2. Kalkyldata'!$P$16)</f>
        <v>0</v>
      </c>
      <c r="BA42" s="617">
        <f>IF(BA$29&lt;'2. Kalkyldata'!$M24,0,-BA32/'2. Kalkyldata'!$P$16)</f>
        <v>0</v>
      </c>
      <c r="BB42" s="504"/>
      <c r="BC42" s="523"/>
      <c r="BD42" s="523"/>
      <c r="BE42" s="523"/>
      <c r="BF42" s="523"/>
      <c r="BG42" s="523"/>
      <c r="BH42" s="523"/>
      <c r="BI42" s="523"/>
    </row>
    <row r="43" spans="1:61" hidden="1" outlineLevel="1">
      <c r="A43" s="504"/>
      <c r="B43" s="328">
        <f>B33</f>
        <v>0</v>
      </c>
      <c r="C43" s="504"/>
      <c r="D43" s="617">
        <f>IF(D$29&lt;'2. Kalkyldata'!$M25,0,-D33/'2. Kalkyldata'!$P$16)</f>
        <v>0</v>
      </c>
      <c r="E43" s="617">
        <f>IF(E$29&lt;'2. Kalkyldata'!$M25,0,-E33/'2. Kalkyldata'!$P$16)</f>
        <v>0</v>
      </c>
      <c r="F43" s="617">
        <f>IF(F$29&lt;'2. Kalkyldata'!$M25,0,-F33/'2. Kalkyldata'!$P$16)</f>
        <v>0</v>
      </c>
      <c r="G43" s="617">
        <f>IF(G$29&lt;'2. Kalkyldata'!$M25,0,-G33/'2. Kalkyldata'!$P$16)</f>
        <v>0</v>
      </c>
      <c r="H43" s="617">
        <f>IF(H$29&lt;'2. Kalkyldata'!$M25,0,-H33/'2. Kalkyldata'!$P$16)</f>
        <v>0</v>
      </c>
      <c r="I43" s="617">
        <f>IF(I$29&lt;'2. Kalkyldata'!$M25,0,-I33/'2. Kalkyldata'!$P$16)</f>
        <v>0</v>
      </c>
      <c r="J43" s="617">
        <f>IF(J$29&lt;'2. Kalkyldata'!$M25,0,-J33/'2. Kalkyldata'!$P$16)</f>
        <v>0</v>
      </c>
      <c r="K43" s="617">
        <f>IF(K$29&lt;'2. Kalkyldata'!$M25,0,-K33/'2. Kalkyldata'!$P$16)</f>
        <v>0</v>
      </c>
      <c r="L43" s="617">
        <f>IF(L$29&lt;'2. Kalkyldata'!$M25,0,-L33/'2. Kalkyldata'!$P$16)</f>
        <v>0</v>
      </c>
      <c r="M43" s="617">
        <f>IF(M$29&lt;'2. Kalkyldata'!$M25,0,-M33/'2. Kalkyldata'!$P$16)</f>
        <v>0</v>
      </c>
      <c r="N43" s="617">
        <f>IF(N$29&lt;'2. Kalkyldata'!$M25,0,-N33/'2. Kalkyldata'!$P$16)</f>
        <v>0</v>
      </c>
      <c r="O43" s="617">
        <f>IF(O$29&lt;'2. Kalkyldata'!$M25,0,-O33/'2. Kalkyldata'!$P$16)</f>
        <v>0</v>
      </c>
      <c r="P43" s="617">
        <f>IF(P$29&lt;'2. Kalkyldata'!$M25,0,-P33/'2. Kalkyldata'!$P$16)</f>
        <v>0</v>
      </c>
      <c r="Q43" s="617">
        <f>IF(Q$29&lt;'2. Kalkyldata'!$M25,0,-Q33/'2. Kalkyldata'!$P$16)</f>
        <v>0</v>
      </c>
      <c r="R43" s="617">
        <f>IF(R$29&lt;'2. Kalkyldata'!$M25,0,-R33/'2. Kalkyldata'!$P$16)</f>
        <v>0</v>
      </c>
      <c r="S43" s="617">
        <f>IF(S$29&lt;'2. Kalkyldata'!$M25,0,-S33/'2. Kalkyldata'!$P$16)</f>
        <v>0</v>
      </c>
      <c r="T43" s="617">
        <f>IF(T$29&lt;'2. Kalkyldata'!$M25,0,-T33/'2. Kalkyldata'!$P$16)</f>
        <v>0</v>
      </c>
      <c r="U43" s="617">
        <f>IF(U$29&lt;'2. Kalkyldata'!$M25,0,-U33/'2. Kalkyldata'!$P$16)</f>
        <v>0</v>
      </c>
      <c r="V43" s="617">
        <f>IF(V$29&lt;'2. Kalkyldata'!$M25,0,-V33/'2. Kalkyldata'!$P$16)</f>
        <v>0</v>
      </c>
      <c r="W43" s="617">
        <f>IF(W$29&lt;'2. Kalkyldata'!$M25,0,-W33/'2. Kalkyldata'!$P$16)</f>
        <v>0</v>
      </c>
      <c r="X43" s="617">
        <f>IF(X$29&lt;'2. Kalkyldata'!$M25,0,-X33/'2. Kalkyldata'!$P$16)</f>
        <v>0</v>
      </c>
      <c r="Y43" s="617">
        <f>IF(Y$29&lt;'2. Kalkyldata'!$M25,0,-Y33/'2. Kalkyldata'!$P$16)</f>
        <v>0</v>
      </c>
      <c r="Z43" s="617">
        <f>IF(Z$29&lt;'2. Kalkyldata'!$M25,0,-Z33/'2. Kalkyldata'!$P$16)</f>
        <v>0</v>
      </c>
      <c r="AA43" s="617">
        <f>IF(AA$29&lt;'2. Kalkyldata'!$M25,0,-AA33/'2. Kalkyldata'!$P$16)</f>
        <v>0</v>
      </c>
      <c r="AB43" s="617">
        <f>IF(AB$29&lt;'2. Kalkyldata'!$M25,0,-AB33/'2. Kalkyldata'!$P$16)</f>
        <v>0</v>
      </c>
      <c r="AC43" s="617">
        <f>IF(AC$29&lt;'2. Kalkyldata'!$M25,0,-AC33/'2. Kalkyldata'!$P$16)</f>
        <v>0</v>
      </c>
      <c r="AD43" s="617">
        <f>IF(AD$29&lt;'2. Kalkyldata'!$M25,0,-AD33/'2. Kalkyldata'!$P$16)</f>
        <v>0</v>
      </c>
      <c r="AE43" s="617">
        <f>IF(AE$29&lt;'2. Kalkyldata'!$M25,0,-AE33/'2. Kalkyldata'!$P$16)</f>
        <v>0</v>
      </c>
      <c r="AF43" s="617">
        <f>IF(AF$29&lt;'2. Kalkyldata'!$M25,0,-AF33/'2. Kalkyldata'!$P$16)</f>
        <v>0</v>
      </c>
      <c r="AG43" s="617">
        <f>IF(AG$29&lt;'2. Kalkyldata'!$M25,0,-AG33/'2. Kalkyldata'!$P$16)</f>
        <v>0</v>
      </c>
      <c r="AH43" s="617">
        <f>IF(AH$29&lt;'2. Kalkyldata'!$M25,0,-AH33/'2. Kalkyldata'!$P$16)</f>
        <v>0</v>
      </c>
      <c r="AI43" s="617">
        <f>IF(AI$29&lt;'2. Kalkyldata'!$M25,0,-AI33/'2. Kalkyldata'!$P$16)</f>
        <v>0</v>
      </c>
      <c r="AJ43" s="617">
        <f>IF(AJ$29&lt;'2. Kalkyldata'!$M25,0,-AJ33/'2. Kalkyldata'!$P$16)</f>
        <v>0</v>
      </c>
      <c r="AK43" s="617">
        <f>IF(AK$29&lt;'2. Kalkyldata'!$M25,0,-AK33/'2. Kalkyldata'!$P$16)</f>
        <v>0</v>
      </c>
      <c r="AL43" s="617">
        <f>IF(AL$29&lt;'2. Kalkyldata'!$M25,0,-AL33/'2. Kalkyldata'!$P$16)</f>
        <v>0</v>
      </c>
      <c r="AM43" s="617">
        <f>IF(AM$29&lt;'2. Kalkyldata'!$M25,0,-AM33/'2. Kalkyldata'!$P$16)</f>
        <v>0</v>
      </c>
      <c r="AN43" s="617">
        <f>IF(AN$29&lt;'2. Kalkyldata'!$M25,0,-AN33/'2. Kalkyldata'!$P$16)</f>
        <v>0</v>
      </c>
      <c r="AO43" s="617">
        <f>IF(AO$29&lt;'2. Kalkyldata'!$M25,0,-AO33/'2. Kalkyldata'!$P$16)</f>
        <v>0</v>
      </c>
      <c r="AP43" s="617">
        <f>IF(AP$29&lt;'2. Kalkyldata'!$M25,0,-AP33/'2. Kalkyldata'!$P$16)</f>
        <v>0</v>
      </c>
      <c r="AQ43" s="617">
        <f>IF(AQ$29&lt;'2. Kalkyldata'!$M25,0,-AQ33/'2. Kalkyldata'!$P$16)</f>
        <v>0</v>
      </c>
      <c r="AR43" s="617">
        <f>IF(AR$29&lt;'2. Kalkyldata'!$M25,0,-AR33/'2. Kalkyldata'!$P$16)</f>
        <v>0</v>
      </c>
      <c r="AS43" s="617">
        <f>IF(AS$29&lt;'2. Kalkyldata'!$M25,0,-AS33/'2. Kalkyldata'!$P$16)</f>
        <v>0</v>
      </c>
      <c r="AT43" s="617">
        <f>IF(AT$29&lt;'2. Kalkyldata'!$M25,0,-AT33/'2. Kalkyldata'!$P$16)</f>
        <v>0</v>
      </c>
      <c r="AU43" s="617">
        <f>IF(AU$29&lt;'2. Kalkyldata'!$M25,0,-AU33/'2. Kalkyldata'!$P$16)</f>
        <v>0</v>
      </c>
      <c r="AV43" s="617">
        <f>IF(AV$29&lt;'2. Kalkyldata'!$M25,0,-AV33/'2. Kalkyldata'!$P$16)</f>
        <v>0</v>
      </c>
      <c r="AW43" s="617">
        <f>IF(AW$29&lt;'2. Kalkyldata'!$M25,0,-AW33/'2. Kalkyldata'!$P$16)</f>
        <v>0</v>
      </c>
      <c r="AX43" s="617">
        <f>IF(AX$29&lt;'2. Kalkyldata'!$M25,0,-AX33/'2. Kalkyldata'!$P$16)</f>
        <v>0</v>
      </c>
      <c r="AY43" s="617">
        <f>IF(AY$29&lt;'2. Kalkyldata'!$M25,0,-AY33/'2. Kalkyldata'!$P$16)</f>
        <v>0</v>
      </c>
      <c r="AZ43" s="617">
        <f>IF(AZ$29&lt;'2. Kalkyldata'!$M25,0,-AZ33/'2. Kalkyldata'!$P$16)</f>
        <v>0</v>
      </c>
      <c r="BA43" s="617">
        <f>IF(BA$29&lt;'2. Kalkyldata'!$M25,0,-BA33/'2. Kalkyldata'!$P$16)</f>
        <v>0</v>
      </c>
      <c r="BB43" s="504"/>
      <c r="BC43" s="523"/>
      <c r="BD43" s="523"/>
      <c r="BE43" s="523"/>
      <c r="BF43" s="523"/>
      <c r="BG43" s="523"/>
      <c r="BH43" s="523"/>
      <c r="BI43" s="523"/>
    </row>
    <row r="44" spans="1:61" hidden="1" outlineLevel="1">
      <c r="A44" s="504"/>
      <c r="B44" s="328">
        <f>B34</f>
        <v>0</v>
      </c>
      <c r="C44" s="504"/>
      <c r="D44" s="617">
        <f>IF(D$29&lt;'2. Kalkyldata'!$M26,0,-D34/'2. Kalkyldata'!$P$16)</f>
        <v>0</v>
      </c>
      <c r="E44" s="617">
        <f>IF(E$29&lt;'2. Kalkyldata'!$M26,0,-E34/'2. Kalkyldata'!$P$16)</f>
        <v>0</v>
      </c>
      <c r="F44" s="617">
        <f>IF(F$29&lt;'2. Kalkyldata'!$M26,0,-F34/'2. Kalkyldata'!$P$16)</f>
        <v>0</v>
      </c>
      <c r="G44" s="617">
        <f>IF(G$29&lt;'2. Kalkyldata'!$M26,0,-G34/'2. Kalkyldata'!$P$16)</f>
        <v>0</v>
      </c>
      <c r="H44" s="617">
        <f>IF(H$29&lt;'2. Kalkyldata'!$M26,0,-H34/'2. Kalkyldata'!$P$16)</f>
        <v>0</v>
      </c>
      <c r="I44" s="617">
        <f>IF(I$29&lt;'2. Kalkyldata'!$M26,0,-I34/'2. Kalkyldata'!$P$16)</f>
        <v>0</v>
      </c>
      <c r="J44" s="617">
        <f>IF(J$29&lt;'2. Kalkyldata'!$M26,0,-J34/'2. Kalkyldata'!$P$16)</f>
        <v>0</v>
      </c>
      <c r="K44" s="617">
        <f>IF(K$29&lt;'2. Kalkyldata'!$M26,0,-K34/'2. Kalkyldata'!$P$16)</f>
        <v>0</v>
      </c>
      <c r="L44" s="617">
        <f>IF(L$29&lt;'2. Kalkyldata'!$M26,0,-L34/'2. Kalkyldata'!$P$16)</f>
        <v>0</v>
      </c>
      <c r="M44" s="617">
        <f>IF(M$29&lt;'2. Kalkyldata'!$M26,0,-M34/'2. Kalkyldata'!$P$16)</f>
        <v>0</v>
      </c>
      <c r="N44" s="617">
        <f>IF(N$29&lt;'2. Kalkyldata'!$M26,0,-N34/'2. Kalkyldata'!$P$16)</f>
        <v>0</v>
      </c>
      <c r="O44" s="617">
        <f>IF(O$29&lt;'2. Kalkyldata'!$M26,0,-O34/'2. Kalkyldata'!$P$16)</f>
        <v>0</v>
      </c>
      <c r="P44" s="617">
        <f>IF(P$29&lt;'2. Kalkyldata'!$M26,0,-P34/'2. Kalkyldata'!$P$16)</f>
        <v>0</v>
      </c>
      <c r="Q44" s="617">
        <f>IF(Q$29&lt;'2. Kalkyldata'!$M26,0,-Q34/'2. Kalkyldata'!$P$16)</f>
        <v>0</v>
      </c>
      <c r="R44" s="617">
        <f>IF(R$29&lt;'2. Kalkyldata'!$M26,0,-R34/'2. Kalkyldata'!$P$16)</f>
        <v>0</v>
      </c>
      <c r="S44" s="617">
        <f>IF(S$29&lt;'2. Kalkyldata'!$M26,0,-S34/'2. Kalkyldata'!$P$16)</f>
        <v>0</v>
      </c>
      <c r="T44" s="617">
        <f>IF(T$29&lt;'2. Kalkyldata'!$M26,0,-T34/'2. Kalkyldata'!$P$16)</f>
        <v>0</v>
      </c>
      <c r="U44" s="617">
        <f>IF(U$29&lt;'2. Kalkyldata'!$M26,0,-U34/'2. Kalkyldata'!$P$16)</f>
        <v>0</v>
      </c>
      <c r="V44" s="617">
        <f>IF(V$29&lt;'2. Kalkyldata'!$M26,0,-V34/'2. Kalkyldata'!$P$16)</f>
        <v>0</v>
      </c>
      <c r="W44" s="617">
        <f>IF(W$29&lt;'2. Kalkyldata'!$M26,0,-W34/'2. Kalkyldata'!$P$16)</f>
        <v>0</v>
      </c>
      <c r="X44" s="617">
        <f>IF(X$29&lt;'2. Kalkyldata'!$M26,0,-X34/'2. Kalkyldata'!$P$16)</f>
        <v>0</v>
      </c>
      <c r="Y44" s="617">
        <f>IF(Y$29&lt;'2. Kalkyldata'!$M26,0,-Y34/'2. Kalkyldata'!$P$16)</f>
        <v>0</v>
      </c>
      <c r="Z44" s="617">
        <f>IF(Z$29&lt;'2. Kalkyldata'!$M26,0,-Z34/'2. Kalkyldata'!$P$16)</f>
        <v>0</v>
      </c>
      <c r="AA44" s="617">
        <f>IF(AA$29&lt;'2. Kalkyldata'!$M26,0,-AA34/'2. Kalkyldata'!$P$16)</f>
        <v>0</v>
      </c>
      <c r="AB44" s="617">
        <f>IF(AB$29&lt;'2. Kalkyldata'!$M26,0,-AB34/'2. Kalkyldata'!$P$16)</f>
        <v>0</v>
      </c>
      <c r="AC44" s="617">
        <f>IF(AC$29&lt;'2. Kalkyldata'!$M26,0,-AC34/'2. Kalkyldata'!$P$16)</f>
        <v>0</v>
      </c>
      <c r="AD44" s="617">
        <f>IF(AD$29&lt;'2. Kalkyldata'!$M26,0,-AD34/'2. Kalkyldata'!$P$16)</f>
        <v>0</v>
      </c>
      <c r="AE44" s="617">
        <f>IF(AE$29&lt;'2. Kalkyldata'!$M26,0,-AE34/'2. Kalkyldata'!$P$16)</f>
        <v>0</v>
      </c>
      <c r="AF44" s="617">
        <f>IF(AF$29&lt;'2. Kalkyldata'!$M26,0,-AF34/'2. Kalkyldata'!$P$16)</f>
        <v>0</v>
      </c>
      <c r="AG44" s="617">
        <f>IF(AG$29&lt;'2. Kalkyldata'!$M26,0,-AG34/'2. Kalkyldata'!$P$16)</f>
        <v>0</v>
      </c>
      <c r="AH44" s="617">
        <f>IF(AH$29&lt;'2. Kalkyldata'!$M26,0,-AH34/'2. Kalkyldata'!$P$16)</f>
        <v>0</v>
      </c>
      <c r="AI44" s="617">
        <f>IF(AI$29&lt;'2. Kalkyldata'!$M26,0,-AI34/'2. Kalkyldata'!$P$16)</f>
        <v>0</v>
      </c>
      <c r="AJ44" s="617">
        <f>IF(AJ$29&lt;'2. Kalkyldata'!$M26,0,-AJ34/'2. Kalkyldata'!$P$16)</f>
        <v>0</v>
      </c>
      <c r="AK44" s="617">
        <f>IF(AK$29&lt;'2. Kalkyldata'!$M26,0,-AK34/'2. Kalkyldata'!$P$16)</f>
        <v>0</v>
      </c>
      <c r="AL44" s="617">
        <f>IF(AL$29&lt;'2. Kalkyldata'!$M26,0,-AL34/'2. Kalkyldata'!$P$16)</f>
        <v>0</v>
      </c>
      <c r="AM44" s="617">
        <f>IF(AM$29&lt;'2. Kalkyldata'!$M26,0,-AM34/'2. Kalkyldata'!$P$16)</f>
        <v>0</v>
      </c>
      <c r="AN44" s="617">
        <f>IF(AN$29&lt;'2. Kalkyldata'!$M26,0,-AN34/'2. Kalkyldata'!$P$16)</f>
        <v>0</v>
      </c>
      <c r="AO44" s="617">
        <f>IF(AO$29&lt;'2. Kalkyldata'!$M26,0,-AO34/'2. Kalkyldata'!$P$16)</f>
        <v>0</v>
      </c>
      <c r="AP44" s="617">
        <f>IF(AP$29&lt;'2. Kalkyldata'!$M26,0,-AP34/'2. Kalkyldata'!$P$16)</f>
        <v>0</v>
      </c>
      <c r="AQ44" s="617">
        <f>IF(AQ$29&lt;'2. Kalkyldata'!$M26,0,-AQ34/'2. Kalkyldata'!$P$16)</f>
        <v>0</v>
      </c>
      <c r="AR44" s="617">
        <f>IF(AR$29&lt;'2. Kalkyldata'!$M26,0,-AR34/'2. Kalkyldata'!$P$16)</f>
        <v>0</v>
      </c>
      <c r="AS44" s="617">
        <f>IF(AS$29&lt;'2. Kalkyldata'!$M26,0,-AS34/'2. Kalkyldata'!$P$16)</f>
        <v>0</v>
      </c>
      <c r="AT44" s="617">
        <f>IF(AT$29&lt;'2. Kalkyldata'!$M26,0,-AT34/'2. Kalkyldata'!$P$16)</f>
        <v>0</v>
      </c>
      <c r="AU44" s="617">
        <f>IF(AU$29&lt;'2. Kalkyldata'!$M26,0,-AU34/'2. Kalkyldata'!$P$16)</f>
        <v>0</v>
      </c>
      <c r="AV44" s="617">
        <f>IF(AV$29&lt;'2. Kalkyldata'!$M26,0,-AV34/'2. Kalkyldata'!$P$16)</f>
        <v>0</v>
      </c>
      <c r="AW44" s="617">
        <f>IF(AW$29&lt;'2. Kalkyldata'!$M26,0,-AW34/'2. Kalkyldata'!$P$16)</f>
        <v>0</v>
      </c>
      <c r="AX44" s="617">
        <f>IF(AX$29&lt;'2. Kalkyldata'!$M26,0,-AX34/'2. Kalkyldata'!$P$16)</f>
        <v>0</v>
      </c>
      <c r="AY44" s="617">
        <f>IF(AY$29&lt;'2. Kalkyldata'!$M26,0,-AY34/'2. Kalkyldata'!$P$16)</f>
        <v>0</v>
      </c>
      <c r="AZ44" s="617">
        <f>IF(AZ$29&lt;'2. Kalkyldata'!$M26,0,-AZ34/'2. Kalkyldata'!$P$16)</f>
        <v>0</v>
      </c>
      <c r="BA44" s="617">
        <f>IF(BA$29&lt;'2. Kalkyldata'!$M26,0,-BA34/'2. Kalkyldata'!$P$16)</f>
        <v>0</v>
      </c>
      <c r="BB44" s="504"/>
      <c r="BC44" s="523"/>
      <c r="BD44" s="523"/>
      <c r="BE44" s="523"/>
      <c r="BF44" s="523"/>
      <c r="BG44" s="523"/>
      <c r="BH44" s="523"/>
      <c r="BI44" s="523"/>
    </row>
    <row r="45" spans="1:61" hidden="1" outlineLevel="1">
      <c r="A45" s="504"/>
      <c r="B45" s="328">
        <f>B35</f>
        <v>0</v>
      </c>
      <c r="C45" s="617"/>
      <c r="D45" s="617">
        <f>IF(D$29&lt;'2. Kalkyldata'!$M27,0,-D35/'2. Kalkyldata'!$P$16)</f>
        <v>0</v>
      </c>
      <c r="E45" s="617">
        <f>IF(E$29&lt;'2. Kalkyldata'!$M27,0,-E35/'2. Kalkyldata'!$P$16)</f>
        <v>0</v>
      </c>
      <c r="F45" s="617">
        <f>IF(F$29&lt;'2. Kalkyldata'!$M27,0,-F35/'2. Kalkyldata'!$P$16)</f>
        <v>0</v>
      </c>
      <c r="G45" s="617">
        <f>IF(G$29&lt;'2. Kalkyldata'!$M27,0,-G35/'2. Kalkyldata'!$P$16)</f>
        <v>0</v>
      </c>
      <c r="H45" s="617">
        <f>IF(H$29&lt;'2. Kalkyldata'!$M27,0,-H35/'2. Kalkyldata'!$P$16)</f>
        <v>0</v>
      </c>
      <c r="I45" s="617">
        <f>IF(I$29&lt;'2. Kalkyldata'!$M27,0,-I35/'2. Kalkyldata'!$P$16)</f>
        <v>0</v>
      </c>
      <c r="J45" s="617">
        <f>IF(J$29&lt;'2. Kalkyldata'!$M27,0,-J35/'2. Kalkyldata'!$P$16)</f>
        <v>0</v>
      </c>
      <c r="K45" s="617">
        <f>IF(K$29&lt;'2. Kalkyldata'!$M27,0,-K35/'2. Kalkyldata'!$P$16)</f>
        <v>0</v>
      </c>
      <c r="L45" s="617">
        <f>IF(L$29&lt;'2. Kalkyldata'!$M27,0,-L35/'2. Kalkyldata'!$P$16)</f>
        <v>0</v>
      </c>
      <c r="M45" s="617">
        <f>IF(M$29&lt;'2. Kalkyldata'!$M27,0,-M35/'2. Kalkyldata'!$P$16)</f>
        <v>0</v>
      </c>
      <c r="N45" s="617">
        <f>IF(N$29&lt;'2. Kalkyldata'!$M27,0,-N35/'2. Kalkyldata'!$P$16)</f>
        <v>0</v>
      </c>
      <c r="O45" s="617">
        <f>IF(O$29&lt;'2. Kalkyldata'!$M27,0,-O35/'2. Kalkyldata'!$P$16)</f>
        <v>0</v>
      </c>
      <c r="P45" s="617">
        <f>IF(P$29&lt;'2. Kalkyldata'!$M27,0,-P35/'2. Kalkyldata'!$P$16)</f>
        <v>0</v>
      </c>
      <c r="Q45" s="617">
        <f>IF(Q$29&lt;'2. Kalkyldata'!$M27,0,-Q35/'2. Kalkyldata'!$P$16)</f>
        <v>0</v>
      </c>
      <c r="R45" s="617">
        <f>IF(R$29&lt;'2. Kalkyldata'!$M27,0,-R35/'2. Kalkyldata'!$P$16)</f>
        <v>0</v>
      </c>
      <c r="S45" s="617">
        <f>IF(S$29&lt;'2. Kalkyldata'!$M27,0,-S35/'2. Kalkyldata'!$P$16)</f>
        <v>0</v>
      </c>
      <c r="T45" s="617">
        <f>IF(T$29&lt;'2. Kalkyldata'!$M27,0,-T35/'2. Kalkyldata'!$P$16)</f>
        <v>0</v>
      </c>
      <c r="U45" s="617">
        <f>IF(U$29&lt;'2. Kalkyldata'!$M27,0,-U35/'2. Kalkyldata'!$P$16)</f>
        <v>0</v>
      </c>
      <c r="V45" s="617">
        <f>IF(V$29&lt;'2. Kalkyldata'!$M27,0,-V35/'2. Kalkyldata'!$P$16)</f>
        <v>0</v>
      </c>
      <c r="W45" s="617">
        <f>IF(W$29&lt;'2. Kalkyldata'!$M27,0,-W35/'2. Kalkyldata'!$P$16)</f>
        <v>0</v>
      </c>
      <c r="X45" s="617">
        <f>IF(X$29&lt;'2. Kalkyldata'!$M27,0,-X35/'2. Kalkyldata'!$P$16)</f>
        <v>0</v>
      </c>
      <c r="Y45" s="617">
        <f>IF(Y$29&lt;'2. Kalkyldata'!$M27,0,-Y35/'2. Kalkyldata'!$P$16)</f>
        <v>0</v>
      </c>
      <c r="Z45" s="617">
        <f>IF(Z$29&lt;'2. Kalkyldata'!$M27,0,-Z35/'2. Kalkyldata'!$P$16)</f>
        <v>0</v>
      </c>
      <c r="AA45" s="617">
        <f>IF(AA$29&lt;'2. Kalkyldata'!$M27,0,-AA35/'2. Kalkyldata'!$P$16)</f>
        <v>0</v>
      </c>
      <c r="AB45" s="617">
        <f>IF(AB$29&lt;'2. Kalkyldata'!$M27,0,-AB35/'2. Kalkyldata'!$P$16)</f>
        <v>0</v>
      </c>
      <c r="AC45" s="617">
        <f>IF(AC$29&lt;'2. Kalkyldata'!$M27,0,-AC35/'2. Kalkyldata'!$P$16)</f>
        <v>0</v>
      </c>
      <c r="AD45" s="617">
        <f>IF(AD$29&lt;'2. Kalkyldata'!$M27,0,-AD35/'2. Kalkyldata'!$P$16)</f>
        <v>0</v>
      </c>
      <c r="AE45" s="617">
        <f>IF(AE$29&lt;'2. Kalkyldata'!$M27,0,-AE35/'2. Kalkyldata'!$P$16)</f>
        <v>0</v>
      </c>
      <c r="AF45" s="617">
        <f>IF(AF$29&lt;'2. Kalkyldata'!$M27,0,-AF35/'2. Kalkyldata'!$P$16)</f>
        <v>0</v>
      </c>
      <c r="AG45" s="617">
        <f>IF(AG$29&lt;'2. Kalkyldata'!$M27,0,-AG35/'2. Kalkyldata'!$P$16)</f>
        <v>0</v>
      </c>
      <c r="AH45" s="617">
        <f>IF(AH$29&lt;'2. Kalkyldata'!$M27,0,-AH35/'2. Kalkyldata'!$P$16)</f>
        <v>0</v>
      </c>
      <c r="AI45" s="617">
        <f>IF(AI$29&lt;'2. Kalkyldata'!$M27,0,-AI35/'2. Kalkyldata'!$P$16)</f>
        <v>0</v>
      </c>
      <c r="AJ45" s="617">
        <f>IF(AJ$29&lt;'2. Kalkyldata'!$M27,0,-AJ35/'2. Kalkyldata'!$P$16)</f>
        <v>0</v>
      </c>
      <c r="AK45" s="617">
        <f>IF(AK$29&lt;'2. Kalkyldata'!$M27,0,-AK35/'2. Kalkyldata'!$P$16)</f>
        <v>0</v>
      </c>
      <c r="AL45" s="617">
        <f>IF(AL$29&lt;'2. Kalkyldata'!$M27,0,-AL35/'2. Kalkyldata'!$P$16)</f>
        <v>0</v>
      </c>
      <c r="AM45" s="617">
        <f>IF(AM$29&lt;'2. Kalkyldata'!$M27,0,-AM35/'2. Kalkyldata'!$P$16)</f>
        <v>0</v>
      </c>
      <c r="AN45" s="617">
        <f>IF(AN$29&lt;'2. Kalkyldata'!$M27,0,-AN35/'2. Kalkyldata'!$P$16)</f>
        <v>0</v>
      </c>
      <c r="AO45" s="617">
        <f>IF(AO$29&lt;'2. Kalkyldata'!$M27,0,-AO35/'2. Kalkyldata'!$P$16)</f>
        <v>0</v>
      </c>
      <c r="AP45" s="617">
        <f>IF(AP$29&lt;'2. Kalkyldata'!$M27,0,-AP35/'2. Kalkyldata'!$P$16)</f>
        <v>0</v>
      </c>
      <c r="AQ45" s="617">
        <f>IF(AQ$29&lt;'2. Kalkyldata'!$M27,0,-AQ35/'2. Kalkyldata'!$P$16)</f>
        <v>0</v>
      </c>
      <c r="AR45" s="617">
        <f>IF(AR$29&lt;'2. Kalkyldata'!$M27,0,-AR35/'2. Kalkyldata'!$P$16)</f>
        <v>0</v>
      </c>
      <c r="AS45" s="617">
        <f>IF(AS$29&lt;'2. Kalkyldata'!$M27,0,-AS35/'2. Kalkyldata'!$P$16)</f>
        <v>0</v>
      </c>
      <c r="AT45" s="617">
        <f>IF(AT$29&lt;'2. Kalkyldata'!$M27,0,-AT35/'2. Kalkyldata'!$P$16)</f>
        <v>0</v>
      </c>
      <c r="AU45" s="617">
        <f>IF(AU$29&lt;'2. Kalkyldata'!$M27,0,-AU35/'2. Kalkyldata'!$P$16)</f>
        <v>0</v>
      </c>
      <c r="AV45" s="617">
        <f>IF(AV$29&lt;'2. Kalkyldata'!$M27,0,-AV35/'2. Kalkyldata'!$P$16)</f>
        <v>0</v>
      </c>
      <c r="AW45" s="617">
        <f>IF(AW$29&lt;'2. Kalkyldata'!$M27,0,-AW35/'2. Kalkyldata'!$P$16)</f>
        <v>0</v>
      </c>
      <c r="AX45" s="617">
        <f>IF(AX$29&lt;'2. Kalkyldata'!$M27,0,-AX35/'2. Kalkyldata'!$P$16)</f>
        <v>0</v>
      </c>
      <c r="AY45" s="617">
        <f>IF(AY$29&lt;'2. Kalkyldata'!$M27,0,-AY35/'2. Kalkyldata'!$P$16)</f>
        <v>0</v>
      </c>
      <c r="AZ45" s="617">
        <f>IF(AZ$29&lt;'2. Kalkyldata'!$M27,0,-AZ35/'2. Kalkyldata'!$P$16)</f>
        <v>0</v>
      </c>
      <c r="BA45" s="617">
        <f>IF(BA$29&lt;'2. Kalkyldata'!$M27,0,-BA35/'2. Kalkyldata'!$P$16)</f>
        <v>0</v>
      </c>
      <c r="BB45" s="504"/>
      <c r="BC45" s="523"/>
      <c r="BD45" s="523"/>
      <c r="BE45" s="523"/>
      <c r="BF45" s="523"/>
      <c r="BG45" s="523"/>
      <c r="BH45" s="523"/>
      <c r="BI45" s="523"/>
    </row>
    <row r="46" spans="1:61" hidden="1" outlineLevel="1">
      <c r="A46" s="504"/>
      <c r="B46" s="328" t="s">
        <v>219</v>
      </c>
      <c r="C46" s="617"/>
      <c r="D46" s="617">
        <f>IF(D$29&lt;'2. Kalkyldata'!$M28,0,-D36/'2. Kalkyldata'!$P$16)</f>
        <v>0</v>
      </c>
      <c r="E46" s="617">
        <f>IF(E$29&lt;'2. Kalkyldata'!$M28,0,-E36/'2. Kalkyldata'!$P$16)</f>
        <v>0</v>
      </c>
      <c r="F46" s="617">
        <f>IF(F$29&lt;'2. Kalkyldata'!$M28,0,-F36/'2. Kalkyldata'!$P$16)</f>
        <v>0</v>
      </c>
      <c r="G46" s="617">
        <f>IF(G$29&lt;'2. Kalkyldata'!$M28,0,-G36/'2. Kalkyldata'!$P$16)</f>
        <v>0</v>
      </c>
      <c r="H46" s="617">
        <f>IF(H$29&lt;'2. Kalkyldata'!$M28,0,-H36/'2. Kalkyldata'!$P$16)</f>
        <v>0</v>
      </c>
      <c r="I46" s="617">
        <f>IF(I$29&lt;'2. Kalkyldata'!$M28,0,-I36/'2. Kalkyldata'!$P$16)</f>
        <v>0</v>
      </c>
      <c r="J46" s="617">
        <f>IF(J$29&lt;'2. Kalkyldata'!$M28,0,-J36/'2. Kalkyldata'!$P$16)</f>
        <v>0</v>
      </c>
      <c r="K46" s="617">
        <f>IF(K$29&lt;'2. Kalkyldata'!$M28,0,-K36/'2. Kalkyldata'!$P$16)</f>
        <v>0</v>
      </c>
      <c r="L46" s="617">
        <f>IF(L$29&lt;'2. Kalkyldata'!$M28,0,-L36/'2. Kalkyldata'!$P$16)</f>
        <v>0</v>
      </c>
      <c r="M46" s="617">
        <f>IF(M$29&lt;'2. Kalkyldata'!$M28,0,-M36/'2. Kalkyldata'!$P$16)</f>
        <v>0</v>
      </c>
      <c r="N46" s="617">
        <f>IF(N$29&lt;'2. Kalkyldata'!$M28,0,-N36/'2. Kalkyldata'!$P$16)</f>
        <v>0</v>
      </c>
      <c r="O46" s="617">
        <f>IF(O$29&lt;'2. Kalkyldata'!$M28,0,-O36/'2. Kalkyldata'!$P$16)</f>
        <v>0</v>
      </c>
      <c r="P46" s="617">
        <f>IF(P$29&lt;'2. Kalkyldata'!$M28,0,-P36/'2. Kalkyldata'!$P$16)</f>
        <v>0</v>
      </c>
      <c r="Q46" s="617">
        <f>IF(Q$29&lt;'2. Kalkyldata'!$M28,0,-Q36/'2. Kalkyldata'!$P$16)</f>
        <v>0</v>
      </c>
      <c r="R46" s="617">
        <f>IF(R$29&lt;'2. Kalkyldata'!$M28,0,-R36/'2. Kalkyldata'!$P$16)</f>
        <v>0</v>
      </c>
      <c r="S46" s="617">
        <f>IF(S$29&lt;'2. Kalkyldata'!$M28,0,-S36/'2. Kalkyldata'!$P$16)</f>
        <v>0</v>
      </c>
      <c r="T46" s="617">
        <f>IF(T$29&lt;'2. Kalkyldata'!$M28,0,-T36/'2. Kalkyldata'!$P$16)</f>
        <v>0</v>
      </c>
      <c r="U46" s="617">
        <f>IF(U$29&lt;'2. Kalkyldata'!$M28,0,-U36/'2. Kalkyldata'!$P$16)</f>
        <v>0</v>
      </c>
      <c r="V46" s="617">
        <f>IF(V$29&lt;'2. Kalkyldata'!$M28,0,-V36/'2. Kalkyldata'!$P$16)</f>
        <v>0</v>
      </c>
      <c r="W46" s="617">
        <f>IF(W$29&lt;'2. Kalkyldata'!$M28,0,-W36/'2. Kalkyldata'!$P$16)</f>
        <v>0</v>
      </c>
      <c r="X46" s="617">
        <f>IF(X$29&lt;'2. Kalkyldata'!$M28,0,-X36/'2. Kalkyldata'!$P$16)</f>
        <v>0</v>
      </c>
      <c r="Y46" s="617">
        <f>IF(Y$29&lt;'2. Kalkyldata'!$M28,0,-Y36/'2. Kalkyldata'!$P$16)</f>
        <v>0</v>
      </c>
      <c r="Z46" s="617">
        <f>IF(Z$29&lt;'2. Kalkyldata'!$M28,0,-Z36/'2. Kalkyldata'!$P$16)</f>
        <v>0</v>
      </c>
      <c r="AA46" s="617">
        <f>IF(AA$29&lt;'2. Kalkyldata'!$M28,0,-AA36/'2. Kalkyldata'!$P$16)</f>
        <v>0</v>
      </c>
      <c r="AB46" s="617">
        <f>IF(AB$29&lt;'2. Kalkyldata'!$M28,0,-AB36/'2. Kalkyldata'!$P$16)</f>
        <v>0</v>
      </c>
      <c r="AC46" s="617">
        <f>IF(AC$29&lt;'2. Kalkyldata'!$M28,0,-AC36/'2. Kalkyldata'!$P$16)</f>
        <v>0</v>
      </c>
      <c r="AD46" s="617">
        <f>IF(AD$29&lt;'2. Kalkyldata'!$M28,0,-AD36/'2. Kalkyldata'!$P$16)</f>
        <v>0</v>
      </c>
      <c r="AE46" s="617">
        <f>IF(AE$29&lt;'2. Kalkyldata'!$M28,0,-AE36/'2. Kalkyldata'!$P$16)</f>
        <v>0</v>
      </c>
      <c r="AF46" s="617">
        <f>IF(AF$29&lt;'2. Kalkyldata'!$M28,0,-AF36/'2. Kalkyldata'!$P$16)</f>
        <v>0</v>
      </c>
      <c r="AG46" s="617">
        <f>IF(AG$29&lt;'2. Kalkyldata'!$M28,0,-AG36/'2. Kalkyldata'!$P$16)</f>
        <v>0</v>
      </c>
      <c r="AH46" s="617">
        <f>IF(AH$29&lt;'2. Kalkyldata'!$M28,0,-AH36/'2. Kalkyldata'!$P$16)</f>
        <v>0</v>
      </c>
      <c r="AI46" s="617">
        <f>IF(AI$29&lt;'2. Kalkyldata'!$M28,0,-AI36/'2. Kalkyldata'!$P$16)</f>
        <v>0</v>
      </c>
      <c r="AJ46" s="617">
        <f>IF(AJ$29&lt;'2. Kalkyldata'!$M28,0,-AJ36/'2. Kalkyldata'!$P$16)</f>
        <v>0</v>
      </c>
      <c r="AK46" s="617">
        <f>IF(AK$29&lt;'2. Kalkyldata'!$M28,0,-AK36/'2. Kalkyldata'!$P$16)</f>
        <v>0</v>
      </c>
      <c r="AL46" s="617">
        <f>IF(AL$29&lt;'2. Kalkyldata'!$M28,0,-AL36/'2. Kalkyldata'!$P$16)</f>
        <v>0</v>
      </c>
      <c r="AM46" s="617">
        <f>IF(AM$29&lt;'2. Kalkyldata'!$M28,0,-AM36/'2. Kalkyldata'!$P$16)</f>
        <v>0</v>
      </c>
      <c r="AN46" s="617">
        <f>IF(AN$29&lt;'2. Kalkyldata'!$M28,0,-AN36/'2. Kalkyldata'!$P$16)</f>
        <v>0</v>
      </c>
      <c r="AO46" s="617">
        <f>IF(AO$29&lt;'2. Kalkyldata'!$M28,0,-AO36/'2. Kalkyldata'!$P$16)</f>
        <v>0</v>
      </c>
      <c r="AP46" s="617">
        <f>IF(AP$29&lt;'2. Kalkyldata'!$M28,0,-AP36/'2. Kalkyldata'!$P$16)</f>
        <v>0</v>
      </c>
      <c r="AQ46" s="617">
        <f>IF(AQ$29&lt;'2. Kalkyldata'!$M28,0,-AQ36/'2. Kalkyldata'!$P$16)</f>
        <v>0</v>
      </c>
      <c r="AR46" s="617">
        <f>IF(AR$29&lt;'2. Kalkyldata'!$M28,0,-AR36/'2. Kalkyldata'!$P$16)</f>
        <v>0</v>
      </c>
      <c r="AS46" s="617">
        <f>IF(AS$29&lt;'2. Kalkyldata'!$M28,0,-AS36/'2. Kalkyldata'!$P$16)</f>
        <v>0</v>
      </c>
      <c r="AT46" s="617">
        <f>IF(AT$29&lt;'2. Kalkyldata'!$M28,0,-AT36/'2. Kalkyldata'!$P$16)</f>
        <v>0</v>
      </c>
      <c r="AU46" s="617">
        <f>IF(AU$29&lt;'2. Kalkyldata'!$M28,0,-AU36/'2. Kalkyldata'!$P$16)</f>
        <v>0</v>
      </c>
      <c r="AV46" s="617">
        <f>IF(AV$29&lt;'2. Kalkyldata'!$M28,0,-AV36/'2. Kalkyldata'!$P$16)</f>
        <v>0</v>
      </c>
      <c r="AW46" s="617">
        <f>IF(AW$29&lt;'2. Kalkyldata'!$M28,0,-AW36/'2. Kalkyldata'!$P$16)</f>
        <v>0</v>
      </c>
      <c r="AX46" s="617">
        <f>IF(AX$29&lt;'2. Kalkyldata'!$M28,0,-AX36/'2. Kalkyldata'!$P$16)</f>
        <v>0</v>
      </c>
      <c r="AY46" s="617">
        <f>IF(AY$29&lt;'2. Kalkyldata'!$M28,0,-AY36/'2. Kalkyldata'!$P$16)</f>
        <v>0</v>
      </c>
      <c r="AZ46" s="617">
        <f>IF(AZ$29&lt;'2. Kalkyldata'!$M28,0,-AZ36/'2. Kalkyldata'!$P$16)</f>
        <v>0</v>
      </c>
      <c r="BA46" s="617">
        <f>IF(BA$29&lt;'2. Kalkyldata'!$M28,0,-BA36/'2. Kalkyldata'!$P$16)</f>
        <v>0</v>
      </c>
      <c r="BB46" s="504"/>
      <c r="BC46" s="523"/>
      <c r="BD46" s="523"/>
      <c r="BE46" s="523"/>
      <c r="BF46" s="523"/>
      <c r="BG46" s="523"/>
      <c r="BH46" s="523"/>
      <c r="BI46" s="523"/>
    </row>
    <row r="47" spans="1:61" ht="15" collapsed="1">
      <c r="A47" s="504"/>
      <c r="B47" s="327" t="str">
        <f>B37</f>
        <v>Totalt</v>
      </c>
      <c r="C47" s="617"/>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4"/>
      <c r="BC47" s="523"/>
      <c r="BD47" s="523"/>
      <c r="BE47" s="523"/>
      <c r="BF47" s="523"/>
      <c r="BG47" s="523"/>
      <c r="BH47" s="523"/>
      <c r="BI47" s="523"/>
    </row>
    <row r="48" spans="1:61">
      <c r="A48" s="504"/>
      <c r="B48" s="523"/>
      <c r="C48" s="617"/>
      <c r="D48" s="617"/>
      <c r="E48" s="617"/>
      <c r="F48" s="617"/>
      <c r="G48" s="617"/>
      <c r="H48" s="617"/>
      <c r="I48" s="617"/>
      <c r="J48" s="504"/>
      <c r="K48" s="504"/>
      <c r="L48" s="504"/>
      <c r="M48" s="504"/>
      <c r="N48" s="504"/>
      <c r="O48" s="504"/>
      <c r="P48" s="504"/>
      <c r="Q48" s="504"/>
      <c r="R48" s="504"/>
      <c r="S48" s="504"/>
      <c r="T48" s="504"/>
      <c r="U48" s="504"/>
      <c r="V48" s="504"/>
      <c r="W48" s="504"/>
      <c r="X48" s="504"/>
      <c r="Y48" s="504"/>
      <c r="Z48" s="504"/>
      <c r="AA48" s="504"/>
      <c r="AB48" s="504"/>
      <c r="AC48" s="504"/>
      <c r="AD48" s="504"/>
      <c r="AE48" s="504"/>
      <c r="AF48" s="504"/>
      <c r="AG48" s="504"/>
      <c r="AH48" s="504"/>
      <c r="AI48" s="504"/>
      <c r="AJ48" s="504"/>
      <c r="AK48" s="504"/>
      <c r="AL48" s="504"/>
      <c r="AM48" s="504"/>
      <c r="AN48" s="504"/>
      <c r="AO48" s="504"/>
      <c r="AP48" s="504"/>
      <c r="AQ48" s="504"/>
      <c r="AR48" s="504"/>
      <c r="AS48" s="504"/>
      <c r="AT48" s="504"/>
      <c r="AU48" s="504"/>
      <c r="AV48" s="504"/>
      <c r="AW48" s="504"/>
      <c r="AX48" s="504"/>
      <c r="AY48" s="504"/>
      <c r="AZ48" s="504"/>
      <c r="BA48" s="504"/>
      <c r="BB48" s="504"/>
      <c r="BC48" s="523"/>
      <c r="BD48" s="523"/>
      <c r="BE48" s="523"/>
      <c r="BF48" s="523"/>
      <c r="BG48" s="523"/>
      <c r="BH48" s="523"/>
      <c r="BI48" s="523"/>
    </row>
    <row r="49" spans="1:54" ht="15">
      <c r="A49" s="504"/>
      <c r="B49" s="327" t="s">
        <v>222</v>
      </c>
      <c r="C49" s="504"/>
      <c r="D49" s="504"/>
      <c r="E49" s="504"/>
      <c r="F49" s="504"/>
      <c r="G49" s="504"/>
      <c r="H49" s="504"/>
      <c r="I49" s="504"/>
      <c r="J49" s="504"/>
      <c r="K49" s="504"/>
      <c r="L49" s="504"/>
      <c r="M49" s="504"/>
      <c r="N49" s="504"/>
      <c r="O49" s="504"/>
      <c r="P49" s="504"/>
      <c r="Q49" s="504"/>
      <c r="R49" s="504"/>
      <c r="S49" s="504"/>
      <c r="T49" s="504"/>
      <c r="U49" s="504"/>
      <c r="V49" s="504"/>
      <c r="W49" s="504"/>
      <c r="X49" s="504"/>
      <c r="Y49" s="504"/>
      <c r="Z49" s="504"/>
      <c r="AA49" s="504"/>
      <c r="AB49" s="504"/>
      <c r="AC49" s="504"/>
      <c r="AD49" s="504"/>
      <c r="AE49" s="504"/>
      <c r="AF49" s="504"/>
      <c r="AG49" s="504"/>
      <c r="AH49" s="504"/>
      <c r="AI49" s="504"/>
      <c r="AJ49" s="504"/>
      <c r="AK49" s="504"/>
      <c r="AL49" s="504"/>
      <c r="AM49" s="504"/>
      <c r="AN49" s="504"/>
      <c r="AO49" s="504"/>
      <c r="AP49" s="504"/>
      <c r="AQ49" s="504"/>
      <c r="AR49" s="504"/>
      <c r="AS49" s="504"/>
      <c r="AT49" s="504"/>
      <c r="AU49" s="504"/>
      <c r="AV49" s="504"/>
      <c r="AW49" s="504"/>
      <c r="AX49" s="504"/>
      <c r="AY49" s="504"/>
      <c r="AZ49" s="504"/>
      <c r="BA49" s="504"/>
      <c r="BB49" s="504"/>
    </row>
    <row r="50" spans="1:54" hidden="1" outlineLevel="1">
      <c r="A50" s="504"/>
      <c r="B50" s="328" t="s">
        <v>221</v>
      </c>
      <c r="C50" s="504"/>
      <c r="D50" s="617">
        <f>IF(D30+SUM($D$40:D$40)&lt;0,0,(D$30+SUM($D$40:D$40)))</f>
        <v>0</v>
      </c>
      <c r="E50" s="617">
        <f>IF(E30+SUM($D$40:E$40)&lt;0,0,(E$30+SUM($D$40:E$40)))</f>
        <v>0</v>
      </c>
      <c r="F50" s="617">
        <f>IF(F30+SUM($D$40:F$40)&lt;0,0,(F$30+SUM($D$40:F$40)))</f>
        <v>0</v>
      </c>
      <c r="G50" s="617">
        <f>IF(G30+SUM($D$40:G$40)&lt;0,0,(G$30+SUM($D$40:G$40)))</f>
        <v>0</v>
      </c>
      <c r="H50" s="617">
        <f>IF(H30+SUM($D$40:H$40)&lt;0,0,(H$30+SUM($D$40:H$40)))</f>
        <v>0</v>
      </c>
      <c r="I50" s="617">
        <f>IF(I30+SUM($D$40:I$40)&lt;0,0,(I$30+SUM($D$40:I$40)))</f>
        <v>0</v>
      </c>
      <c r="J50" s="617">
        <f>IF(J30+SUM($D$40:J$40)&lt;0,0,(J$30+SUM($D$40:J$40)))</f>
        <v>0</v>
      </c>
      <c r="K50" s="617">
        <f>IF(K30+SUM($D$40:K$40)&lt;0,0,(K$30+SUM($D$40:K$40)))</f>
        <v>0</v>
      </c>
      <c r="L50" s="617">
        <f>IF(L30+SUM($D$40:L$40)&lt;0,0,(L$30+SUM($D$40:L$40)))</f>
        <v>0</v>
      </c>
      <c r="M50" s="617">
        <f>IF(M30+SUM($D$40:M$40)&lt;0,0,(M$30+SUM($D$40:M$40)))</f>
        <v>0</v>
      </c>
      <c r="N50" s="617">
        <f>IF(N30+SUM($D$40:N$40)&lt;0,0,(N$30+SUM($D$40:N$40)))</f>
        <v>0</v>
      </c>
      <c r="O50" s="617">
        <f>IF(O30+SUM($D$40:O$40)&lt;0,0,(O$30+SUM($D$40:O$40)))</f>
        <v>0</v>
      </c>
      <c r="P50" s="617">
        <f>IF(P30+SUM($D$40:P$40)&lt;0,0,(P$30+SUM($D$40:P$40)))</f>
        <v>0</v>
      </c>
      <c r="Q50" s="617">
        <f>IF(Q30+SUM($D$40:Q$40)&lt;0,0,(Q$30+SUM($D$40:Q$40)))</f>
        <v>0</v>
      </c>
      <c r="R50" s="617">
        <f>IF(R30+SUM($D$40:R$40)&lt;0,0,(R$30+SUM($D$40:R$40)))</f>
        <v>0</v>
      </c>
      <c r="S50" s="617">
        <f>IF(S30+SUM($D$40:S$40)&lt;0,0,(S$30+SUM($D$40:S$40)))</f>
        <v>0</v>
      </c>
      <c r="T50" s="617">
        <f>IF(T30+SUM($D$40:T$40)&lt;0,0,(T$30+SUM($D$40:T$40)))</f>
        <v>0</v>
      </c>
      <c r="U50" s="617">
        <f>IF(U30+SUM($D$40:U$40)&lt;0,0,(U$30+SUM($D$40:U$40)))</f>
        <v>0</v>
      </c>
      <c r="V50" s="617">
        <f>IF(V30+SUM($D$40:V$40)&lt;0,0,(V$30+SUM($D$40:V$40)))</f>
        <v>0</v>
      </c>
      <c r="W50" s="617">
        <f>IF(W30+SUM($D$40:W$40)&lt;0,0,(W$30+SUM($D$40:W$40)))</f>
        <v>0</v>
      </c>
      <c r="X50" s="617">
        <f>IF(X30+SUM($D$40:X$40)&lt;0,0,(X$30+SUM($D$40:X$40)))</f>
        <v>0</v>
      </c>
      <c r="Y50" s="617">
        <f>IF(Y30+SUM($D$40:Y$40)&lt;0,0,(Y$30+SUM($D$40:Y$40)))</f>
        <v>0</v>
      </c>
      <c r="Z50" s="617">
        <f>IF(Z30+SUM($D$40:Z$40)&lt;0,0,(Z$30+SUM($D$40:Z$40)))</f>
        <v>0</v>
      </c>
      <c r="AA50" s="617">
        <f>IF(AA30+SUM($D$40:AA$40)&lt;0,0,(AA$30+SUM($D$40:AA$40)))</f>
        <v>0</v>
      </c>
      <c r="AB50" s="617">
        <f>IF(AB30+SUM($D$40:AB$40)&lt;0,0,(AB$30+SUM($D$40:AB$40)))</f>
        <v>0</v>
      </c>
      <c r="AC50" s="617">
        <f>IF(AC30+SUM($D$40:AC$40)&lt;0,0,(AC$30+SUM($D$40:AC$40)))</f>
        <v>0</v>
      </c>
      <c r="AD50" s="617">
        <f>IF(AD30+SUM($D$40:AD$40)&lt;0,0,(AD$30+SUM($D$40:AD$40)))</f>
        <v>0</v>
      </c>
      <c r="AE50" s="617">
        <f>IF(AE30+SUM($D$40:AE$40)&lt;0,0,(AE$30+SUM($D$40:AE$40)))</f>
        <v>0</v>
      </c>
      <c r="AF50" s="617">
        <f>IF(AF30+SUM($D$40:AF$40)&lt;0,0,(AF$30+SUM($D$40:AF$40)))</f>
        <v>0</v>
      </c>
      <c r="AG50" s="617">
        <f>IF(AG30+SUM($D$40:AG$40)&lt;0,0,(AG$30+SUM($D$40:AG$40)))</f>
        <v>0</v>
      </c>
      <c r="AH50" s="617">
        <f>IF(AH30+SUM($D$40:AH$40)&lt;0,0,(AH$30+SUM($D$40:AH$40)))</f>
        <v>0</v>
      </c>
      <c r="AI50" s="617">
        <f>IF(AI30+SUM($D$40:AI$40)&lt;0,0,(AI$30+SUM($D$40:AI$40)))</f>
        <v>0</v>
      </c>
      <c r="AJ50" s="617">
        <f>IF(AJ30+SUM($D$40:AJ$40)&lt;0,0,(AJ$30+SUM($D$40:AJ$40)))</f>
        <v>0</v>
      </c>
      <c r="AK50" s="617">
        <f>IF(AK30+SUM($D$40:AK$40)&lt;0,0,(AK$30+SUM($D$40:AK$40)))</f>
        <v>0</v>
      </c>
      <c r="AL50" s="617">
        <f>IF(AL30+SUM($D$40:AL$40)&lt;0,0,(AL$30+SUM($D$40:AL$40)))</f>
        <v>0</v>
      </c>
      <c r="AM50" s="617">
        <f>IF(AM30+SUM($D$40:AM$40)&lt;0,0,(AM$30+SUM($D$40:AM$40)))</f>
        <v>0</v>
      </c>
      <c r="AN50" s="617">
        <f>IF(AN30+SUM($D$40:AN$40)&lt;0,0,(AN$30+SUM($D$40:AN$40)))</f>
        <v>0</v>
      </c>
      <c r="AO50" s="617">
        <f>IF(AO30+SUM($D$40:AO$40)&lt;0,0,(AO$30+SUM($D$40:AO$40)))</f>
        <v>0</v>
      </c>
      <c r="AP50" s="617">
        <f>IF(AP30+SUM($D$40:AP$40)&lt;0,0,(AP$30+SUM($D$40:AP$40)))</f>
        <v>0</v>
      </c>
      <c r="AQ50" s="617">
        <f>IF(AQ30+SUM($D$40:AQ$40)&lt;0,0,(AQ$30+SUM($D$40:AQ$40)))</f>
        <v>0</v>
      </c>
      <c r="AR50" s="617">
        <f>IF(AR30+SUM($D$40:AR$40)&lt;0,0,(AR$30+SUM($D$40:AR$40)))</f>
        <v>0</v>
      </c>
      <c r="AS50" s="617">
        <f>IF(AS30+SUM($D$40:AS$40)&lt;0,0,(AS$30+SUM($D$40:AS$40)))</f>
        <v>0</v>
      </c>
      <c r="AT50" s="617">
        <f>IF(AT30+SUM($D$40:AT$40)&lt;0,0,(AT$30+SUM($D$40:AT$40)))</f>
        <v>0</v>
      </c>
      <c r="AU50" s="617">
        <f>IF(AU30+SUM($D$40:AU$40)&lt;0,0,(AU$30+SUM($D$40:AU$40)))</f>
        <v>0</v>
      </c>
      <c r="AV50" s="617">
        <f>IF(AV30+SUM($D$40:AV$40)&lt;0,0,(AV$30+SUM($D$40:AV$40)))</f>
        <v>0</v>
      </c>
      <c r="AW50" s="617">
        <f>IF(AW30+SUM($D$40:AW$40)&lt;0,0,(AW$30+SUM($D$40:AW$40)))</f>
        <v>0</v>
      </c>
      <c r="AX50" s="617">
        <f>IF(AX30+SUM($D$40:AX$40)&lt;0,0,(AX$30+SUM($D$40:AX$40)))</f>
        <v>0</v>
      </c>
      <c r="AY50" s="617">
        <f>IF(AY30+SUM($D$40:AY$40)&lt;0,0,(AY$30+SUM($D$40:AY$40)))</f>
        <v>0</v>
      </c>
      <c r="AZ50" s="617">
        <f>IF(AZ30+SUM($D$40:AZ$40)&lt;0,0,(AZ$30+SUM($D$40:AZ$40)))</f>
        <v>0</v>
      </c>
      <c r="BA50" s="617">
        <f>IF(BA30+SUM($D$40:BA$40)&lt;0,0,(BA$30+SUM($D$40:BA$40)))</f>
        <v>0</v>
      </c>
      <c r="BB50" s="504"/>
    </row>
    <row r="51" spans="1:54" hidden="1" outlineLevel="1">
      <c r="A51" s="504"/>
      <c r="B51" s="328" t="str">
        <f t="shared" ref="B51:B56" si="9">B41</f>
        <v>Skola</v>
      </c>
      <c r="C51" s="504"/>
      <c r="D51" s="617">
        <f>IF(D31+SUM($D$41:D$41)&lt;0,0,(D$31+SUM($D$41:D$41)))</f>
        <v>232727272.72727269</v>
      </c>
      <c r="E51" s="617">
        <f>IF(E31+SUM($D$41:E$41)&lt;0,0,(E$31+SUM($D$41:E$41)))</f>
        <v>225454545.45454544</v>
      </c>
      <c r="F51" s="617">
        <f>IF(F31+SUM($D$41:F$41)&lt;0,0,(F$31+SUM($D$41:F$41)))</f>
        <v>218181818.18181816</v>
      </c>
      <c r="G51" s="617">
        <f>IF(G31+SUM($D$41:G$41)&lt;0,0,(G$31+SUM($D$41:G$41)))</f>
        <v>210909090.90909088</v>
      </c>
      <c r="H51" s="617">
        <f>IF(H31+SUM($D$41:H$41)&lt;0,0,(H$31+SUM($D$41:H$41)))</f>
        <v>203636363.63636363</v>
      </c>
      <c r="I51" s="617">
        <f>IF(I31+SUM($D$41:I$41)&lt;0,0,(I$31+SUM($D$41:I$41)))</f>
        <v>196363636.36363634</v>
      </c>
      <c r="J51" s="617">
        <f>IF(J31+SUM($D$41:J$41)&lt;0,0,(J$31+SUM($D$41:J$41)))</f>
        <v>189090909.09090906</v>
      </c>
      <c r="K51" s="617">
        <f>IF(K31+SUM($D$41:K$41)&lt;0,0,(K$31+SUM($D$41:K$41)))</f>
        <v>181818181.81818178</v>
      </c>
      <c r="L51" s="617">
        <f>IF(L31+SUM($D$41:L$41)&lt;0,0,(L$31+SUM($D$41:L$41)))</f>
        <v>174545454.5454545</v>
      </c>
      <c r="M51" s="617">
        <f>IF(M31+SUM($D$41:M$41)&lt;0,0,(M$31+SUM($D$41:M$41)))</f>
        <v>167272727.27272725</v>
      </c>
      <c r="N51" s="617">
        <f>IF(N31+SUM($D$41:N$41)&lt;0,0,(N$31+SUM($D$41:N$41)))</f>
        <v>160000000</v>
      </c>
      <c r="O51" s="617">
        <f>IF(O31+SUM($D$41:O$41)&lt;0,0,(O$31+SUM($D$41:O$41)))</f>
        <v>152727272.72727272</v>
      </c>
      <c r="P51" s="617">
        <f>IF(P31+SUM($D$41:P$41)&lt;0,0,(P$31+SUM($D$41:P$41)))</f>
        <v>145454545.45454544</v>
      </c>
      <c r="Q51" s="617">
        <f>IF(Q31+SUM($D$41:Q$41)&lt;0,0,(Q$31+SUM($D$41:Q$41)))</f>
        <v>138181818.18181819</v>
      </c>
      <c r="R51" s="617">
        <f>IF(R31+SUM($D$41:R$41)&lt;0,0,(R$31+SUM($D$41:R$41)))</f>
        <v>130909090.90909092</v>
      </c>
      <c r="S51" s="617">
        <f>IF(S31+SUM($D$41:S$41)&lt;0,0,(S$31+SUM($D$41:S$41)))</f>
        <v>123636363.63636366</v>
      </c>
      <c r="T51" s="617">
        <f>IF(T31+SUM($D$41:T$41)&lt;0,0,(T$31+SUM($D$41:T$41)))</f>
        <v>116363636.36363639</v>
      </c>
      <c r="U51" s="617">
        <f>IF(U31+SUM($D$41:U$41)&lt;0,0,(U$31+SUM($D$41:U$41)))</f>
        <v>109090909.09090912</v>
      </c>
      <c r="V51" s="617">
        <f>IF(V31+SUM($D$41:V$41)&lt;0,0,(V$31+SUM($D$41:V$41)))</f>
        <v>101818181.81818184</v>
      </c>
      <c r="W51" s="617">
        <f>IF(W31+SUM($D$41:W$41)&lt;0,0,(W$31+SUM($D$41:W$41)))</f>
        <v>94545454.545454562</v>
      </c>
      <c r="X51" s="617">
        <f>IF(X31+SUM($D$41:X$41)&lt;0,0,(X$31+SUM($D$41:X$41)))</f>
        <v>87272727.272727281</v>
      </c>
      <c r="Y51" s="617">
        <f>IF(Y31+SUM($D$41:Y$41)&lt;0,0,(Y$31+SUM($D$41:Y$41)))</f>
        <v>0</v>
      </c>
      <c r="Z51" s="617">
        <f>IF(Z31+SUM($D$41:Z$41)&lt;0,0,(Z$31+SUM($D$41:Z$41)))</f>
        <v>0</v>
      </c>
      <c r="AA51" s="617">
        <f>IF(AA31+SUM($D$41:AA$41)&lt;0,0,(AA$31+SUM($D$41:AA$41)))</f>
        <v>0</v>
      </c>
      <c r="AB51" s="617">
        <f>IF(AB31+SUM($D$41:AB$41)&lt;0,0,(AB$31+SUM($D$41:AB$41)))</f>
        <v>0</v>
      </c>
      <c r="AC51" s="617">
        <f>IF(AC31+SUM($D$41:AC$41)&lt;0,0,(AC$31+SUM($D$41:AC$41)))</f>
        <v>0</v>
      </c>
      <c r="AD51" s="617">
        <f>IF(AD31+SUM($D$41:AD$41)&lt;0,0,(AD$31+SUM($D$41:AD$41)))</f>
        <v>0</v>
      </c>
      <c r="AE51" s="617">
        <f>IF(AE31+SUM($D$41:AE$41)&lt;0,0,(AE$31+SUM($D$41:AE$41)))</f>
        <v>0</v>
      </c>
      <c r="AF51" s="617">
        <f>IF(AF31+SUM($D$41:AF$41)&lt;0,0,(AF$31+SUM($D$41:AF$41)))</f>
        <v>0</v>
      </c>
      <c r="AG51" s="617">
        <f>IF(AG31+SUM($D$41:AG$41)&lt;0,0,(AG$31+SUM($D$41:AG$41)))</f>
        <v>0</v>
      </c>
      <c r="AH51" s="617">
        <f>IF(AH31+SUM($D$41:AH$41)&lt;0,0,(AH$31+SUM($D$41:AH$41)))</f>
        <v>0</v>
      </c>
      <c r="AI51" s="617">
        <f>IF(AI31+SUM($D$41:AI$41)&lt;0,0,(AI$31+SUM($D$41:AI$41)))</f>
        <v>0</v>
      </c>
      <c r="AJ51" s="617">
        <f>IF(AJ31+SUM($D$41:AJ$41)&lt;0,0,(AJ$31+SUM($D$41:AJ$41)))</f>
        <v>0</v>
      </c>
      <c r="AK51" s="617">
        <f>IF(AK31+SUM($D$41:AK$41)&lt;0,0,(AK$31+SUM($D$41:AK$41)))</f>
        <v>0</v>
      </c>
      <c r="AL51" s="617">
        <f>IF(AL31+SUM($D$41:AL$41)&lt;0,0,(AL$31+SUM($D$41:AL$41)))</f>
        <v>0</v>
      </c>
      <c r="AM51" s="617">
        <f>IF(AM31+SUM($D$41:AM$41)&lt;0,0,(AM$31+SUM($D$41:AM$41)))</f>
        <v>0</v>
      </c>
      <c r="AN51" s="617">
        <f>IF(AN31+SUM($D$41:AN$41)&lt;0,0,(AN$31+SUM($D$41:AN$41)))</f>
        <v>0</v>
      </c>
      <c r="AO51" s="617">
        <f>IF(AO31+SUM($D$41:AO$41)&lt;0,0,(AO$31+SUM($D$41:AO$41)))</f>
        <v>0</v>
      </c>
      <c r="AP51" s="617">
        <f>IF(AP31+SUM($D$41:AP$41)&lt;0,0,(AP$31+SUM($D$41:AP$41)))</f>
        <v>0</v>
      </c>
      <c r="AQ51" s="617">
        <f>IF(AQ31+SUM($D$41:AQ$41)&lt;0,0,(AQ$31+SUM($D$41:AQ$41)))</f>
        <v>0</v>
      </c>
      <c r="AR51" s="617">
        <f>IF(AR31+SUM($D$41:AR$41)&lt;0,0,(AR$31+SUM($D$41:AR$41)))</f>
        <v>0</v>
      </c>
      <c r="AS51" s="617">
        <f>IF(AS31+SUM($D$41:AS$41)&lt;0,0,(AS$31+SUM($D$41:AS$41)))</f>
        <v>0</v>
      </c>
      <c r="AT51" s="617">
        <f>IF(AT31+SUM($D$41:AT$41)&lt;0,0,(AT$31+SUM($D$41:AT$41)))</f>
        <v>0</v>
      </c>
      <c r="AU51" s="617">
        <f>IF(AU31+SUM($D$41:AU$41)&lt;0,0,(AU$31+SUM($D$41:AU$41)))</f>
        <v>0</v>
      </c>
      <c r="AV51" s="617">
        <f>IF(AV31+SUM($D$41:AV$41)&lt;0,0,(AV$31+SUM($D$41:AV$41)))</f>
        <v>0</v>
      </c>
      <c r="AW51" s="617">
        <f>IF(AW31+SUM($D$41:AW$41)&lt;0,0,(AW$31+SUM($D$41:AW$41)))</f>
        <v>0</v>
      </c>
      <c r="AX51" s="617">
        <f>IF(AX31+SUM($D$41:AX$41)&lt;0,0,(AX$31+SUM($D$41:AX$41)))</f>
        <v>0</v>
      </c>
      <c r="AY51" s="617">
        <f>IF(AY31+SUM($D$41:AY$41)&lt;0,0,(AY$31+SUM($D$41:AY$41)))</f>
        <v>0</v>
      </c>
      <c r="AZ51" s="617">
        <f>IF(AZ31+SUM($D$41:AZ$41)&lt;0,0,(AZ$31+SUM($D$41:AZ$41)))</f>
        <v>0</v>
      </c>
      <c r="BA51" s="617">
        <f>IF(BA31+SUM($D$41:BA$41)&lt;0,0,(BA$31+SUM($D$41:BA$41)))</f>
        <v>0</v>
      </c>
      <c r="BB51" s="504"/>
    </row>
    <row r="52" spans="1:54" hidden="1" outlineLevel="1">
      <c r="A52" s="504"/>
      <c r="B52" s="328">
        <f t="shared" si="9"/>
        <v>0</v>
      </c>
      <c r="C52" s="504"/>
      <c r="D52" s="617">
        <f>IF(D32+SUM($D$42:D$42)&lt;0,0,(D$32+SUM($D$42:D$42)))</f>
        <v>0</v>
      </c>
      <c r="E52" s="617">
        <f>IF(E32+SUM($D$42:E$42)&lt;0,0,(E$32+SUM($D$42:E$42)))</f>
        <v>0</v>
      </c>
      <c r="F52" s="617">
        <f>IF(F32+SUM($D$42:F$42)&lt;0,0,(F$32+SUM($D$42:F$42)))</f>
        <v>0</v>
      </c>
      <c r="G52" s="617">
        <f>IF(G32+SUM($D$42:G$42)&lt;0,0,(G$32+SUM($D$42:G$42)))</f>
        <v>0</v>
      </c>
      <c r="H52" s="617">
        <f>IF(H32+SUM($D$42:H$42)&lt;0,0,(H$32+SUM($D$42:H$42)))</f>
        <v>0</v>
      </c>
      <c r="I52" s="617">
        <f>IF(I32+SUM($D$42:I$42)&lt;0,0,(I$32+SUM($D$42:I$42)))</f>
        <v>0</v>
      </c>
      <c r="J52" s="617">
        <f>IF(J32+SUM($D$42:J$42)&lt;0,0,(J$32+SUM($D$42:J$42)))</f>
        <v>0</v>
      </c>
      <c r="K52" s="617">
        <f>IF(K32+SUM($D$42:K$42)&lt;0,0,(K$32+SUM($D$42:K$42)))</f>
        <v>0</v>
      </c>
      <c r="L52" s="617">
        <f>IF(L32+SUM($D$42:L$42)&lt;0,0,(L$32+SUM($D$42:L$42)))</f>
        <v>0</v>
      </c>
      <c r="M52" s="617">
        <f>IF(M32+SUM($D$42:M$42)&lt;0,0,(M$32+SUM($D$42:M$42)))</f>
        <v>0</v>
      </c>
      <c r="N52" s="617">
        <f>IF(N32+SUM($D$42:N$42)&lt;0,0,(N$32+SUM($D$42:N$42)))</f>
        <v>0</v>
      </c>
      <c r="O52" s="617">
        <f>IF(O32+SUM($D$42:O$42)&lt;0,0,(O$32+SUM($D$42:O$42)))</f>
        <v>0</v>
      </c>
      <c r="P52" s="617">
        <f>IF(P32+SUM($D$42:P$42)&lt;0,0,(P$32+SUM($D$42:P$42)))</f>
        <v>0</v>
      </c>
      <c r="Q52" s="617">
        <f>IF(Q32+SUM($D$42:Q$42)&lt;0,0,(Q$32+SUM($D$42:Q$42)))</f>
        <v>0</v>
      </c>
      <c r="R52" s="617">
        <f>IF(R32+SUM($D$42:R$42)&lt;0,0,(R$32+SUM($D$42:R$42)))</f>
        <v>0</v>
      </c>
      <c r="S52" s="617">
        <f>IF(S32+SUM($D$42:S$42)&lt;0,0,(S$32+SUM($D$42:S$42)))</f>
        <v>0</v>
      </c>
      <c r="T52" s="617">
        <f>IF(T32+SUM($D$42:T$42)&lt;0,0,(T$32+SUM($D$42:T$42)))</f>
        <v>0</v>
      </c>
      <c r="U52" s="617">
        <f>IF(U32+SUM($D$42:U$42)&lt;0,0,(U$32+SUM($D$42:U$42)))</f>
        <v>0</v>
      </c>
      <c r="V52" s="617">
        <f>IF(V32+SUM($D$42:V$42)&lt;0,0,(V$32+SUM($D$42:V$42)))</f>
        <v>0</v>
      </c>
      <c r="W52" s="617">
        <f>IF(W32+SUM($D$42:W$42)&lt;0,0,(W$32+SUM($D$42:W$42)))</f>
        <v>0</v>
      </c>
      <c r="X52" s="617">
        <f>IF(X32+SUM($D$42:X$42)&lt;0,0,(X$32+SUM($D$42:X$42)))</f>
        <v>0</v>
      </c>
      <c r="Y52" s="617">
        <f>IF(Y32+SUM($D$42:Y$42)&lt;0,0,(Y$32+SUM($D$42:Y$42)))</f>
        <v>0</v>
      </c>
      <c r="Z52" s="617">
        <f>IF(Z32+SUM($D$42:Z$42)&lt;0,0,(Z$32+SUM($D$42:Z$42)))</f>
        <v>0</v>
      </c>
      <c r="AA52" s="617">
        <f>IF(AA32+SUM($D$42:AA$42)&lt;0,0,(AA$32+SUM($D$42:AA$42)))</f>
        <v>0</v>
      </c>
      <c r="AB52" s="617">
        <f>IF(AB32+SUM($D$42:AB$42)&lt;0,0,(AB$32+SUM($D$42:AB$42)))</f>
        <v>0</v>
      </c>
      <c r="AC52" s="617">
        <f>IF(AC32+SUM($D$42:AC$42)&lt;0,0,(AC$32+SUM($D$42:AC$42)))</f>
        <v>0</v>
      </c>
      <c r="AD52" s="617">
        <f>IF(AD32+SUM($D$42:AD$42)&lt;0,0,(AD$32+SUM($D$42:AD$42)))</f>
        <v>0</v>
      </c>
      <c r="AE52" s="617">
        <f>IF(AE32+SUM($D$42:AE$42)&lt;0,0,(AE$32+SUM($D$42:AE$42)))</f>
        <v>0</v>
      </c>
      <c r="AF52" s="617">
        <f>IF(AF32+SUM($D$42:AF$42)&lt;0,0,(AF$32+SUM($D$42:AF$42)))</f>
        <v>0</v>
      </c>
      <c r="AG52" s="617">
        <f>IF(AG32+SUM($D$42:AG$42)&lt;0,0,(AG$32+SUM($D$42:AG$42)))</f>
        <v>0</v>
      </c>
      <c r="AH52" s="617">
        <f>IF(AH32+SUM($D$42:AH$42)&lt;0,0,(AH$32+SUM($D$42:AH$42)))</f>
        <v>0</v>
      </c>
      <c r="AI52" s="617">
        <f>IF(AI32+SUM($D$42:AI$42)&lt;0,0,(AI$32+SUM($D$42:AI$42)))</f>
        <v>0</v>
      </c>
      <c r="AJ52" s="617">
        <f>IF(AJ32+SUM($D$42:AJ$42)&lt;0,0,(AJ$32+SUM($D$42:AJ$42)))</f>
        <v>0</v>
      </c>
      <c r="AK52" s="617">
        <f>IF(AK32+SUM($D$42:AK$42)&lt;0,0,(AK$32+SUM($D$42:AK$42)))</f>
        <v>0</v>
      </c>
      <c r="AL52" s="617">
        <f>IF(AL32+SUM($D$42:AL$42)&lt;0,0,(AL$32+SUM($D$42:AL$42)))</f>
        <v>0</v>
      </c>
      <c r="AM52" s="617">
        <f>IF(AM32+SUM($D$42:AM$42)&lt;0,0,(AM$32+SUM($D$42:AM$42)))</f>
        <v>0</v>
      </c>
      <c r="AN52" s="617">
        <f>IF(AN32+SUM($D$42:AN$42)&lt;0,0,(AN$32+SUM($D$42:AN$42)))</f>
        <v>0</v>
      </c>
      <c r="AO52" s="617">
        <f>IF(AO32+SUM($D$42:AO$42)&lt;0,0,(AO$32+SUM($D$42:AO$42)))</f>
        <v>0</v>
      </c>
      <c r="AP52" s="617">
        <f>IF(AP32+SUM($D$42:AP$42)&lt;0,0,(AP$32+SUM($D$42:AP$42)))</f>
        <v>0</v>
      </c>
      <c r="AQ52" s="617">
        <f>IF(AQ32+SUM($D$42:AQ$42)&lt;0,0,(AQ$32+SUM($D$42:AQ$42)))</f>
        <v>0</v>
      </c>
      <c r="AR52" s="617">
        <f>IF(AR32+SUM($D$42:AR$42)&lt;0,0,(AR$32+SUM($D$42:AR$42)))</f>
        <v>0</v>
      </c>
      <c r="AS52" s="617">
        <f>IF(AS32+SUM($D$42:AS$42)&lt;0,0,(AS$32+SUM($D$42:AS$42)))</f>
        <v>0</v>
      </c>
      <c r="AT52" s="617">
        <f>IF(AT32+SUM($D$42:AT$42)&lt;0,0,(AT$32+SUM($D$42:AT$42)))</f>
        <v>0</v>
      </c>
      <c r="AU52" s="617">
        <f>IF(AU32+SUM($D$42:AU$42)&lt;0,0,(AU$32+SUM($D$42:AU$42)))</f>
        <v>0</v>
      </c>
      <c r="AV52" s="617">
        <f>IF(AV32+SUM($D$42:AV$42)&lt;0,0,(AV$32+SUM($D$42:AV$42)))</f>
        <v>0</v>
      </c>
      <c r="AW52" s="617">
        <f>IF(AW32+SUM($D$42:AW$42)&lt;0,0,(AW$32+SUM($D$42:AW$42)))</f>
        <v>0</v>
      </c>
      <c r="AX52" s="617">
        <f>IF(AX32+SUM($D$42:AX$42)&lt;0,0,(AX$32+SUM($D$42:AX$42)))</f>
        <v>0</v>
      </c>
      <c r="AY52" s="617">
        <f>IF(AY32+SUM($D$42:AY$42)&lt;0,0,(AY$32+SUM($D$42:AY$42)))</f>
        <v>0</v>
      </c>
      <c r="AZ52" s="617">
        <f>IF(AZ32+SUM($D$42:AZ$42)&lt;0,0,(AZ$32+SUM($D$42:AZ$42)))</f>
        <v>0</v>
      </c>
      <c r="BA52" s="617">
        <f>IF(BA32+SUM($D$42:BA$42)&lt;0,0,(BA$32+SUM($D$42:BA$42)))</f>
        <v>0</v>
      </c>
      <c r="BB52" s="504"/>
    </row>
    <row r="53" spans="1:54" hidden="1" outlineLevel="1">
      <c r="A53" s="504"/>
      <c r="B53" s="328">
        <f t="shared" si="9"/>
        <v>0</v>
      </c>
      <c r="C53" s="504"/>
      <c r="D53" s="617">
        <f>IF(D33+SUM($D$43:D$43)&lt;0,0,(D$33+SUM($D$43:D$43)))</f>
        <v>0</v>
      </c>
      <c r="E53" s="617">
        <f>IF(E33+SUM($D$43:E$43)&lt;0,0,(E$33+SUM($D$43:E$43)))</f>
        <v>0</v>
      </c>
      <c r="F53" s="617">
        <f>IF(F33+SUM($D$43:F$43)&lt;0,0,(F$33+SUM($D$43:F$43)))</f>
        <v>0</v>
      </c>
      <c r="G53" s="617">
        <f>IF(G33+SUM($D$43:G$43)&lt;0,0,(G$33+SUM($D$43:G$43)))</f>
        <v>0</v>
      </c>
      <c r="H53" s="617">
        <f>IF(H33+SUM($D$43:H$43)&lt;0,0,(H$33+SUM($D$43:H$43)))</f>
        <v>0</v>
      </c>
      <c r="I53" s="617">
        <f>IF(I33+SUM($D$43:I$43)&lt;0,0,(I$33+SUM($D$43:I$43)))</f>
        <v>0</v>
      </c>
      <c r="J53" s="617">
        <f>IF(J33+SUM($D$43:J$43)&lt;0,0,(J$33+SUM($D$43:J$43)))</f>
        <v>0</v>
      </c>
      <c r="K53" s="617">
        <f>IF(K33+SUM($D$43:K$43)&lt;0,0,(K$33+SUM($D$43:K$43)))</f>
        <v>0</v>
      </c>
      <c r="L53" s="617">
        <f>IF(L33+SUM($D$43:L$43)&lt;0,0,(L$33+SUM($D$43:L$43)))</f>
        <v>0</v>
      </c>
      <c r="M53" s="617">
        <f>IF(M33+SUM($D$43:M$43)&lt;0,0,(M$33+SUM($D$43:M$43)))</f>
        <v>0</v>
      </c>
      <c r="N53" s="617">
        <f>IF(N33+SUM($D$43:N$43)&lt;0,0,(N$33+SUM($D$43:N$43)))</f>
        <v>0</v>
      </c>
      <c r="O53" s="617">
        <f>IF(O33+SUM($D$43:O$43)&lt;0,0,(O$33+SUM($D$43:O$43)))</f>
        <v>0</v>
      </c>
      <c r="P53" s="617">
        <f>IF(P33+SUM($D$43:P$43)&lt;0,0,(P$33+SUM($D$43:P$43)))</f>
        <v>0</v>
      </c>
      <c r="Q53" s="617">
        <f>IF(Q33+SUM($D$43:Q$43)&lt;0,0,(Q$33+SUM($D$43:Q$43)))</f>
        <v>0</v>
      </c>
      <c r="R53" s="617">
        <f>IF(R33+SUM($D$43:R$43)&lt;0,0,(R$33+SUM($D$43:R$43)))</f>
        <v>0</v>
      </c>
      <c r="S53" s="617">
        <f>IF(S33+SUM($D$43:S$43)&lt;0,0,(S$33+SUM($D$43:S$43)))</f>
        <v>0</v>
      </c>
      <c r="T53" s="617">
        <f>IF(T33+SUM($D$43:T$43)&lt;0,0,(T$33+SUM($D$43:T$43)))</f>
        <v>0</v>
      </c>
      <c r="U53" s="617">
        <f>IF(U33+SUM($D$43:U$43)&lt;0,0,(U$33+SUM($D$43:U$43)))</f>
        <v>0</v>
      </c>
      <c r="V53" s="617">
        <f>IF(V33+SUM($D$43:V$43)&lt;0,0,(V$33+SUM($D$43:V$43)))</f>
        <v>0</v>
      </c>
      <c r="W53" s="617">
        <f>IF(W33+SUM($D$43:W$43)&lt;0,0,(W$33+SUM($D$43:W$43)))</f>
        <v>0</v>
      </c>
      <c r="X53" s="617">
        <f>IF(X33+SUM($D$43:X$43)&lt;0,0,(X$33+SUM($D$43:X$43)))</f>
        <v>0</v>
      </c>
      <c r="Y53" s="617">
        <f>IF(Y33+SUM($D$43:Y$43)&lt;0,0,(Y$33+SUM($D$43:Y$43)))</f>
        <v>0</v>
      </c>
      <c r="Z53" s="617">
        <f>IF(Z33+SUM($D$43:Z$43)&lt;0,0,(Z$33+SUM($D$43:Z$43)))</f>
        <v>0</v>
      </c>
      <c r="AA53" s="617">
        <f>IF(AA33+SUM($D$43:AA$43)&lt;0,0,(AA$33+SUM($D$43:AA$43)))</f>
        <v>0</v>
      </c>
      <c r="AB53" s="617">
        <f>IF(AB33+SUM($D$43:AB$43)&lt;0,0,(AB$33+SUM($D$43:AB$43)))</f>
        <v>0</v>
      </c>
      <c r="AC53" s="617">
        <f>IF(AC33+SUM($D$43:AC$43)&lt;0,0,(AC$33+SUM($D$43:AC$43)))</f>
        <v>0</v>
      </c>
      <c r="AD53" s="617">
        <f>IF(AD33+SUM($D$43:AD$43)&lt;0,0,(AD$33+SUM($D$43:AD$43)))</f>
        <v>0</v>
      </c>
      <c r="AE53" s="617">
        <f>IF(AE33+SUM($D$43:AE$43)&lt;0,0,(AE$33+SUM($D$43:AE$43)))</f>
        <v>0</v>
      </c>
      <c r="AF53" s="617">
        <f>IF(AF33+SUM($D$43:AF$43)&lt;0,0,(AF$33+SUM($D$43:AF$43)))</f>
        <v>0</v>
      </c>
      <c r="AG53" s="617">
        <f>IF(AG33+SUM($D$43:AG$43)&lt;0,0,(AG$33+SUM($D$43:AG$43)))</f>
        <v>0</v>
      </c>
      <c r="AH53" s="617">
        <f>IF(AH33+SUM($D$43:AH$43)&lt;0,0,(AH$33+SUM($D$43:AH$43)))</f>
        <v>0</v>
      </c>
      <c r="AI53" s="617">
        <f>IF(AI33+SUM($D$43:AI$43)&lt;0,0,(AI$33+SUM($D$43:AI$43)))</f>
        <v>0</v>
      </c>
      <c r="AJ53" s="617">
        <f>IF(AJ33+SUM($D$43:AJ$43)&lt;0,0,(AJ$33+SUM($D$43:AJ$43)))</f>
        <v>0</v>
      </c>
      <c r="AK53" s="617">
        <f>IF(AK33+SUM($D$43:AK$43)&lt;0,0,(AK$33+SUM($D$43:AK$43)))</f>
        <v>0</v>
      </c>
      <c r="AL53" s="617">
        <f>IF(AL33+SUM($D$43:AL$43)&lt;0,0,(AL$33+SUM($D$43:AL$43)))</f>
        <v>0</v>
      </c>
      <c r="AM53" s="617">
        <f>IF(AM33+SUM($D$43:AM$43)&lt;0,0,(AM$33+SUM($D$43:AM$43)))</f>
        <v>0</v>
      </c>
      <c r="AN53" s="617">
        <f>IF(AN33+SUM($D$43:AN$43)&lt;0,0,(AN$33+SUM($D$43:AN$43)))</f>
        <v>0</v>
      </c>
      <c r="AO53" s="617">
        <f>IF(AO33+SUM($D$43:AO$43)&lt;0,0,(AO$33+SUM($D$43:AO$43)))</f>
        <v>0</v>
      </c>
      <c r="AP53" s="617">
        <f>IF(AP33+SUM($D$43:AP$43)&lt;0,0,(AP$33+SUM($D$43:AP$43)))</f>
        <v>0</v>
      </c>
      <c r="AQ53" s="617">
        <f>IF(AQ33+SUM($D$43:AQ$43)&lt;0,0,(AQ$33+SUM($D$43:AQ$43)))</f>
        <v>0</v>
      </c>
      <c r="AR53" s="617">
        <f>IF(AR33+SUM($D$43:AR$43)&lt;0,0,(AR$33+SUM($D$43:AR$43)))</f>
        <v>0</v>
      </c>
      <c r="AS53" s="617">
        <f>IF(AS33+SUM($D$43:AS$43)&lt;0,0,(AS$33+SUM($D$43:AS$43)))</f>
        <v>0</v>
      </c>
      <c r="AT53" s="617">
        <f>IF(AT33+SUM($D$43:AT$43)&lt;0,0,(AT$33+SUM($D$43:AT$43)))</f>
        <v>0</v>
      </c>
      <c r="AU53" s="617">
        <f>IF(AU33+SUM($D$43:AU$43)&lt;0,0,(AU$33+SUM($D$43:AU$43)))</f>
        <v>0</v>
      </c>
      <c r="AV53" s="617">
        <f>IF(AV33+SUM($D$43:AV$43)&lt;0,0,(AV$33+SUM($D$43:AV$43)))</f>
        <v>0</v>
      </c>
      <c r="AW53" s="617">
        <f>IF(AW33+SUM($D$43:AW$43)&lt;0,0,(AW$33+SUM($D$43:AW$43)))</f>
        <v>0</v>
      </c>
      <c r="AX53" s="617">
        <f>IF(AX33+SUM($D$43:AX$43)&lt;0,0,(AX$33+SUM($D$43:AX$43)))</f>
        <v>0</v>
      </c>
      <c r="AY53" s="617">
        <f>IF(AY33+SUM($D$43:AY$43)&lt;0,0,(AY$33+SUM($D$43:AY$43)))</f>
        <v>0</v>
      </c>
      <c r="AZ53" s="617">
        <f>IF(AZ33+SUM($D$43:AZ$43)&lt;0,0,(AZ$33+SUM($D$43:AZ$43)))</f>
        <v>0</v>
      </c>
      <c r="BA53" s="617">
        <f>IF(BA33+SUM($D$43:BA$43)&lt;0,0,(BA$33+SUM($D$43:BA$43)))</f>
        <v>0</v>
      </c>
      <c r="BB53" s="504"/>
    </row>
    <row r="54" spans="1:54" hidden="1" outlineLevel="1">
      <c r="A54" s="504"/>
      <c r="B54" s="328">
        <f t="shared" si="9"/>
        <v>0</v>
      </c>
      <c r="C54" s="504"/>
      <c r="D54" s="617">
        <f>IF(D34+SUM($D$44:D$44)&lt;0,0,(D$34+SUM($D$44:D$44)))</f>
        <v>0</v>
      </c>
      <c r="E54" s="617">
        <f>IF(E34+SUM($D$44:E$44)&lt;0,0,(E$34+SUM($D$44:E$44)))</f>
        <v>0</v>
      </c>
      <c r="F54" s="617">
        <f>IF(F34+SUM($D$44:F$44)&lt;0,0,(F$34+SUM($D$44:F$44)))</f>
        <v>0</v>
      </c>
      <c r="G54" s="617">
        <f>IF(G34+SUM($D$44:G$44)&lt;0,0,(G$34+SUM($D$44:G$44)))</f>
        <v>0</v>
      </c>
      <c r="H54" s="617">
        <f>IF(H34+SUM($D$44:H$44)&lt;0,0,(H$34+SUM($D$44:H$44)))</f>
        <v>0</v>
      </c>
      <c r="I54" s="617">
        <f>IF(I34+SUM($D$44:I$44)&lt;0,0,(I$34+SUM($D$44:I$44)))</f>
        <v>0</v>
      </c>
      <c r="J54" s="617">
        <f>IF(J34+SUM($D$44:J$44)&lt;0,0,(J$34+SUM($D$44:J$44)))</f>
        <v>0</v>
      </c>
      <c r="K54" s="617">
        <f>IF(K34+SUM($D$44:K$44)&lt;0,0,(K$34+SUM($D$44:K$44)))</f>
        <v>0</v>
      </c>
      <c r="L54" s="617">
        <f>IF(L34+SUM($D$44:L$44)&lt;0,0,(L$34+SUM($D$44:L$44)))</f>
        <v>0</v>
      </c>
      <c r="M54" s="617">
        <f>IF(M34+SUM($D$44:M$44)&lt;0,0,(M$34+SUM($D$44:M$44)))</f>
        <v>0</v>
      </c>
      <c r="N54" s="617">
        <f>IF(N34+SUM($D$44:N$44)&lt;0,0,(N$34+SUM($D$44:N$44)))</f>
        <v>0</v>
      </c>
      <c r="O54" s="617">
        <f>IF(O34+SUM($D$44:O$44)&lt;0,0,(O$34+SUM($D$44:O$44)))</f>
        <v>0</v>
      </c>
      <c r="P54" s="617">
        <f>IF(P34+SUM($D$44:P$44)&lt;0,0,(P$34+SUM($D$44:P$44)))</f>
        <v>0</v>
      </c>
      <c r="Q54" s="617">
        <f>IF(Q34+SUM($D$44:Q$44)&lt;0,0,(Q$34+SUM($D$44:Q$44)))</f>
        <v>0</v>
      </c>
      <c r="R54" s="617">
        <f>IF(R34+SUM($D$44:R$44)&lt;0,0,(R$34+SUM($D$44:R$44)))</f>
        <v>0</v>
      </c>
      <c r="S54" s="617">
        <f>IF(S34+SUM($D$44:S$44)&lt;0,0,(S$34+SUM($D$44:S$44)))</f>
        <v>0</v>
      </c>
      <c r="T54" s="617">
        <f>IF(T34+SUM($D$44:T$44)&lt;0,0,(T$34+SUM($D$44:T$44)))</f>
        <v>0</v>
      </c>
      <c r="U54" s="617">
        <f>IF(U34+SUM($D$44:U$44)&lt;0,0,(U$34+SUM($D$44:U$44)))</f>
        <v>0</v>
      </c>
      <c r="V54" s="617">
        <f>IF(V34+SUM($D$44:V$44)&lt;0,0,(V$34+SUM($D$44:V$44)))</f>
        <v>0</v>
      </c>
      <c r="W54" s="617">
        <f>IF(W34+SUM($D$44:W$44)&lt;0,0,(W$34+SUM($D$44:W$44)))</f>
        <v>0</v>
      </c>
      <c r="X54" s="617">
        <f>IF(X34+SUM($D$44:X$44)&lt;0,0,(X$34+SUM($D$44:X$44)))</f>
        <v>0</v>
      </c>
      <c r="Y54" s="617">
        <f>IF(Y34+SUM($D$44:Y$44)&lt;0,0,(Y$34+SUM($D$44:Y$44)))</f>
        <v>0</v>
      </c>
      <c r="Z54" s="617">
        <f>IF(Z34+SUM($D$44:Z$44)&lt;0,0,(Z$34+SUM($D$44:Z$44)))</f>
        <v>0</v>
      </c>
      <c r="AA54" s="617">
        <f>IF(AA34+SUM($D$44:AA$44)&lt;0,0,(AA$34+SUM($D$44:AA$44)))</f>
        <v>0</v>
      </c>
      <c r="AB54" s="617">
        <f>IF(AB34+SUM($D$44:AB$44)&lt;0,0,(AB$34+SUM($D$44:AB$44)))</f>
        <v>0</v>
      </c>
      <c r="AC54" s="617">
        <f>IF(AC34+SUM($D$44:AC$44)&lt;0,0,(AC$34+SUM($D$44:AC$44)))</f>
        <v>0</v>
      </c>
      <c r="AD54" s="617">
        <f>IF(AD34+SUM($D$44:AD$44)&lt;0,0,(AD$34+SUM($D$44:AD$44)))</f>
        <v>0</v>
      </c>
      <c r="AE54" s="617">
        <f>IF(AE34+SUM($D$44:AE$44)&lt;0,0,(AE$34+SUM($D$44:AE$44)))</f>
        <v>0</v>
      </c>
      <c r="AF54" s="617">
        <f>IF(AF34+SUM($D$44:AF$44)&lt;0,0,(AF$34+SUM($D$44:AF$44)))</f>
        <v>0</v>
      </c>
      <c r="AG54" s="617">
        <f>IF(AG34+SUM($D$44:AG$44)&lt;0,0,(AG$34+SUM($D$44:AG$44)))</f>
        <v>0</v>
      </c>
      <c r="AH54" s="617">
        <f>IF(AH34+SUM($D$44:AH$44)&lt;0,0,(AH$34+SUM($D$44:AH$44)))</f>
        <v>0</v>
      </c>
      <c r="AI54" s="617">
        <f>IF(AI34+SUM($D$44:AI$44)&lt;0,0,(AI$34+SUM($D$44:AI$44)))</f>
        <v>0</v>
      </c>
      <c r="AJ54" s="617">
        <f>IF(AJ34+SUM($D$44:AJ$44)&lt;0,0,(AJ$34+SUM($D$44:AJ$44)))</f>
        <v>0</v>
      </c>
      <c r="AK54" s="617">
        <f>IF(AK34+SUM($D$44:AK$44)&lt;0,0,(AK$34+SUM($D$44:AK$44)))</f>
        <v>0</v>
      </c>
      <c r="AL54" s="617">
        <f>IF(AL34+SUM($D$44:AL$44)&lt;0,0,(AL$34+SUM($D$44:AL$44)))</f>
        <v>0</v>
      </c>
      <c r="AM54" s="617">
        <f>IF(AM34+SUM($D$44:AM$44)&lt;0,0,(AM$34+SUM($D$44:AM$44)))</f>
        <v>0</v>
      </c>
      <c r="AN54" s="617">
        <f>IF(AN34+SUM($D$44:AN$44)&lt;0,0,(AN$34+SUM($D$44:AN$44)))</f>
        <v>0</v>
      </c>
      <c r="AO54" s="617">
        <f>IF(AO34+SUM($D$44:AO$44)&lt;0,0,(AO$34+SUM($D$44:AO$44)))</f>
        <v>0</v>
      </c>
      <c r="AP54" s="617">
        <f>IF(AP34+SUM($D$44:AP$44)&lt;0,0,(AP$34+SUM($D$44:AP$44)))</f>
        <v>0</v>
      </c>
      <c r="AQ54" s="617">
        <f>IF(AQ34+SUM($D$44:AQ$44)&lt;0,0,(AQ$34+SUM($D$44:AQ$44)))</f>
        <v>0</v>
      </c>
      <c r="AR54" s="617">
        <f>IF(AR34+SUM($D$44:AR$44)&lt;0,0,(AR$34+SUM($D$44:AR$44)))</f>
        <v>0</v>
      </c>
      <c r="AS54" s="617">
        <f>IF(AS34+SUM($D$44:AS$44)&lt;0,0,(AS$34+SUM($D$44:AS$44)))</f>
        <v>0</v>
      </c>
      <c r="AT54" s="617">
        <f>IF(AT34+SUM($D$44:AT$44)&lt;0,0,(AT$34+SUM($D$44:AT$44)))</f>
        <v>0</v>
      </c>
      <c r="AU54" s="617">
        <f>IF(AU34+SUM($D$44:AU$44)&lt;0,0,(AU$34+SUM($D$44:AU$44)))</f>
        <v>0</v>
      </c>
      <c r="AV54" s="617">
        <f>IF(AV34+SUM($D$44:AV$44)&lt;0,0,(AV$34+SUM($D$44:AV$44)))</f>
        <v>0</v>
      </c>
      <c r="AW54" s="617">
        <f>IF(AW34+SUM($D$44:AW$44)&lt;0,0,(AW$34+SUM($D$44:AW$44)))</f>
        <v>0</v>
      </c>
      <c r="AX54" s="617">
        <f>IF(AX34+SUM($D$44:AX$44)&lt;0,0,(AX$34+SUM($D$44:AX$44)))</f>
        <v>0</v>
      </c>
      <c r="AY54" s="617">
        <f>IF(AY34+SUM($D$44:AY$44)&lt;0,0,(AY$34+SUM($D$44:AY$44)))</f>
        <v>0</v>
      </c>
      <c r="AZ54" s="617">
        <f>IF(AZ34+SUM($D$44:AZ$44)&lt;0,0,(AZ$34+SUM($D$44:AZ$44)))</f>
        <v>0</v>
      </c>
      <c r="BA54" s="617">
        <f>IF(BA34+SUM($D$44:BA$44)&lt;0,0,(BA$34+SUM($D$44:BA$44)))</f>
        <v>0</v>
      </c>
      <c r="BB54" s="504"/>
    </row>
    <row r="55" spans="1:54" hidden="1" outlineLevel="1">
      <c r="A55" s="504"/>
      <c r="B55" s="328">
        <f t="shared" si="9"/>
        <v>0</v>
      </c>
      <c r="C55" s="504"/>
      <c r="D55" s="617">
        <f>IF(D35+SUM($D$45:D$45)&lt;0,0,(D$35+SUM($D$45:D$45)))</f>
        <v>0</v>
      </c>
      <c r="E55" s="617">
        <f>IF(E35+SUM($D$45:E$45)&lt;0,0,(E$35+SUM($D$45:E$45)))</f>
        <v>0</v>
      </c>
      <c r="F55" s="617">
        <f>IF(F35+SUM($D$45:F$45)&lt;0,0,(F$35+SUM($D$45:F$45)))</f>
        <v>0</v>
      </c>
      <c r="G55" s="617">
        <f>IF(G35+SUM($D$45:G$45)&lt;0,0,(G$35+SUM($D$45:G$45)))</f>
        <v>0</v>
      </c>
      <c r="H55" s="617">
        <f>IF(H35+SUM($D$45:H$45)&lt;0,0,(H$35+SUM($D$45:H$45)))</f>
        <v>0</v>
      </c>
      <c r="I55" s="617">
        <f>IF(I35+SUM($D$45:I$45)&lt;0,0,(I$35+SUM($D$45:I$45)))</f>
        <v>0</v>
      </c>
      <c r="J55" s="617">
        <f>IF(J35+SUM($D$45:J$45)&lt;0,0,(J$35+SUM($D$45:J$45)))</f>
        <v>0</v>
      </c>
      <c r="K55" s="617">
        <f>IF(K35+SUM($D$45:K$45)&lt;0,0,(K$35+SUM($D$45:K$45)))</f>
        <v>0</v>
      </c>
      <c r="L55" s="617">
        <f>IF(L35+SUM($D$45:L$45)&lt;0,0,(L$35+SUM($D$45:L$45)))</f>
        <v>0</v>
      </c>
      <c r="M55" s="617">
        <f>IF(M35+SUM($D$45:M$45)&lt;0,0,(M$35+SUM($D$45:M$45)))</f>
        <v>0</v>
      </c>
      <c r="N55" s="617">
        <f>IF(N35+SUM($D$45:N$45)&lt;0,0,(N$35+SUM($D$45:N$45)))</f>
        <v>0</v>
      </c>
      <c r="O55" s="617">
        <f>IF(O35+SUM($D$45:O$45)&lt;0,0,(O$35+SUM($D$45:O$45)))</f>
        <v>0</v>
      </c>
      <c r="P55" s="617">
        <f>IF(P35+SUM($D$45:P$45)&lt;0,0,(P$35+SUM($D$45:P$45)))</f>
        <v>0</v>
      </c>
      <c r="Q55" s="617">
        <f>IF(Q35+SUM($D$45:Q$45)&lt;0,0,(Q$35+SUM($D$45:Q$45)))</f>
        <v>0</v>
      </c>
      <c r="R55" s="617">
        <f>IF(R35+SUM($D$45:R$45)&lt;0,0,(R$35+SUM($D$45:R$45)))</f>
        <v>0</v>
      </c>
      <c r="S55" s="617">
        <f>IF(S35+SUM($D$45:S$45)&lt;0,0,(S$35+SUM($D$45:S$45)))</f>
        <v>0</v>
      </c>
      <c r="T55" s="617">
        <f>IF(T35+SUM($D$45:T$45)&lt;0,0,(T$35+SUM($D$45:T$45)))</f>
        <v>0</v>
      </c>
      <c r="U55" s="617">
        <f>IF(U35+SUM($D$45:U$45)&lt;0,0,(U$35+SUM($D$45:U$45)))</f>
        <v>0</v>
      </c>
      <c r="V55" s="617">
        <f>IF(V35+SUM($D$45:V$45)&lt;0,0,(V$35+SUM($D$45:V$45)))</f>
        <v>0</v>
      </c>
      <c r="W55" s="617">
        <f>IF(W35+SUM($D$45:W$45)&lt;0,0,(W$35+SUM($D$45:W$45)))</f>
        <v>0</v>
      </c>
      <c r="X55" s="617">
        <f>IF(X35+SUM($D$45:X$45)&lt;0,0,(X$35+SUM($D$45:X$45)))</f>
        <v>0</v>
      </c>
      <c r="Y55" s="617">
        <f>IF(Y35+SUM($D$45:Y$45)&lt;0,0,(Y$35+SUM($D$45:Y$45)))</f>
        <v>0</v>
      </c>
      <c r="Z55" s="617">
        <f>IF(Z35+SUM($D$45:Z$45)&lt;0,0,(Z$35+SUM($D$45:Z$45)))</f>
        <v>0</v>
      </c>
      <c r="AA55" s="617">
        <f>IF(AA35+SUM($D$45:AA$45)&lt;0,0,(AA$35+SUM($D$45:AA$45)))</f>
        <v>0</v>
      </c>
      <c r="AB55" s="617">
        <f>IF(AB35+SUM($D$45:AB$45)&lt;0,0,(AB$35+SUM($D$45:AB$45)))</f>
        <v>0</v>
      </c>
      <c r="AC55" s="617">
        <f>IF(AC35+SUM($D$45:AC$45)&lt;0,0,(AC$35+SUM($D$45:AC$45)))</f>
        <v>0</v>
      </c>
      <c r="AD55" s="617">
        <f>IF(AD35+SUM($D$45:AD$45)&lt;0,0,(AD$35+SUM($D$45:AD$45)))</f>
        <v>0</v>
      </c>
      <c r="AE55" s="617">
        <f>IF(AE35+SUM($D$45:AE$45)&lt;0,0,(AE$35+SUM($D$45:AE$45)))</f>
        <v>0</v>
      </c>
      <c r="AF55" s="617">
        <f>IF(AF35+SUM($D$45:AF$45)&lt;0,0,(AF$35+SUM($D$45:AF$45)))</f>
        <v>0</v>
      </c>
      <c r="AG55" s="617">
        <f>IF(AG35+SUM($D$45:AG$45)&lt;0,0,(AG$35+SUM($D$45:AG$45)))</f>
        <v>0</v>
      </c>
      <c r="AH55" s="617">
        <f>IF(AH35+SUM($D$45:AH$45)&lt;0,0,(AH$35+SUM($D$45:AH$45)))</f>
        <v>0</v>
      </c>
      <c r="AI55" s="617">
        <f>IF(AI35+SUM($D$45:AI$45)&lt;0,0,(AI$35+SUM($D$45:AI$45)))</f>
        <v>0</v>
      </c>
      <c r="AJ55" s="617">
        <f>IF(AJ35+SUM($D$45:AJ$45)&lt;0,0,(AJ$35+SUM($D$45:AJ$45)))</f>
        <v>0</v>
      </c>
      <c r="AK55" s="617">
        <f>IF(AK35+SUM($D$45:AK$45)&lt;0,0,(AK$35+SUM($D$45:AK$45)))</f>
        <v>0</v>
      </c>
      <c r="AL55" s="617">
        <f>IF(AL35+SUM($D$45:AL$45)&lt;0,0,(AL$35+SUM($D$45:AL$45)))</f>
        <v>0</v>
      </c>
      <c r="AM55" s="617">
        <f>IF(AM35+SUM($D$45:AM$45)&lt;0,0,(AM$35+SUM($D$45:AM$45)))</f>
        <v>0</v>
      </c>
      <c r="AN55" s="617">
        <f>IF(AN35+SUM($D$45:AN$45)&lt;0,0,(AN$35+SUM($D$45:AN$45)))</f>
        <v>0</v>
      </c>
      <c r="AO55" s="617">
        <f>IF(AO35+SUM($D$45:AO$45)&lt;0,0,(AO$35+SUM($D$45:AO$45)))</f>
        <v>0</v>
      </c>
      <c r="AP55" s="617">
        <f>IF(AP35+SUM($D$45:AP$45)&lt;0,0,(AP$35+SUM($D$45:AP$45)))</f>
        <v>0</v>
      </c>
      <c r="AQ55" s="617">
        <f>IF(AQ35+SUM($D$45:AQ$45)&lt;0,0,(AQ$35+SUM($D$45:AQ$45)))</f>
        <v>0</v>
      </c>
      <c r="AR55" s="617">
        <f>IF(AR35+SUM($D$45:AR$45)&lt;0,0,(AR$35+SUM($D$45:AR$45)))</f>
        <v>0</v>
      </c>
      <c r="AS55" s="617">
        <f>IF(AS35+SUM($D$45:AS$45)&lt;0,0,(AS$35+SUM($D$45:AS$45)))</f>
        <v>0</v>
      </c>
      <c r="AT55" s="617">
        <f>IF(AT35+SUM($D$45:AT$45)&lt;0,0,(AT$35+SUM($D$45:AT$45)))</f>
        <v>0</v>
      </c>
      <c r="AU55" s="617">
        <f>IF(AU35+SUM($D$45:AU$45)&lt;0,0,(AU$35+SUM($D$45:AU$45)))</f>
        <v>0</v>
      </c>
      <c r="AV55" s="617">
        <f>IF(AV35+SUM($D$45:AV$45)&lt;0,0,(AV$35+SUM($D$45:AV$45)))</f>
        <v>0</v>
      </c>
      <c r="AW55" s="617">
        <f>IF(AW35+SUM($D$45:AW$45)&lt;0,0,(AW$35+SUM($D$45:AW$45)))</f>
        <v>0</v>
      </c>
      <c r="AX55" s="617">
        <f>IF(AX35+SUM($D$45:AX$45)&lt;0,0,(AX$35+SUM($D$45:AX$45)))</f>
        <v>0</v>
      </c>
      <c r="AY55" s="617">
        <f>IF(AY35+SUM($D$45:AY$45)&lt;0,0,(AY$35+SUM($D$45:AY$45)))</f>
        <v>0</v>
      </c>
      <c r="AZ55" s="617">
        <f>IF(AZ35+SUM($D$45:AZ$45)&lt;0,0,(AZ$35+SUM($D$45:AZ$45)))</f>
        <v>0</v>
      </c>
      <c r="BA55" s="617">
        <f>IF(BA35+SUM($D$45:BA$45)&lt;0,0,(BA$35+SUM($D$45:BA$45)))</f>
        <v>0</v>
      </c>
      <c r="BB55" s="504"/>
    </row>
    <row r="56" spans="1:54" hidden="1" outlineLevel="1">
      <c r="A56" s="504"/>
      <c r="B56" s="328" t="str">
        <f t="shared" si="9"/>
        <v>Residual</v>
      </c>
      <c r="C56" s="504"/>
      <c r="D56" s="617">
        <f>IF(D29&lt;&gt;"",IF(D36+SUM($D$46:D$46)=0,0,(D36+SUM($D$46:D$46))),0)</f>
        <v>0</v>
      </c>
      <c r="E56" s="617">
        <f>IF(E29&lt;&gt;"",IF(E36+SUM($D$46:E$46)=0,0,(E36+SUM($D$46:E$46))),0)</f>
        <v>0</v>
      </c>
      <c r="F56" s="617">
        <f>IF(F29&lt;&gt;"",IF(F36+SUM($D$46:F$46)=0,0,(F36+SUM($D$46:F$46))),0)</f>
        <v>0</v>
      </c>
      <c r="G56" s="617">
        <f>IF(G29&lt;&gt;"",IF(G36+SUM($D$46:G$46)=0,0,(G36+SUM($D$46:G$46))),0)</f>
        <v>0</v>
      </c>
      <c r="H56" s="617">
        <f>IF(H29&lt;&gt;"",IF(H36+SUM($D$46:H$46)=0,0,(H36+SUM($D$46:H$46))),0)</f>
        <v>0</v>
      </c>
      <c r="I56" s="617">
        <f>IF(I29&lt;&gt;"",IF(I36+SUM($D$46:I$46)=0,0,(I36+SUM($D$46:I$46))),0)</f>
        <v>0</v>
      </c>
      <c r="J56" s="617">
        <f>IF(J29&lt;&gt;"",IF(J36+SUM($D$46:J$46)=0,0,(J36+SUM($D$46:J$46))),0)</f>
        <v>0</v>
      </c>
      <c r="K56" s="617">
        <f>IF(K29&lt;&gt;"",IF(K36+SUM($D$46:K$46)=0,0,(K36+SUM($D$46:K$46))),0)</f>
        <v>0</v>
      </c>
      <c r="L56" s="617">
        <f>IF(L29&lt;&gt;"",IF(L36+SUM($D$46:L$46)=0,0,(L36+SUM($D$46:L$46))),0)</f>
        <v>0</v>
      </c>
      <c r="M56" s="617">
        <f>IF(M29&lt;&gt;"",IF(M36+SUM($D$46:M$46)=0,0,(M36+SUM($D$46:M$46))),0)</f>
        <v>0</v>
      </c>
      <c r="N56" s="617">
        <f>IF(N29&lt;&gt;"",IF(N36+SUM($D$46:N$46)=0,0,(N36+SUM($D$46:N$46))),0)</f>
        <v>0</v>
      </c>
      <c r="O56" s="617">
        <f>IF(O29&lt;&gt;"",IF(O36+SUM($D$46:O$46)=0,0,(O36+SUM($D$46:O$46))),0)</f>
        <v>0</v>
      </c>
      <c r="P56" s="617">
        <f>IF(P29&lt;&gt;"",IF(P36+SUM($D$46:P$46)=0,0,(P36+SUM($D$46:P$46))),0)</f>
        <v>0</v>
      </c>
      <c r="Q56" s="617">
        <f>IF(Q29&lt;&gt;"",IF(Q36+SUM($D$46:Q$46)=0,0,(Q36+SUM($D$46:Q$46))),0)</f>
        <v>0</v>
      </c>
      <c r="R56" s="617">
        <f>IF(R29&lt;&gt;"",IF(R36+SUM($D$46:R$46)=0,0,(R36+SUM($D$46:R$46))),0)</f>
        <v>0</v>
      </c>
      <c r="S56" s="617">
        <f>IF(S29&lt;&gt;"",IF(S36+SUM($D$46:S$46)=0,0,(S36+SUM($D$46:S$46))),0)</f>
        <v>0</v>
      </c>
      <c r="T56" s="617">
        <f>IF(T29&lt;&gt;"",IF(T36+SUM($D$46:T$46)=0,0,(T36+SUM($D$46:T$46))),0)</f>
        <v>0</v>
      </c>
      <c r="U56" s="617">
        <f>IF(U29&lt;&gt;"",IF(U36+SUM($D$46:U$46)=0,0,(U36+SUM($D$46:U$46))),0)</f>
        <v>0</v>
      </c>
      <c r="V56" s="617">
        <f>IF(V29&lt;&gt;"",IF(V36+SUM($D$46:V$46)=0,0,(V36+SUM($D$46:V$46))),0)</f>
        <v>0</v>
      </c>
      <c r="W56" s="617">
        <f>IF(W29&lt;&gt;"",IF(W36+SUM($D$46:W$46)=0,0,(W36+SUM($D$46:W$46))),0)</f>
        <v>0</v>
      </c>
      <c r="X56" s="617">
        <f>IF(X29&lt;&gt;"",IF(X36+SUM($D$46:X$46)=0,0,(X36+SUM($D$46:X$46))),0)</f>
        <v>0</v>
      </c>
      <c r="Y56" s="617">
        <f>IF(Y29&lt;&gt;"",IF(Y36+SUM($D$46:Y$46)=0,0,(Y36+SUM($D$46:Y$46))),0)</f>
        <v>0</v>
      </c>
      <c r="Z56" s="617">
        <f>IF(Z29&lt;&gt;"",IF(Z36+SUM($D$46:Z$46)=0,0,(Z36+SUM($D$46:Z$46))),0)</f>
        <v>0</v>
      </c>
      <c r="AA56" s="617">
        <f>IF(AA29&lt;&gt;"",IF(AA36+SUM($D$46:AA$46)=0,0,(AA36+SUM($D$46:AA$46))),0)</f>
        <v>0</v>
      </c>
      <c r="AB56" s="617">
        <f>IF(AB29&lt;&gt;"",IF(AB36+SUM($D$46:AB$46)=0,0,(AB36+SUM($D$46:AB$46))),0)</f>
        <v>0</v>
      </c>
      <c r="AC56" s="617">
        <f>IF(AC29&lt;&gt;"",IF(AC36+SUM($D$46:AC$46)=0,0,(AC36+SUM($D$46:AC$46))),0)</f>
        <v>0</v>
      </c>
      <c r="AD56" s="617">
        <f>IF(AD29&lt;&gt;"",IF(AD36+SUM($D$46:AD$46)=0,0,(AD36+SUM($D$46:AD$46))),0)</f>
        <v>0</v>
      </c>
      <c r="AE56" s="617">
        <f>IF(AE29&lt;&gt;"",IF(AE36+SUM($D$46:AE$46)=0,0,(AE36+SUM($D$46:AE$46))),0)</f>
        <v>0</v>
      </c>
      <c r="AF56" s="617">
        <f>IF(AF29&lt;&gt;"",IF(AF36+SUM($D$46:AF$46)=0,0,(AF36+SUM($D$46:AF$46))),0)</f>
        <v>0</v>
      </c>
      <c r="AG56" s="617">
        <f>IF(AG29&lt;&gt;"",IF(AG36+SUM($D$46:AG$46)=0,0,(AG36+SUM($D$46:AG$46))),0)</f>
        <v>0</v>
      </c>
      <c r="AH56" s="617">
        <f>IF(AH29&lt;&gt;"",IF(AH36+SUM($D$46:AH$46)=0,0,(AH36+SUM($D$46:AH$46))),0)</f>
        <v>0</v>
      </c>
      <c r="AI56" s="617">
        <f>IF(AI29&lt;&gt;"",IF(AI36+SUM($D$46:AI$46)=0,0,(AI36+SUM($D$46:AI$46))),0)</f>
        <v>0</v>
      </c>
      <c r="AJ56" s="617">
        <f>IF(AJ29&lt;&gt;"",IF(AJ36+SUM($D$46:AJ$46)=0,0,(AJ36+SUM($D$46:AJ$46))),0)</f>
        <v>0</v>
      </c>
      <c r="AK56" s="617">
        <f>IF(AK29&lt;&gt;"",IF(AK36+SUM($D$46:AK$46)=0,0,(AK36+SUM($D$46:AK$46))),0)</f>
        <v>0</v>
      </c>
      <c r="AL56" s="617">
        <f>IF(AL29&lt;&gt;"",IF(AL36+SUM($D$46:AL$46)=0,0,(AL36+SUM($D$46:AL$46))),0)</f>
        <v>0</v>
      </c>
      <c r="AM56" s="617">
        <f>IF(AM29&lt;&gt;"",IF(AM36+SUM($D$46:AM$46)=0,0,(AM36+SUM($D$46:AM$46))),0)</f>
        <v>0</v>
      </c>
      <c r="AN56" s="617">
        <f>IF(AN29&lt;&gt;"",IF(AN36+SUM($D$46:AN$46)=0,0,(AN36+SUM($D$46:AN$46))),0)</f>
        <v>0</v>
      </c>
      <c r="AO56" s="617">
        <f>IF(AO29&lt;&gt;"",IF(AO36+SUM($D$46:AO$46)=0,0,(AO36+SUM($D$46:AO$46))),0)</f>
        <v>0</v>
      </c>
      <c r="AP56" s="617">
        <f>IF(AP29&lt;&gt;"",IF(AP36+SUM($D$46:AP$46)=0,0,(AP36+SUM($D$46:AP$46))),0)</f>
        <v>0</v>
      </c>
      <c r="AQ56" s="617">
        <f>IF(AQ29&lt;&gt;"",IF(AQ36+SUM($D$46:AQ$46)=0,0,(AQ36+SUM($D$46:AQ$46))),0)</f>
        <v>0</v>
      </c>
      <c r="AR56" s="617">
        <f>IF(AR29&lt;&gt;"",IF(AR36+SUM($D$46:AR$46)=0,0,(AR36+SUM($D$46:AR$46))),0)</f>
        <v>0</v>
      </c>
      <c r="AS56" s="617">
        <f>IF(AS29&lt;&gt;"",IF(AS36+SUM($D$46:AS$46)=0,0,(AS36+SUM($D$46:AS$46))),0)</f>
        <v>0</v>
      </c>
      <c r="AT56" s="617">
        <f>IF(AT29&lt;&gt;"",IF(AT36+SUM($D$46:AT$46)=0,0,(AT36+SUM($D$46:AT$46))),0)</f>
        <v>0</v>
      </c>
      <c r="AU56" s="617">
        <f>IF(AU29&lt;&gt;"",IF(AU36+SUM($D$46:AU$46)=0,0,(AU36+SUM($D$46:AU$46))),0)</f>
        <v>0</v>
      </c>
      <c r="AV56" s="617">
        <f>IF(AV29&lt;&gt;"",IF(AV36+SUM($D$46:AV$46)=0,0,(AV36+SUM($D$46:AV$46))),0)</f>
        <v>0</v>
      </c>
      <c r="AW56" s="617">
        <f>IF(AW29&lt;&gt;"",IF(AW36+SUM($D$46:AW$46)=0,0,(AW36+SUM($D$46:AW$46))),0)</f>
        <v>0</v>
      </c>
      <c r="AX56" s="617">
        <f>IF(AX29&lt;&gt;"",IF(AX36+SUM($D$46:AX$46)=0,0,(AX36+SUM($D$46:AX$46))),0)</f>
        <v>0</v>
      </c>
      <c r="AY56" s="617">
        <f>IF(AY29&lt;&gt;"",IF(AY36+SUM($D$46:AY$46)=0,0,(AY36+SUM($D$46:AY$46))),0)</f>
        <v>0</v>
      </c>
      <c r="AZ56" s="617">
        <f>IF(AZ29&lt;&gt;"",IF(AZ36+SUM($D$46:AZ$46)=0,0,(AZ36+SUM($D$46:AZ$46))),0)</f>
        <v>0</v>
      </c>
      <c r="BA56" s="617">
        <f>IF(BA29&lt;&gt;"",IF(BA36+SUM($D$46:BA$46)=0,0,(BA36+SUM($D$46:BA$46))),0)</f>
        <v>0</v>
      </c>
      <c r="BB56" s="617"/>
    </row>
    <row r="57" spans="1:54" s="115" customFormat="1" ht="15" collapsed="1">
      <c r="A57" s="19"/>
      <c r="B57" s="327"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4"/>
      <c r="B61" s="504"/>
      <c r="C61" s="504"/>
      <c r="D61" s="504"/>
      <c r="E61" s="504"/>
      <c r="F61" s="504"/>
      <c r="G61" s="504"/>
      <c r="H61" s="504"/>
      <c r="I61" s="504"/>
      <c r="J61" s="504"/>
      <c r="K61" s="504"/>
      <c r="L61" s="504"/>
      <c r="M61" s="504"/>
      <c r="N61" s="504"/>
      <c r="O61" s="504"/>
      <c r="P61" s="504"/>
      <c r="Q61" s="504"/>
      <c r="R61" s="504"/>
      <c r="S61" s="504"/>
      <c r="T61" s="504"/>
      <c r="U61" s="504"/>
      <c r="V61" s="504"/>
      <c r="W61" s="504"/>
      <c r="X61" s="504"/>
      <c r="Y61" s="504"/>
      <c r="Z61" s="504"/>
      <c r="AA61" s="504"/>
      <c r="AB61" s="617"/>
      <c r="AC61" s="504"/>
      <c r="AD61" s="504"/>
      <c r="AE61" s="504"/>
      <c r="AF61" s="504"/>
      <c r="AG61" s="504"/>
      <c r="AH61" s="504"/>
      <c r="AI61" s="504"/>
      <c r="AJ61" s="504"/>
      <c r="AK61" s="504"/>
      <c r="AL61" s="504"/>
      <c r="AM61" s="504"/>
      <c r="AN61" s="504"/>
      <c r="AO61" s="504"/>
      <c r="AP61" s="504"/>
      <c r="AQ61" s="504"/>
      <c r="AR61" s="504"/>
      <c r="AS61" s="504"/>
      <c r="AT61" s="504"/>
      <c r="AU61" s="504"/>
      <c r="AV61" s="504"/>
      <c r="AW61" s="504"/>
      <c r="AX61" s="504"/>
      <c r="AY61" s="504"/>
      <c r="AZ61" s="504"/>
      <c r="BA61" s="504"/>
      <c r="BB61" s="504"/>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4"/>
      <c r="B1" s="185" t="s">
        <v>223</v>
      </c>
      <c r="C1" s="186"/>
      <c r="D1" s="504"/>
      <c r="E1" s="504"/>
      <c r="F1" s="504"/>
      <c r="G1" s="504"/>
      <c r="H1" s="504"/>
      <c r="I1" s="504"/>
      <c r="J1" s="504"/>
      <c r="K1" s="504"/>
      <c r="L1" s="504"/>
      <c r="M1" s="504"/>
      <c r="N1" s="504"/>
      <c r="O1" s="504"/>
      <c r="P1" s="504"/>
      <c r="Q1" s="504"/>
      <c r="R1" s="504"/>
      <c r="S1" s="504"/>
      <c r="T1" s="504"/>
      <c r="U1" s="504"/>
      <c r="V1" s="504"/>
      <c r="W1" s="504"/>
      <c r="X1" s="504"/>
      <c r="Y1" s="504"/>
      <c r="Z1" s="504"/>
      <c r="AA1" s="504"/>
      <c r="AB1" s="504"/>
      <c r="AC1" s="504"/>
      <c r="AD1" s="504"/>
      <c r="AE1" s="504"/>
      <c r="AF1" s="504"/>
      <c r="AG1" s="504"/>
      <c r="AH1" s="504"/>
      <c r="AI1" s="504"/>
      <c r="AJ1" s="504"/>
      <c r="AK1" s="504"/>
      <c r="AL1" s="504"/>
      <c r="AM1" s="504"/>
      <c r="AN1" s="504"/>
      <c r="AO1" s="504"/>
      <c r="AP1" s="504"/>
      <c r="AQ1" s="504"/>
      <c r="AR1" s="504"/>
      <c r="AS1" s="504"/>
      <c r="AT1" s="504"/>
      <c r="AU1" s="504"/>
      <c r="AV1" s="504"/>
      <c r="AW1" s="504"/>
      <c r="AX1" s="504"/>
      <c r="AY1" s="504"/>
      <c r="AZ1" s="504"/>
      <c r="BA1" s="504"/>
    </row>
    <row r="2" spans="1:53" ht="47.25" customHeight="1" outlineLevel="1">
      <c r="A2" s="182"/>
      <c r="B2" s="740" t="s">
        <v>224</v>
      </c>
      <c r="C2" s="740"/>
      <c r="D2" s="740"/>
      <c r="E2" s="740"/>
      <c r="F2" s="740"/>
      <c r="G2" s="740"/>
      <c r="H2" s="740"/>
      <c r="I2" s="740"/>
      <c r="J2" s="740"/>
      <c r="K2" s="740"/>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c r="AS2" s="504"/>
      <c r="AT2" s="504"/>
      <c r="AU2" s="504"/>
      <c r="AV2" s="504"/>
      <c r="AW2" s="504"/>
      <c r="AX2" s="504"/>
      <c r="AY2" s="504"/>
      <c r="AZ2" s="504"/>
      <c r="BA2" s="504"/>
    </row>
    <row r="3" spans="1:53" s="187" customFormat="1" outlineLevel="1">
      <c r="B3" s="504"/>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4"/>
      <c r="B4" s="328"/>
      <c r="C4" s="329"/>
      <c r="D4" s="327">
        <f>_xlfn.NUMBERVALUE('3. Finansiering'!D$13)</f>
        <v>2026</v>
      </c>
      <c r="E4" s="327">
        <f>'3. Finansiering'!E$13</f>
        <v>2027</v>
      </c>
      <c r="F4" s="327">
        <f>'3. Finansiering'!F$13</f>
        <v>2028</v>
      </c>
      <c r="G4" s="327">
        <f>'3. Finansiering'!G$13</f>
        <v>2029</v>
      </c>
      <c r="H4" s="327">
        <f>'3. Finansiering'!H$13</f>
        <v>2030</v>
      </c>
      <c r="I4" s="327">
        <f>'3. Finansiering'!I$13</f>
        <v>2031</v>
      </c>
      <c r="J4" s="327">
        <f>'3. Finansiering'!J$13</f>
        <v>2032</v>
      </c>
      <c r="K4" s="327">
        <f>'3. Finansiering'!K$13</f>
        <v>2033</v>
      </c>
      <c r="L4" s="327">
        <f>'3. Finansiering'!L$13</f>
        <v>2034</v>
      </c>
      <c r="M4" s="327">
        <f>'3. Finansiering'!M$13</f>
        <v>2035</v>
      </c>
      <c r="N4" s="327">
        <f>'3. Finansiering'!N$13</f>
        <v>2036</v>
      </c>
      <c r="O4" s="327">
        <f>'3. Finansiering'!O$13</f>
        <v>2037</v>
      </c>
      <c r="P4" s="327">
        <f>'3. Finansiering'!P$13</f>
        <v>2038</v>
      </c>
      <c r="Q4" s="327">
        <f>'3. Finansiering'!Q$13</f>
        <v>2039</v>
      </c>
      <c r="R4" s="327">
        <f>'3. Finansiering'!R$13</f>
        <v>2040</v>
      </c>
      <c r="S4" s="327">
        <f>'3. Finansiering'!S$13</f>
        <v>2041</v>
      </c>
      <c r="T4" s="327">
        <f>'3. Finansiering'!T$13</f>
        <v>2042</v>
      </c>
      <c r="U4" s="327">
        <f>'3. Finansiering'!U$13</f>
        <v>2043</v>
      </c>
      <c r="V4" s="327">
        <f>'3. Finansiering'!V$13</f>
        <v>2044</v>
      </c>
      <c r="W4" s="327">
        <f>'3. Finansiering'!W$13</f>
        <v>2045</v>
      </c>
      <c r="X4" s="327">
        <f>'3. Finansiering'!X$13</f>
        <v>2046</v>
      </c>
      <c r="Y4" s="327" t="str">
        <f>'3. Finansiering'!Y$13</f>
        <v/>
      </c>
      <c r="Z4" s="327" t="str">
        <f>'3. Finansiering'!Z$13</f>
        <v/>
      </c>
      <c r="AA4" s="327" t="str">
        <f>'3. Finansiering'!AA$13</f>
        <v/>
      </c>
      <c r="AB4" s="327" t="str">
        <f>'3. Finansiering'!AB$13</f>
        <v/>
      </c>
      <c r="AC4" s="327" t="str">
        <f>'3. Finansiering'!AC$13</f>
        <v/>
      </c>
      <c r="AD4" s="327" t="str">
        <f>'3. Finansiering'!AD$13</f>
        <v/>
      </c>
      <c r="AE4" s="327" t="str">
        <f>'3. Finansiering'!AE$13</f>
        <v/>
      </c>
      <c r="AF4" s="327" t="str">
        <f>'3. Finansiering'!AF$13</f>
        <v/>
      </c>
      <c r="AG4" s="327" t="str">
        <f>'3. Finansiering'!AG$13</f>
        <v/>
      </c>
      <c r="AH4" s="327" t="str">
        <f>'3. Finansiering'!AH$13</f>
        <v/>
      </c>
      <c r="AI4" s="327" t="str">
        <f>'3. Finansiering'!AI$13</f>
        <v/>
      </c>
      <c r="AJ4" s="327" t="str">
        <f>'3. Finansiering'!AJ$13</f>
        <v/>
      </c>
      <c r="AK4" s="327" t="str">
        <f>'3. Finansiering'!AK$13</f>
        <v/>
      </c>
      <c r="AL4" s="327" t="str">
        <f>'3. Finansiering'!AL$13</f>
        <v/>
      </c>
      <c r="AM4" s="327" t="str">
        <f>'3. Finansiering'!AM$13</f>
        <v/>
      </c>
      <c r="AN4" s="327" t="str">
        <f>'3. Finansiering'!AN$13</f>
        <v/>
      </c>
      <c r="AO4" s="327" t="str">
        <f>'3. Finansiering'!AO$13</f>
        <v/>
      </c>
      <c r="AP4" s="327" t="str">
        <f>'3. Finansiering'!AP$13</f>
        <v/>
      </c>
      <c r="AQ4" s="327" t="str">
        <f>'3. Finansiering'!AQ$13</f>
        <v/>
      </c>
      <c r="AR4" s="327" t="str">
        <f>'3. Finansiering'!AR$13</f>
        <v/>
      </c>
      <c r="AS4" s="327" t="str">
        <f>'3. Finansiering'!AS$13</f>
        <v/>
      </c>
      <c r="AT4" s="327" t="str">
        <f>'3. Finansiering'!AT$13</f>
        <v/>
      </c>
      <c r="AU4" s="327" t="str">
        <f>'3. Finansiering'!AU$13</f>
        <v/>
      </c>
      <c r="AV4" s="327" t="str">
        <f>'3. Finansiering'!AV$13</f>
        <v/>
      </c>
      <c r="AW4" s="327" t="str">
        <f>'3. Finansiering'!AW$13</f>
        <v/>
      </c>
      <c r="AX4" s="327" t="str">
        <f>'3. Finansiering'!AX$13</f>
        <v/>
      </c>
      <c r="AY4" s="327" t="str">
        <f>'3. Finansiering'!AY$13</f>
        <v/>
      </c>
      <c r="AZ4" s="327" t="str">
        <f>'3. Finansiering'!AZ$13</f>
        <v/>
      </c>
      <c r="BA4" s="327" t="str">
        <f>'3. Finansiering'!BA$13</f>
        <v/>
      </c>
    </row>
    <row r="5" spans="1:53" s="188" customFormat="1" ht="11.25">
      <c r="B5" s="336" t="s">
        <v>225</v>
      </c>
      <c r="C5" s="337"/>
      <c r="D5" s="336">
        <f>'3. Finansiering'!D14</f>
        <v>1</v>
      </c>
      <c r="E5" s="336">
        <f>'3. Finansiering'!E14</f>
        <v>2</v>
      </c>
      <c r="F5" s="336">
        <f>'3. Finansiering'!F14</f>
        <v>3</v>
      </c>
      <c r="G5" s="336">
        <f>'3. Finansiering'!G14</f>
        <v>4</v>
      </c>
      <c r="H5" s="336">
        <f>'3. Finansiering'!H14</f>
        <v>5</v>
      </c>
      <c r="I5" s="336">
        <f>'3. Finansiering'!I14</f>
        <v>6</v>
      </c>
      <c r="J5" s="336">
        <f>'3. Finansiering'!J14</f>
        <v>7</v>
      </c>
      <c r="K5" s="336">
        <f>'3. Finansiering'!K14</f>
        <v>8</v>
      </c>
      <c r="L5" s="336">
        <f>'3. Finansiering'!L14</f>
        <v>9</v>
      </c>
      <c r="M5" s="336">
        <f>'3. Finansiering'!M14</f>
        <v>10</v>
      </c>
      <c r="N5" s="336">
        <f>'3. Finansiering'!N14</f>
        <v>11</v>
      </c>
      <c r="O5" s="336">
        <f>'3. Finansiering'!O14</f>
        <v>12</v>
      </c>
      <c r="P5" s="336">
        <f>'3. Finansiering'!P14</f>
        <v>13</v>
      </c>
      <c r="Q5" s="336">
        <f>'3. Finansiering'!Q14</f>
        <v>14</v>
      </c>
      <c r="R5" s="336">
        <f>'3. Finansiering'!R14</f>
        <v>15</v>
      </c>
      <c r="S5" s="336">
        <f>'3. Finansiering'!S14</f>
        <v>16</v>
      </c>
      <c r="T5" s="336">
        <f>'3. Finansiering'!T14</f>
        <v>17</v>
      </c>
      <c r="U5" s="336">
        <f>'3. Finansiering'!U14</f>
        <v>18</v>
      </c>
      <c r="V5" s="336">
        <f>'3. Finansiering'!V14</f>
        <v>19</v>
      </c>
      <c r="W5" s="336">
        <f>'3. Finansiering'!W14</f>
        <v>20</v>
      </c>
      <c r="X5" s="336">
        <f>'3. Finansiering'!X14</f>
        <v>21</v>
      </c>
      <c r="Y5" s="336">
        <f>'3. Finansiering'!Y14</f>
        <v>22</v>
      </c>
      <c r="Z5" s="336">
        <f>'3. Finansiering'!Z14</f>
        <v>23</v>
      </c>
      <c r="AA5" s="336">
        <f>'3. Finansiering'!AA14</f>
        <v>24</v>
      </c>
      <c r="AB5" s="336">
        <f>'3. Finansiering'!AB14</f>
        <v>25</v>
      </c>
      <c r="AC5" s="336">
        <f>'3. Finansiering'!AC14</f>
        <v>26</v>
      </c>
      <c r="AD5" s="336">
        <f>'3. Finansiering'!AD14</f>
        <v>27</v>
      </c>
      <c r="AE5" s="336">
        <f>'3. Finansiering'!AE14</f>
        <v>28</v>
      </c>
      <c r="AF5" s="336">
        <f>'3. Finansiering'!AF14</f>
        <v>29</v>
      </c>
      <c r="AG5" s="336">
        <f>'3. Finansiering'!AG14</f>
        <v>30</v>
      </c>
      <c r="AH5" s="336">
        <f>'3. Finansiering'!AH14</f>
        <v>31</v>
      </c>
      <c r="AI5" s="336">
        <f>'3. Finansiering'!AI14</f>
        <v>32</v>
      </c>
      <c r="AJ5" s="336">
        <f>'3. Finansiering'!AJ14</f>
        <v>33</v>
      </c>
      <c r="AK5" s="336">
        <f>'3. Finansiering'!AK14</f>
        <v>34</v>
      </c>
      <c r="AL5" s="336">
        <f>'3. Finansiering'!AL14</f>
        <v>35</v>
      </c>
      <c r="AM5" s="336">
        <f>'3. Finansiering'!AM14</f>
        <v>36</v>
      </c>
      <c r="AN5" s="336">
        <f>'3. Finansiering'!AN14</f>
        <v>37</v>
      </c>
      <c r="AO5" s="336">
        <f>'3. Finansiering'!AO14</f>
        <v>38</v>
      </c>
      <c r="AP5" s="336">
        <f>'3. Finansiering'!AP14</f>
        <v>39</v>
      </c>
      <c r="AQ5" s="336">
        <f>'3. Finansiering'!AQ14</f>
        <v>40</v>
      </c>
      <c r="AR5" s="336">
        <f>'3. Finansiering'!AR14</f>
        <v>41</v>
      </c>
      <c r="AS5" s="336">
        <f>'3. Finansiering'!AS14</f>
        <v>42</v>
      </c>
      <c r="AT5" s="336">
        <f>'3. Finansiering'!AT14</f>
        <v>43</v>
      </c>
      <c r="AU5" s="336">
        <f>'3. Finansiering'!AU14</f>
        <v>44</v>
      </c>
      <c r="AV5" s="336">
        <f>'3. Finansiering'!AV14</f>
        <v>45</v>
      </c>
      <c r="AW5" s="336">
        <f>'3. Finansiering'!AW14</f>
        <v>46</v>
      </c>
      <c r="AX5" s="336">
        <f>'3. Finansiering'!AX14</f>
        <v>47</v>
      </c>
      <c r="AY5" s="336">
        <f>'3. Finansiering'!AY14</f>
        <v>48</v>
      </c>
      <c r="AZ5" s="336">
        <f>'3. Finansiering'!AZ14</f>
        <v>49</v>
      </c>
      <c r="BA5" s="336">
        <f>'3. Finansiering'!BA14</f>
        <v>50</v>
      </c>
    </row>
    <row r="6" spans="1:53" s="188" customFormat="1" ht="11.25">
      <c r="B6" s="336" t="s">
        <v>226</v>
      </c>
      <c r="C6" s="337"/>
      <c r="D6" s="336">
        <f>SUMIFS('2. Kalkyldata'!$H$23:$H$27,'2. Kalkyldata'!$E$23:$E$27,"nyb",'2. Kalkyldata'!$M$23:$M$27,'4. NPV'!D3)</f>
        <v>6100</v>
      </c>
      <c r="E6" s="336">
        <f>SUMIFS('2. Kalkyldata'!$H$23:$H$27,'2. Kalkyldata'!$E$23:$E$27,"nyb",'2. Kalkyldata'!$M$23:$M$27,'4. NPV'!E3)</f>
        <v>6100</v>
      </c>
      <c r="F6" s="336">
        <f>SUMIFS('2. Kalkyldata'!$H$23:$H$27,'2. Kalkyldata'!$E$23:$E$27,"nyb",'2. Kalkyldata'!$M$23:$M$27,'4. NPV'!F3)</f>
        <v>6100</v>
      </c>
      <c r="G6" s="336">
        <f>SUMIFS('2. Kalkyldata'!$H$23:$H$27,'2. Kalkyldata'!$E$23:$E$27,"nyb",'2. Kalkyldata'!$M$23:$M$27,'4. NPV'!G3)</f>
        <v>6100</v>
      </c>
      <c r="H6" s="336">
        <f>SUMIFS('2. Kalkyldata'!$H$23:$H$27,'2. Kalkyldata'!$E$23:$E$27,"nyb",'2. Kalkyldata'!$M$23:$M$27,'4. NPV'!H3)</f>
        <v>6100</v>
      </c>
      <c r="I6" s="336">
        <f>SUMIFS('2. Kalkyldata'!$H$23:$H$27,'2. Kalkyldata'!$E$23:$E$27,"nyb",'2. Kalkyldata'!$M$23:$M$27,'4. NPV'!I3)</f>
        <v>6100</v>
      </c>
      <c r="J6" s="336">
        <f>SUMIFS('2. Kalkyldata'!$H$23:$H$27,'2. Kalkyldata'!$E$23:$E$27,"nyb",'2. Kalkyldata'!$M$23:$M$27,'4. NPV'!J3)</f>
        <v>6100</v>
      </c>
      <c r="K6" s="336">
        <f>SUMIFS('2. Kalkyldata'!$H$23:$H$27,'2. Kalkyldata'!$E$23:$E$27,"nyb",'2. Kalkyldata'!$M$23:$M$27,'4. NPV'!K3)</f>
        <v>6100</v>
      </c>
      <c r="L6" s="336">
        <f>SUMIFS('2. Kalkyldata'!$H$23:$H$27,'2. Kalkyldata'!$E$23:$E$27,"nyb",'2. Kalkyldata'!$M$23:$M$27,'4. NPV'!L3)</f>
        <v>6100</v>
      </c>
      <c r="M6" s="336">
        <f>SUMIFS('2. Kalkyldata'!$H$23:$H$27,'2. Kalkyldata'!$E$23:$E$27,"nyb",'2. Kalkyldata'!$M$23:$M$27,'4. NPV'!M3)</f>
        <v>6100</v>
      </c>
      <c r="N6" s="336">
        <f>SUMIFS('2. Kalkyldata'!$H$23:$H$27,'2. Kalkyldata'!$E$23:$E$27,"nyb",'2. Kalkyldata'!$M$23:$M$27,'4. NPV'!N3)</f>
        <v>6100</v>
      </c>
      <c r="O6" s="336">
        <f>SUMIFS('2. Kalkyldata'!$H$23:$H$27,'2. Kalkyldata'!$E$23:$E$27,"nyb",'2. Kalkyldata'!$M$23:$M$27,'4. NPV'!O3)</f>
        <v>6100</v>
      </c>
      <c r="P6" s="336">
        <f>SUMIFS('2. Kalkyldata'!$H$23:$H$27,'2. Kalkyldata'!$E$23:$E$27,"nyb",'2. Kalkyldata'!$M$23:$M$27,'4. NPV'!P3)</f>
        <v>6100</v>
      </c>
      <c r="Q6" s="336">
        <f>SUMIFS('2. Kalkyldata'!$H$23:$H$27,'2. Kalkyldata'!$E$23:$E$27,"nyb",'2. Kalkyldata'!$M$23:$M$27,'4. NPV'!Q3)</f>
        <v>6100</v>
      </c>
      <c r="R6" s="336">
        <f>SUMIFS('2. Kalkyldata'!$H$23:$H$27,'2. Kalkyldata'!$E$23:$E$27,"nyb",'2. Kalkyldata'!$M$23:$M$27,'4. NPV'!R3)</f>
        <v>6100</v>
      </c>
      <c r="S6" s="336">
        <f>SUMIFS('2. Kalkyldata'!$H$23:$H$27,'2. Kalkyldata'!$E$23:$E$27,"nyb",'2. Kalkyldata'!$M$23:$M$27,'4. NPV'!S3)</f>
        <v>6100</v>
      </c>
      <c r="T6" s="336">
        <f>SUMIFS('2. Kalkyldata'!$H$23:$H$27,'2. Kalkyldata'!$E$23:$E$27,"nyb",'2. Kalkyldata'!$M$23:$M$27,'4. NPV'!T3)</f>
        <v>6100</v>
      </c>
      <c r="U6" s="336">
        <f>SUMIFS('2. Kalkyldata'!$H$23:$H$27,'2. Kalkyldata'!$E$23:$E$27,"nyb",'2. Kalkyldata'!$M$23:$M$27,'4. NPV'!U3)</f>
        <v>6100</v>
      </c>
      <c r="V6" s="336">
        <f>SUMIFS('2. Kalkyldata'!$H$23:$H$27,'2. Kalkyldata'!$E$23:$E$27,"nyb",'2. Kalkyldata'!$M$23:$M$27,'4. NPV'!V3)</f>
        <v>6100</v>
      </c>
      <c r="W6" s="336">
        <f>SUMIFS('2. Kalkyldata'!$H$23:$H$27,'2. Kalkyldata'!$E$23:$E$27,"nyb",'2. Kalkyldata'!$M$23:$M$27,'4. NPV'!W3)</f>
        <v>6100</v>
      </c>
      <c r="X6" s="336">
        <f>SUMIFS('2. Kalkyldata'!$H$23:$H$27,'2. Kalkyldata'!$E$23:$E$27,"nyb",'2. Kalkyldata'!$M$23:$M$27,'4. NPV'!X3)</f>
        <v>6100</v>
      </c>
      <c r="Y6" s="336">
        <f>SUMIFS('2. Kalkyldata'!$H$23:$H$27,'2. Kalkyldata'!$E$23:$E$27,"nyb",'2. Kalkyldata'!$M$23:$M$27,'4. NPV'!Y3)</f>
        <v>0</v>
      </c>
      <c r="Z6" s="336">
        <f>SUMIFS('2. Kalkyldata'!$H$23:$H$27,'2. Kalkyldata'!$E$23:$E$27,"nyb",'2. Kalkyldata'!$M$23:$M$27,'4. NPV'!Z3)</f>
        <v>0</v>
      </c>
      <c r="AA6" s="336">
        <f>SUMIFS('2. Kalkyldata'!$H$23:$H$27,'2. Kalkyldata'!$E$23:$E$27,"nyb",'2. Kalkyldata'!$M$23:$M$27,'4. NPV'!AA3)</f>
        <v>0</v>
      </c>
      <c r="AB6" s="336">
        <f>SUMIFS('2. Kalkyldata'!$H$23:$H$27,'2. Kalkyldata'!$E$23:$E$27,"nyb",'2. Kalkyldata'!$M$23:$M$27,'4. NPV'!AB3)</f>
        <v>0</v>
      </c>
      <c r="AC6" s="336">
        <f>SUMIFS('2. Kalkyldata'!$H$23:$H$27,'2. Kalkyldata'!$E$23:$E$27,"nyb",'2. Kalkyldata'!$M$23:$M$27,'4. NPV'!AC3)</f>
        <v>0</v>
      </c>
      <c r="AD6" s="336">
        <f>SUMIFS('2. Kalkyldata'!$H$23:$H$27,'2. Kalkyldata'!$E$23:$E$27,"nyb",'2. Kalkyldata'!$M$23:$M$27,'4. NPV'!AD3)</f>
        <v>0</v>
      </c>
      <c r="AE6" s="336">
        <f>SUMIFS('2. Kalkyldata'!$H$23:$H$27,'2. Kalkyldata'!$E$23:$E$27,"nyb",'2. Kalkyldata'!$M$23:$M$27,'4. NPV'!AE3)</f>
        <v>0</v>
      </c>
      <c r="AF6" s="336">
        <f>SUMIFS('2. Kalkyldata'!$H$23:$H$27,'2. Kalkyldata'!$E$23:$E$27,"nyb",'2. Kalkyldata'!$M$23:$M$27,'4. NPV'!AF3)</f>
        <v>0</v>
      </c>
      <c r="AG6" s="336">
        <f>SUMIFS('2. Kalkyldata'!$H$23:$H$27,'2. Kalkyldata'!$E$23:$E$27,"nyb",'2. Kalkyldata'!$M$23:$M$27,'4. NPV'!AG3)</f>
        <v>0</v>
      </c>
      <c r="AH6" s="336">
        <f>SUMIFS('2. Kalkyldata'!$H$23:$H$27,'2. Kalkyldata'!$E$23:$E$27,"nyb",'2. Kalkyldata'!$M$23:$M$27,'4. NPV'!AH3)</f>
        <v>0</v>
      </c>
      <c r="AI6" s="336">
        <f>SUMIFS('2. Kalkyldata'!$H$23:$H$27,'2. Kalkyldata'!$E$23:$E$27,"nyb",'2. Kalkyldata'!$M$23:$M$27,'4. NPV'!AI3)</f>
        <v>0</v>
      </c>
      <c r="AJ6" s="336">
        <f>SUMIFS('2. Kalkyldata'!$H$23:$H$27,'2. Kalkyldata'!$E$23:$E$27,"nyb",'2. Kalkyldata'!$M$23:$M$27,'4. NPV'!AJ3)</f>
        <v>0</v>
      </c>
      <c r="AK6" s="336">
        <f>SUMIFS('2. Kalkyldata'!$H$23:$H$27,'2. Kalkyldata'!$E$23:$E$27,"nyb",'2. Kalkyldata'!$M$23:$M$27,'4. NPV'!AK3)</f>
        <v>0</v>
      </c>
      <c r="AL6" s="336">
        <f>SUMIFS('2. Kalkyldata'!$H$23:$H$27,'2. Kalkyldata'!$E$23:$E$27,"nyb",'2. Kalkyldata'!$M$23:$M$27,'4. NPV'!AL3)</f>
        <v>0</v>
      </c>
      <c r="AM6" s="336">
        <f>SUMIFS('2. Kalkyldata'!$H$23:$H$27,'2. Kalkyldata'!$E$23:$E$27,"nyb",'2. Kalkyldata'!$M$23:$M$27,'4. NPV'!AM3)</f>
        <v>0</v>
      </c>
      <c r="AN6" s="336">
        <f>SUMIFS('2. Kalkyldata'!$H$23:$H$27,'2. Kalkyldata'!$E$23:$E$27,"nyb",'2. Kalkyldata'!$M$23:$M$27,'4. NPV'!AN3)</f>
        <v>0</v>
      </c>
      <c r="AO6" s="336">
        <f>SUMIFS('2. Kalkyldata'!$H$23:$H$27,'2. Kalkyldata'!$E$23:$E$27,"nyb",'2. Kalkyldata'!$M$23:$M$27,'4. NPV'!AO3)</f>
        <v>0</v>
      </c>
      <c r="AP6" s="336">
        <f>SUMIFS('2. Kalkyldata'!$H$23:$H$27,'2. Kalkyldata'!$E$23:$E$27,"nyb",'2. Kalkyldata'!$M$23:$M$27,'4. NPV'!AP3)</f>
        <v>0</v>
      </c>
      <c r="AQ6" s="336">
        <f>SUMIFS('2. Kalkyldata'!$H$23:$H$27,'2. Kalkyldata'!$E$23:$E$27,"nyb",'2. Kalkyldata'!$M$23:$M$27,'4. NPV'!AQ3)</f>
        <v>0</v>
      </c>
      <c r="AR6" s="336">
        <f>SUMIFS('2. Kalkyldata'!$H$23:$H$27,'2. Kalkyldata'!$E$23:$E$27,"nyb",'2. Kalkyldata'!$M$23:$M$27,'4. NPV'!AR3)</f>
        <v>0</v>
      </c>
      <c r="AS6" s="336">
        <f>SUMIFS('2. Kalkyldata'!$H$23:$H$27,'2. Kalkyldata'!$E$23:$E$27,"nyb",'2. Kalkyldata'!$M$23:$M$27,'4. NPV'!AS3)</f>
        <v>0</v>
      </c>
      <c r="AT6" s="336">
        <f>SUMIFS('2. Kalkyldata'!$H$23:$H$27,'2. Kalkyldata'!$E$23:$E$27,"nyb",'2. Kalkyldata'!$M$23:$M$27,'4. NPV'!AT3)</f>
        <v>0</v>
      </c>
      <c r="AU6" s="336">
        <f>SUMIFS('2. Kalkyldata'!$H$23:$H$27,'2. Kalkyldata'!$E$23:$E$27,"nyb",'2. Kalkyldata'!$M$23:$M$27,'4. NPV'!AU3)</f>
        <v>0</v>
      </c>
      <c r="AV6" s="336">
        <f>SUMIFS('2. Kalkyldata'!$H$23:$H$27,'2. Kalkyldata'!$E$23:$E$27,"nyb",'2. Kalkyldata'!$M$23:$M$27,'4. NPV'!AV3)</f>
        <v>0</v>
      </c>
      <c r="AW6" s="336">
        <f>SUMIFS('2. Kalkyldata'!$H$23:$H$27,'2. Kalkyldata'!$E$23:$E$27,"nyb",'2. Kalkyldata'!$M$23:$M$27,'4. NPV'!AW3)</f>
        <v>0</v>
      </c>
      <c r="AX6" s="336">
        <f>SUMIFS('2. Kalkyldata'!$H$23:$H$27,'2. Kalkyldata'!$E$23:$E$27,"nyb",'2. Kalkyldata'!$M$23:$M$27,'4. NPV'!AX3)</f>
        <v>0</v>
      </c>
      <c r="AY6" s="336">
        <f>SUMIFS('2. Kalkyldata'!$H$23:$H$27,'2. Kalkyldata'!$E$23:$E$27,"nyb",'2. Kalkyldata'!$M$23:$M$27,'4. NPV'!AY3)</f>
        <v>0</v>
      </c>
      <c r="AZ6" s="336">
        <f>SUMIFS('2. Kalkyldata'!$H$23:$H$27,'2. Kalkyldata'!$E$23:$E$27,"nyb",'2. Kalkyldata'!$M$23:$M$27,'4. NPV'!AZ3)</f>
        <v>0</v>
      </c>
      <c r="BA6" s="336">
        <f>SUMIFS('2. Kalkyldata'!$H$23:$H$27,'2. Kalkyldata'!$E$23:$E$27,"nyb",'2. Kalkyldata'!$M$23:$M$27,'4. NPV'!BA3)</f>
        <v>0</v>
      </c>
    </row>
    <row r="7" spans="1:53" s="188" customFormat="1" ht="11.25">
      <c r="B7" s="336" t="s">
        <v>170</v>
      </c>
      <c r="C7" s="337"/>
      <c r="D7" s="33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4"/>
      <c r="B8" s="311" t="s">
        <v>227</v>
      </c>
      <c r="C8" s="339">
        <f>D8</f>
        <v>6100</v>
      </c>
      <c r="D8" s="311">
        <f>D6+D7</f>
        <v>6100</v>
      </c>
      <c r="E8" s="311">
        <f t="shared" ref="E8:BA8" si="1">E6+E7</f>
        <v>6100</v>
      </c>
      <c r="F8" s="311">
        <f t="shared" si="1"/>
        <v>6100</v>
      </c>
      <c r="G8" s="311">
        <f t="shared" si="1"/>
        <v>6100</v>
      </c>
      <c r="H8" s="311">
        <f t="shared" si="1"/>
        <v>6100</v>
      </c>
      <c r="I8" s="311">
        <f t="shared" si="1"/>
        <v>6100</v>
      </c>
      <c r="J8" s="311">
        <f t="shared" si="1"/>
        <v>6100</v>
      </c>
      <c r="K8" s="311">
        <f t="shared" si="1"/>
        <v>6100</v>
      </c>
      <c r="L8" s="311">
        <f t="shared" si="1"/>
        <v>6100</v>
      </c>
      <c r="M8" s="311">
        <f t="shared" si="1"/>
        <v>6100</v>
      </c>
      <c r="N8" s="311">
        <f t="shared" si="1"/>
        <v>6100</v>
      </c>
      <c r="O8" s="311">
        <f t="shared" si="1"/>
        <v>6100</v>
      </c>
      <c r="P8" s="311">
        <f t="shared" si="1"/>
        <v>6100</v>
      </c>
      <c r="Q8" s="311">
        <f t="shared" si="1"/>
        <v>6100</v>
      </c>
      <c r="R8" s="311">
        <f t="shared" si="1"/>
        <v>6100</v>
      </c>
      <c r="S8" s="311">
        <f t="shared" si="1"/>
        <v>6100</v>
      </c>
      <c r="T8" s="311">
        <f t="shared" si="1"/>
        <v>6100</v>
      </c>
      <c r="U8" s="311">
        <f t="shared" si="1"/>
        <v>6100</v>
      </c>
      <c r="V8" s="311">
        <f t="shared" si="1"/>
        <v>6100</v>
      </c>
      <c r="W8" s="311">
        <f t="shared" si="1"/>
        <v>6100</v>
      </c>
      <c r="X8" s="311">
        <f t="shared" si="1"/>
        <v>6100</v>
      </c>
      <c r="Y8" s="311">
        <f t="shared" si="1"/>
        <v>0</v>
      </c>
      <c r="Z8" s="311">
        <f t="shared" si="1"/>
        <v>0</v>
      </c>
      <c r="AA8" s="311">
        <f t="shared" si="1"/>
        <v>0</v>
      </c>
      <c r="AB8" s="311">
        <f t="shared" si="1"/>
        <v>0</v>
      </c>
      <c r="AC8" s="311">
        <f t="shared" si="1"/>
        <v>0</v>
      </c>
      <c r="AD8" s="311">
        <f t="shared" si="1"/>
        <v>0</v>
      </c>
      <c r="AE8" s="311">
        <f t="shared" si="1"/>
        <v>0</v>
      </c>
      <c r="AF8" s="311">
        <f t="shared" si="1"/>
        <v>0</v>
      </c>
      <c r="AG8" s="311">
        <f t="shared" si="1"/>
        <v>0</v>
      </c>
      <c r="AH8" s="311">
        <f t="shared" si="1"/>
        <v>0</v>
      </c>
      <c r="AI8" s="311">
        <f t="shared" si="1"/>
        <v>0</v>
      </c>
      <c r="AJ8" s="311">
        <f t="shared" si="1"/>
        <v>0</v>
      </c>
      <c r="AK8" s="311">
        <f t="shared" si="1"/>
        <v>0</v>
      </c>
      <c r="AL8" s="311">
        <f t="shared" si="1"/>
        <v>0</v>
      </c>
      <c r="AM8" s="311">
        <f t="shared" si="1"/>
        <v>0</v>
      </c>
      <c r="AN8" s="311">
        <f t="shared" si="1"/>
        <v>0</v>
      </c>
      <c r="AO8" s="311">
        <f t="shared" si="1"/>
        <v>0</v>
      </c>
      <c r="AP8" s="311">
        <f t="shared" si="1"/>
        <v>0</v>
      </c>
      <c r="AQ8" s="311">
        <f t="shared" si="1"/>
        <v>0</v>
      </c>
      <c r="AR8" s="311">
        <f t="shared" si="1"/>
        <v>0</v>
      </c>
      <c r="AS8" s="311">
        <f t="shared" si="1"/>
        <v>0</v>
      </c>
      <c r="AT8" s="311">
        <f t="shared" si="1"/>
        <v>0</v>
      </c>
      <c r="AU8" s="311">
        <f t="shared" si="1"/>
        <v>0</v>
      </c>
      <c r="AV8" s="311">
        <f t="shared" si="1"/>
        <v>0</v>
      </c>
      <c r="AW8" s="311">
        <f t="shared" si="1"/>
        <v>0</v>
      </c>
      <c r="AX8" s="311">
        <f t="shared" si="1"/>
        <v>0</v>
      </c>
      <c r="AY8" s="311">
        <f t="shared" si="1"/>
        <v>0</v>
      </c>
      <c r="AZ8" s="311">
        <f t="shared" si="1"/>
        <v>0</v>
      </c>
      <c r="BA8" s="311">
        <f t="shared" si="1"/>
        <v>0</v>
      </c>
    </row>
    <row r="9" spans="1:53">
      <c r="A9" s="504"/>
      <c r="B9" s="312" t="s">
        <v>166</v>
      </c>
      <c r="C9" s="340"/>
      <c r="D9" s="312">
        <f>'3. Finansiering'!D15</f>
        <v>-239999999.99999997</v>
      </c>
      <c r="E9" s="312">
        <f>'3. Finansiering'!E15</f>
        <v>0</v>
      </c>
      <c r="F9" s="312">
        <f>'3. Finansiering'!F15</f>
        <v>0</v>
      </c>
      <c r="G9" s="312">
        <f>'3. Finansiering'!G15</f>
        <v>0</v>
      </c>
      <c r="H9" s="312">
        <f>'3. Finansiering'!H15</f>
        <v>0</v>
      </c>
      <c r="I9" s="312">
        <f>'3. Finansiering'!I15</f>
        <v>0</v>
      </c>
      <c r="J9" s="312">
        <f>'3. Finansiering'!J15</f>
        <v>0</v>
      </c>
      <c r="K9" s="312">
        <f>'3. Finansiering'!K15</f>
        <v>0</v>
      </c>
      <c r="L9" s="312">
        <f>'3. Finansiering'!L15</f>
        <v>0</v>
      </c>
      <c r="M9" s="312">
        <f>'3. Finansiering'!M15</f>
        <v>0</v>
      </c>
      <c r="N9" s="312">
        <f>'3. Finansiering'!N15</f>
        <v>0</v>
      </c>
      <c r="O9" s="312">
        <f>'3. Finansiering'!O15</f>
        <v>0</v>
      </c>
      <c r="P9" s="312">
        <f>'3. Finansiering'!P15</f>
        <v>0</v>
      </c>
      <c r="Q9" s="312">
        <f>'3. Finansiering'!Q15</f>
        <v>0</v>
      </c>
      <c r="R9" s="312">
        <f>'3. Finansiering'!R15</f>
        <v>0</v>
      </c>
      <c r="S9" s="312">
        <f>'3. Finansiering'!S15</f>
        <v>0</v>
      </c>
      <c r="T9" s="312">
        <f>'3. Finansiering'!T15</f>
        <v>0</v>
      </c>
      <c r="U9" s="312">
        <f>'3. Finansiering'!U15</f>
        <v>0</v>
      </c>
      <c r="V9" s="312">
        <f>'3. Finansiering'!V15</f>
        <v>0</v>
      </c>
      <c r="W9" s="312">
        <f>'3. Finansiering'!W15</f>
        <v>0</v>
      </c>
      <c r="X9" s="312">
        <f>'3. Finansiering'!X15</f>
        <v>0</v>
      </c>
      <c r="Y9" s="312">
        <f>'3. Finansiering'!Y15</f>
        <v>0</v>
      </c>
      <c r="Z9" s="312">
        <f>'3. Finansiering'!Z15</f>
        <v>0</v>
      </c>
      <c r="AA9" s="312">
        <f>'3. Finansiering'!AA15</f>
        <v>0</v>
      </c>
      <c r="AB9" s="312">
        <f>'3. Finansiering'!AB15</f>
        <v>0</v>
      </c>
      <c r="AC9" s="312">
        <f>'3. Finansiering'!AC15</f>
        <v>0</v>
      </c>
      <c r="AD9" s="312">
        <f>'3. Finansiering'!AD15</f>
        <v>0</v>
      </c>
      <c r="AE9" s="312">
        <f>'3. Finansiering'!AE15</f>
        <v>0</v>
      </c>
      <c r="AF9" s="312">
        <f>'3. Finansiering'!AF15</f>
        <v>0</v>
      </c>
      <c r="AG9" s="312">
        <f>'3. Finansiering'!AG15</f>
        <v>0</v>
      </c>
      <c r="AH9" s="312">
        <f>'3. Finansiering'!AH15</f>
        <v>0</v>
      </c>
      <c r="AI9" s="312">
        <f>'3. Finansiering'!AI15</f>
        <v>0</v>
      </c>
      <c r="AJ9" s="312">
        <f>'3. Finansiering'!AJ15</f>
        <v>0</v>
      </c>
      <c r="AK9" s="312">
        <f>'3. Finansiering'!AK15</f>
        <v>0</v>
      </c>
      <c r="AL9" s="312">
        <f>'3. Finansiering'!AL15</f>
        <v>0</v>
      </c>
      <c r="AM9" s="312">
        <f>'3. Finansiering'!AM15</f>
        <v>0</v>
      </c>
      <c r="AN9" s="312">
        <f>'3. Finansiering'!AN15</f>
        <v>0</v>
      </c>
      <c r="AO9" s="312">
        <f>'3. Finansiering'!AO15</f>
        <v>0</v>
      </c>
      <c r="AP9" s="312">
        <f>'3. Finansiering'!AP15</f>
        <v>0</v>
      </c>
      <c r="AQ9" s="312">
        <f>'3. Finansiering'!AQ15</f>
        <v>0</v>
      </c>
      <c r="AR9" s="312">
        <f>'3. Finansiering'!AR15</f>
        <v>0</v>
      </c>
      <c r="AS9" s="312">
        <f>'3. Finansiering'!AS15</f>
        <v>0</v>
      </c>
      <c r="AT9" s="312">
        <f>'3. Finansiering'!AT15</f>
        <v>0</v>
      </c>
      <c r="AU9" s="312">
        <f>'3. Finansiering'!AU15</f>
        <v>0</v>
      </c>
      <c r="AV9" s="312">
        <f>'3. Finansiering'!AV15</f>
        <v>0</v>
      </c>
      <c r="AW9" s="312">
        <f>'3. Finansiering'!AW15</f>
        <v>0</v>
      </c>
      <c r="AX9" s="312">
        <f>'3. Finansiering'!AX15</f>
        <v>0</v>
      </c>
      <c r="AY9" s="312">
        <f>'3. Finansiering'!AY15</f>
        <v>0</v>
      </c>
      <c r="AZ9" s="312">
        <f>'3. Finansiering'!AZ15</f>
        <v>0</v>
      </c>
      <c r="BA9" s="312">
        <f>'3. Finansiering'!BA15</f>
        <v>0</v>
      </c>
    </row>
    <row r="11" spans="1:53">
      <c r="A11" s="504"/>
      <c r="B11" s="331"/>
      <c r="C11" s="331" t="str">
        <f>CONCATENATE("kr/kvm, ",D4)</f>
        <v>kr/kvm, 2026</v>
      </c>
      <c r="D11" s="331">
        <f t="shared" ref="D11:AI11" si="2">D4</f>
        <v>2026</v>
      </c>
      <c r="E11" s="331">
        <f t="shared" si="2"/>
        <v>2027</v>
      </c>
      <c r="F11" s="331">
        <f t="shared" si="2"/>
        <v>2028</v>
      </c>
      <c r="G11" s="331">
        <f t="shared" si="2"/>
        <v>2029</v>
      </c>
      <c r="H11" s="331">
        <f t="shared" si="2"/>
        <v>2030</v>
      </c>
      <c r="I11" s="331">
        <f t="shared" si="2"/>
        <v>2031</v>
      </c>
      <c r="J11" s="331">
        <f t="shared" si="2"/>
        <v>2032</v>
      </c>
      <c r="K11" s="331">
        <f t="shared" si="2"/>
        <v>2033</v>
      </c>
      <c r="L11" s="331">
        <f t="shared" si="2"/>
        <v>2034</v>
      </c>
      <c r="M11" s="331">
        <f t="shared" si="2"/>
        <v>2035</v>
      </c>
      <c r="N11" s="331">
        <f t="shared" si="2"/>
        <v>2036</v>
      </c>
      <c r="O11" s="331">
        <f t="shared" si="2"/>
        <v>2037</v>
      </c>
      <c r="P11" s="331">
        <f t="shared" si="2"/>
        <v>2038</v>
      </c>
      <c r="Q11" s="331">
        <f t="shared" si="2"/>
        <v>2039</v>
      </c>
      <c r="R11" s="331">
        <f t="shared" si="2"/>
        <v>2040</v>
      </c>
      <c r="S11" s="331">
        <f t="shared" si="2"/>
        <v>2041</v>
      </c>
      <c r="T11" s="331">
        <f t="shared" si="2"/>
        <v>2042</v>
      </c>
      <c r="U11" s="331">
        <f t="shared" si="2"/>
        <v>2043</v>
      </c>
      <c r="V11" s="331">
        <f t="shared" si="2"/>
        <v>2044</v>
      </c>
      <c r="W11" s="331">
        <f t="shared" si="2"/>
        <v>2045</v>
      </c>
      <c r="X11" s="331">
        <f t="shared" si="2"/>
        <v>2046</v>
      </c>
      <c r="Y11" s="331" t="str">
        <f t="shared" si="2"/>
        <v/>
      </c>
      <c r="Z11" s="331" t="str">
        <f t="shared" si="2"/>
        <v/>
      </c>
      <c r="AA11" s="331" t="str">
        <f t="shared" si="2"/>
        <v/>
      </c>
      <c r="AB11" s="331" t="str">
        <f t="shared" si="2"/>
        <v/>
      </c>
      <c r="AC11" s="331" t="str">
        <f t="shared" si="2"/>
        <v/>
      </c>
      <c r="AD11" s="331" t="str">
        <f t="shared" si="2"/>
        <v/>
      </c>
      <c r="AE11" s="331" t="str">
        <f t="shared" si="2"/>
        <v/>
      </c>
      <c r="AF11" s="331" t="str">
        <f t="shared" si="2"/>
        <v/>
      </c>
      <c r="AG11" s="331" t="str">
        <f t="shared" si="2"/>
        <v/>
      </c>
      <c r="AH11" s="331" t="str">
        <f t="shared" si="2"/>
        <v/>
      </c>
      <c r="AI11" s="331" t="str">
        <f t="shared" si="2"/>
        <v/>
      </c>
      <c r="AJ11" s="331" t="str">
        <f t="shared" ref="AJ11:BA11" si="3">AJ4</f>
        <v/>
      </c>
      <c r="AK11" s="331" t="str">
        <f t="shared" si="3"/>
        <v/>
      </c>
      <c r="AL11" s="331" t="str">
        <f t="shared" si="3"/>
        <v/>
      </c>
      <c r="AM11" s="331" t="str">
        <f t="shared" si="3"/>
        <v/>
      </c>
      <c r="AN11" s="331" t="str">
        <f t="shared" si="3"/>
        <v/>
      </c>
      <c r="AO11" s="331" t="str">
        <f t="shared" si="3"/>
        <v/>
      </c>
      <c r="AP11" s="331" t="str">
        <f t="shared" si="3"/>
        <v/>
      </c>
      <c r="AQ11" s="331" t="str">
        <f t="shared" si="3"/>
        <v/>
      </c>
      <c r="AR11" s="331" t="str">
        <f t="shared" si="3"/>
        <v/>
      </c>
      <c r="AS11" s="331" t="str">
        <f t="shared" si="3"/>
        <v/>
      </c>
      <c r="AT11" s="331" t="str">
        <f t="shared" si="3"/>
        <v/>
      </c>
      <c r="AU11" s="331" t="str">
        <f t="shared" si="3"/>
        <v/>
      </c>
      <c r="AV11" s="331" t="str">
        <f t="shared" si="3"/>
        <v/>
      </c>
      <c r="AW11" s="331" t="str">
        <f t="shared" si="3"/>
        <v/>
      </c>
      <c r="AX11" s="331" t="str">
        <f t="shared" si="3"/>
        <v/>
      </c>
      <c r="AY11" s="331" t="str">
        <f t="shared" si="3"/>
        <v/>
      </c>
      <c r="AZ11" s="331" t="str">
        <f t="shared" si="3"/>
        <v/>
      </c>
      <c r="BA11" s="331" t="str">
        <f t="shared" si="3"/>
        <v/>
      </c>
    </row>
    <row r="12" spans="1:53">
      <c r="A12" s="504"/>
      <c r="B12" s="229" t="str">
        <f>CONCATENATE("Intäkter ",'2. Kalkyldata'!C23)</f>
        <v>Intäkter Skola</v>
      </c>
      <c r="C12" s="332">
        <f>IFERROR(D12/$C$8,0)</f>
        <v>2650</v>
      </c>
      <c r="D12" s="230">
        <f>IF(D$4="",0,((1+'2. Kalkyldata'!$M$9*'2. Kalkyldata'!$J23)^(D$4-$D$4)))*IF((D$4&gt;='2. Kalkyldata'!$M23),IF(D$4="",0,IF(AND(D$4&gt;='2. Kalkyldata'!$M23,'4. NPV'!D$4&lt;='2. Kalkyldata'!$N23),'2. Kalkyldata'!$L23,'2. Kalkyldata'!$O23*'2. Kalkyldata'!$H23)),0)</f>
        <v>16165000</v>
      </c>
      <c r="E12" s="230">
        <f>IF(E$4="",0,((1+'2. Kalkyldata'!$M$9*'2. Kalkyldata'!$J23)^(E$4-MAX('2. Kalkyldata'!$M23,$D$4))))*IF((E$4&gt;='2. Kalkyldata'!$M23),IF(E$4="",0,IF(AND(E$4&gt;='2. Kalkyldata'!$M23,'4. NPV'!E$4&lt;='2. Kalkyldata'!$N23),'2. Kalkyldata'!$L23,'2. Kalkyldata'!$O23*'2. Kalkyldata'!$H23)),0)</f>
        <v>16391310</v>
      </c>
      <c r="F12" s="230">
        <f>IF(F$4="",0,((1+'2. Kalkyldata'!$M$9*'2. Kalkyldata'!$J23)^(F$4-MAX('2. Kalkyldata'!$M23,$D$4))))*IF((F$4&gt;='2. Kalkyldata'!$M23),IF(F$4="",0,IF(AND(F$4&gt;='2. Kalkyldata'!$M23,'4. NPV'!F$4&lt;='2. Kalkyldata'!$N23),'2. Kalkyldata'!$L23,'2. Kalkyldata'!$O23*'2. Kalkyldata'!$H23)),0)</f>
        <v>16620788.340000002</v>
      </c>
      <c r="G12" s="230">
        <f>IF(G$4="",0,((1+'2. Kalkyldata'!$M$9*'2. Kalkyldata'!$J23)^(G$4-MAX('2. Kalkyldata'!$M23,$D$4))))*IF((G$4&gt;='2. Kalkyldata'!$M23),IF(G$4="",0,IF(AND(G$4&gt;='2. Kalkyldata'!$M23,'4. NPV'!G$4&lt;='2. Kalkyldata'!$N23),'2. Kalkyldata'!$L23,'2. Kalkyldata'!$O23*'2. Kalkyldata'!$H23)),0)</f>
        <v>16853479.376760002</v>
      </c>
      <c r="H12" s="230">
        <f>IF(H$4="",0,((1+'2. Kalkyldata'!$M$9*'2. Kalkyldata'!$J23)^(H$4-MAX('2. Kalkyldata'!$M23,$D$4))))*IF((H$4&gt;='2. Kalkyldata'!$M23),IF(H$4="",0,IF(AND(H$4&gt;='2. Kalkyldata'!$M23,'4. NPV'!H$4&lt;='2. Kalkyldata'!$N23),'2. Kalkyldata'!$L23,'2. Kalkyldata'!$O23*'2. Kalkyldata'!$H23)),0)</f>
        <v>17089428.088034645</v>
      </c>
      <c r="I12" s="230">
        <f>IF(I$4="",0,((1+'2. Kalkyldata'!$M$9*'2. Kalkyldata'!$J23)^(I$4-MAX('2. Kalkyldata'!$M23,$D$4))))*IF((I$4&gt;='2. Kalkyldata'!$M23),IF(I$4="",0,IF(AND(I$4&gt;='2. Kalkyldata'!$M23,'4. NPV'!I$4&lt;='2. Kalkyldata'!$N23),'2. Kalkyldata'!$L23,'2. Kalkyldata'!$O23*'2. Kalkyldata'!$H23)),0)</f>
        <v>17328680.08126713</v>
      </c>
      <c r="J12" s="230">
        <f>IF(J$4="",0,((1+'2. Kalkyldata'!$M$9*'2. Kalkyldata'!$J23)^(J$4-MAX('2. Kalkyldata'!$M23,$D$4))))*IF((J$4&gt;='2. Kalkyldata'!$M23),IF(J$4="",0,IF(AND(J$4&gt;='2. Kalkyldata'!$M23,'4. NPV'!J$4&lt;='2. Kalkyldata'!$N23),'2. Kalkyldata'!$L23,'2. Kalkyldata'!$O23*'2. Kalkyldata'!$H23)),0)</f>
        <v>17571281.60240487</v>
      </c>
      <c r="K12" s="230">
        <f>IF(K$4="",0,((1+'2. Kalkyldata'!$M$9*'2. Kalkyldata'!$J23)^(K$4-MAX('2. Kalkyldata'!$M23,$D$4))))*IF((K$4&gt;='2. Kalkyldata'!$M23),IF(K$4="",0,IF(AND(K$4&gt;='2. Kalkyldata'!$M23,'4. NPV'!K$4&lt;='2. Kalkyldata'!$N23),'2. Kalkyldata'!$L23,'2. Kalkyldata'!$O23*'2. Kalkyldata'!$H23)),0)</f>
        <v>17817279.54483854</v>
      </c>
      <c r="L12" s="230">
        <f>IF(L$4="",0,((1+'2. Kalkyldata'!$M$9*'2. Kalkyldata'!$J23)^(L$4-MAX('2. Kalkyldata'!$M23,$D$4))))*IF((L$4&gt;='2. Kalkyldata'!$M23),IF(L$4="",0,IF(AND(L$4&gt;='2. Kalkyldata'!$M23,'4. NPV'!L$4&lt;='2. Kalkyldata'!$N23),'2. Kalkyldata'!$L23,'2. Kalkyldata'!$O23*'2. Kalkyldata'!$H23)),0)</f>
        <v>18066721.458466284</v>
      </c>
      <c r="M12" s="230">
        <f>IF(M$4="",0,((1+'2. Kalkyldata'!$M$9*'2. Kalkyldata'!$J23)^(M$4-MAX('2. Kalkyldata'!$M23,$D$4))))*IF((M$4&gt;='2. Kalkyldata'!$M23),IF(M$4="",0,IF(AND(M$4&gt;='2. Kalkyldata'!$M23,'4. NPV'!M$4&lt;='2. Kalkyldata'!$N23),'2. Kalkyldata'!$L23,'2. Kalkyldata'!$O23*'2. Kalkyldata'!$H23)),0)</f>
        <v>18319655.558884811</v>
      </c>
      <c r="N12" s="230">
        <f>IF(N$4="",0,((1+'2. Kalkyldata'!$M$9*'2. Kalkyldata'!$J23)^(N$4-MAX('2. Kalkyldata'!$M23,$D$4))))*IF((N$4&gt;='2. Kalkyldata'!$M23),IF(N$4="",0,IF(AND(N$4&gt;='2. Kalkyldata'!$M23,'4. NPV'!N$4&lt;='2. Kalkyldata'!$N23),'2. Kalkyldata'!$L23,'2. Kalkyldata'!$O23*'2. Kalkyldata'!$H23)),0)</f>
        <v>18576130.7367092</v>
      </c>
      <c r="O12" s="230">
        <f>IF(O$4="",0,((1+'2. Kalkyldata'!$M$9*'2. Kalkyldata'!$J23)^(O$4-MAX('2. Kalkyldata'!$M23,$D$4))))*IF((O$4&gt;='2. Kalkyldata'!$M23),IF(O$4="",0,IF(AND(O$4&gt;='2. Kalkyldata'!$M23,'4. NPV'!O$4&lt;='2. Kalkyldata'!$N23),'2. Kalkyldata'!$L23,'2. Kalkyldata'!$O23*'2. Kalkyldata'!$H23)),0)</f>
        <v>18836196.567023128</v>
      </c>
      <c r="P12" s="230">
        <f>IF(P$4="",0,((1+'2. Kalkyldata'!$M$9*'2. Kalkyldata'!$J23)^(P$4-MAX('2. Kalkyldata'!$M23,$D$4))))*IF((P$4&gt;='2. Kalkyldata'!$M23),IF(P$4="",0,IF(AND(P$4&gt;='2. Kalkyldata'!$M23,'4. NPV'!P$4&lt;='2. Kalkyldata'!$N23),'2. Kalkyldata'!$L23,'2. Kalkyldata'!$O23*'2. Kalkyldata'!$H23)),0)</f>
        <v>19099903.318961456</v>
      </c>
      <c r="Q12" s="230">
        <f>IF(Q$4="",0,((1+'2. Kalkyldata'!$M$9*'2. Kalkyldata'!$J23)^(Q$4-MAX('2. Kalkyldata'!$M23,$D$4))))*IF((Q$4&gt;='2. Kalkyldata'!$M23),IF(Q$4="",0,IF(AND(Q$4&gt;='2. Kalkyldata'!$M23,'4. NPV'!Q$4&lt;='2. Kalkyldata'!$N23),'2. Kalkyldata'!$L23,'2. Kalkyldata'!$O23*'2. Kalkyldata'!$H23)),0)</f>
        <v>19367301.965426914</v>
      </c>
      <c r="R12" s="230">
        <f>IF(R$4="",0,((1+'2. Kalkyldata'!$M$9*'2. Kalkyldata'!$J23)^(R$4-MAX('2. Kalkyldata'!$M23,$D$4))))*IF((R$4&gt;='2. Kalkyldata'!$M23),IF(R$4="",0,IF(AND(R$4&gt;='2. Kalkyldata'!$M23,'4. NPV'!R$4&lt;='2. Kalkyldata'!$N23),'2. Kalkyldata'!$L23,'2. Kalkyldata'!$O23*'2. Kalkyldata'!$H23)),0)</f>
        <v>19638444.192942895</v>
      </c>
      <c r="S12" s="230">
        <f>IF(S$4="",0,((1+'2. Kalkyldata'!$M$9*'2. Kalkyldata'!$J23)^(S$4-MAX('2. Kalkyldata'!$M23,$D$4))))*IF((S$4&gt;='2. Kalkyldata'!$M23),IF(S$4="",0,IF(AND(S$4&gt;='2. Kalkyldata'!$M23,'4. NPV'!S$4&lt;='2. Kalkyldata'!$N23),'2. Kalkyldata'!$L23,'2. Kalkyldata'!$O23*'2. Kalkyldata'!$H23)),0)</f>
        <v>19913382.411644097</v>
      </c>
      <c r="T12" s="230">
        <f>IF(T$4="",0,((1+'2. Kalkyldata'!$M$9*'2. Kalkyldata'!$J23)^(T$4-MAX('2. Kalkyldata'!$M23,$D$4))))*IF((T$4&gt;='2. Kalkyldata'!$M23),IF(T$4="",0,IF(AND(T$4&gt;='2. Kalkyldata'!$M23,'4. NPV'!T$4&lt;='2. Kalkyldata'!$N23),'2. Kalkyldata'!$L23,'2. Kalkyldata'!$O23*'2. Kalkyldata'!$H23)),0)</f>
        <v>20192169.765407119</v>
      </c>
      <c r="U12" s="230">
        <f>IF(U$4="",0,((1+'2. Kalkyldata'!$M$9*'2. Kalkyldata'!$J23)^(U$4-MAX('2. Kalkyldata'!$M23,$D$4))))*IF((U$4&gt;='2. Kalkyldata'!$M23),IF(U$4="",0,IF(AND(U$4&gt;='2. Kalkyldata'!$M23,'4. NPV'!U$4&lt;='2. Kalkyldata'!$N23),'2. Kalkyldata'!$L23,'2. Kalkyldata'!$O23*'2. Kalkyldata'!$H23)),0)</f>
        <v>20474860.14212282</v>
      </c>
      <c r="V12" s="230">
        <f>IF(V$4="",0,((1+'2. Kalkyldata'!$M$9*'2. Kalkyldata'!$J23)^(V$4-MAX('2. Kalkyldata'!$M23,$D$4))))*IF((V$4&gt;='2. Kalkyldata'!$M23),IF(V$4="",0,IF(AND(V$4&gt;='2. Kalkyldata'!$M23,'4. NPV'!V$4&lt;='2. Kalkyldata'!$N23),'2. Kalkyldata'!$L23,'2. Kalkyldata'!$O23*'2. Kalkyldata'!$H23)),0)</f>
        <v>20761508.184112541</v>
      </c>
      <c r="W12" s="230">
        <f>IF(W$4="",0,((1+'2. Kalkyldata'!$M$9*'2. Kalkyldata'!$J23)^(W$4-MAX('2. Kalkyldata'!$M23,$D$4))))*IF((W$4&gt;='2. Kalkyldata'!$M23),IF(W$4="",0,IF(AND(W$4&gt;='2. Kalkyldata'!$M23,'4. NPV'!W$4&lt;='2. Kalkyldata'!$N23),'2. Kalkyldata'!$L23,'2. Kalkyldata'!$O23*'2. Kalkyldata'!$H23)),0)</f>
        <v>21052169.298690114</v>
      </c>
      <c r="X12" s="230">
        <f>IF(X$4="",0,((1+'2. Kalkyldata'!$M$9*'2. Kalkyldata'!$J23)^(X$4-MAX('2. Kalkyldata'!$M23,$D$4))))*IF((X$4&gt;='2. Kalkyldata'!$M23),IF(X$4="",0,IF(AND(X$4&gt;='2. Kalkyldata'!$M23,'4. NPV'!X$4&lt;='2. Kalkyldata'!$N23),'2. Kalkyldata'!$L23,'2. Kalkyldata'!$O23*'2. Kalkyldata'!$H23)),0)</f>
        <v>21346899.668871779</v>
      </c>
      <c r="Y12" s="230">
        <f>IF(Y$4="",0,((1+'2. Kalkyldata'!$M$9*'2. Kalkyldata'!$J23)^(Y$4-MAX('2. Kalkyldata'!$M23,$D$4))))*IF((Y$4&gt;='2. Kalkyldata'!$M23),IF(Y$4="",0,IF(AND(Y$4&gt;='2. Kalkyldata'!$M23,'4. NPV'!Y$4&lt;='2. Kalkyldata'!$N23),'2. Kalkyldata'!$L23,'2. Kalkyldata'!$O23*'2. Kalkyldata'!$H23)),0)</f>
        <v>0</v>
      </c>
      <c r="Z12" s="230">
        <f>IF(Z$4="",0,((1+'2. Kalkyldata'!$M$9*'2. Kalkyldata'!$J23)^(Z$4-MAX('2. Kalkyldata'!$M23,$D$4))))*IF((Z$4&gt;='2. Kalkyldata'!$M23),IF(Z$4="",0,IF(AND(Z$4&gt;='2. Kalkyldata'!$M23,'4. NPV'!Z$4&lt;='2. Kalkyldata'!$N23),'2. Kalkyldata'!$L23,'2. Kalkyldata'!$O23*'2. Kalkyldata'!$H23)),0)</f>
        <v>0</v>
      </c>
      <c r="AA12" s="230">
        <f>IF(AA$4="",0,((1+'2. Kalkyldata'!$M$9*'2. Kalkyldata'!$J23)^(AA$4-MAX('2. Kalkyldata'!$M23,$D$4))))*IF((AA$4&gt;='2. Kalkyldata'!$M23),IF(AA$4="",0,IF(AND(AA$4&gt;='2. Kalkyldata'!$M23,'4. NPV'!AA$4&lt;='2. Kalkyldata'!$N23),'2. Kalkyldata'!$L23,'2. Kalkyldata'!$O23*'2. Kalkyldata'!$H23)),0)</f>
        <v>0</v>
      </c>
      <c r="AB12" s="230">
        <f>IF(AB$4="",0,((1+'2. Kalkyldata'!$M$9*'2. Kalkyldata'!$J23)^(AB$4-MAX('2. Kalkyldata'!$M23,$D$4))))*IF((AB$4&gt;='2. Kalkyldata'!$M23),IF(AB$4="",0,IF(AND(AB$4&gt;='2. Kalkyldata'!$M23,'4. NPV'!AB$4&lt;='2. Kalkyldata'!$N23),'2. Kalkyldata'!$L23,'2. Kalkyldata'!$O23*'2. Kalkyldata'!$H23)),0)</f>
        <v>0</v>
      </c>
      <c r="AC12" s="230">
        <f>IF(AC$4="",0,((1+'2. Kalkyldata'!$M$9*'2. Kalkyldata'!$J23)^(AC$4-MAX('2. Kalkyldata'!$M23,$D$4))))*IF((AC$4&gt;='2. Kalkyldata'!$M23),IF(AC$4="",0,IF(AND(AC$4&gt;='2. Kalkyldata'!$M23,'4. NPV'!AC$4&lt;='2. Kalkyldata'!$N23),'2. Kalkyldata'!$L23,'2. Kalkyldata'!$O23*'2. Kalkyldata'!$H23)),0)</f>
        <v>0</v>
      </c>
      <c r="AD12" s="230">
        <f>IF(AD$4="",0,((1+'2. Kalkyldata'!$M$9*'2. Kalkyldata'!$J23)^(AD$4-MAX('2. Kalkyldata'!$M23,$D$4))))*IF((AD$4&gt;='2. Kalkyldata'!$M23),IF(AD$4="",0,IF(AND(AD$4&gt;='2. Kalkyldata'!$M23,'4. NPV'!AD$4&lt;='2. Kalkyldata'!$N23),'2. Kalkyldata'!$L23,'2. Kalkyldata'!$O23*'2. Kalkyldata'!$H23)),0)</f>
        <v>0</v>
      </c>
      <c r="AE12" s="230">
        <f>IF(AE$4="",0,((1+'2. Kalkyldata'!$M$9*'2. Kalkyldata'!$J23)^(AE$4-MAX('2. Kalkyldata'!$M23,$D$4))))*IF((AE$4&gt;='2. Kalkyldata'!$M23),IF(AE$4="",0,IF(AND(AE$4&gt;='2. Kalkyldata'!$M23,'4. NPV'!AE$4&lt;='2. Kalkyldata'!$N23),'2. Kalkyldata'!$L23,'2. Kalkyldata'!$O23*'2. Kalkyldata'!$H23)),0)</f>
        <v>0</v>
      </c>
      <c r="AF12" s="230">
        <f>IF(AF$4="",0,((1+'2. Kalkyldata'!$M$9*'2. Kalkyldata'!$J23)^(AF$4-MAX('2. Kalkyldata'!$M23,$D$4))))*IF((AF$4&gt;='2. Kalkyldata'!$M23),IF(AF$4="",0,IF(AND(AF$4&gt;='2. Kalkyldata'!$M23,'4. NPV'!AF$4&lt;='2. Kalkyldata'!$N23),'2. Kalkyldata'!$L23,'2. Kalkyldata'!$O23*'2. Kalkyldata'!$H23)),0)</f>
        <v>0</v>
      </c>
      <c r="AG12" s="230">
        <f>IF(AG$4="",0,((1+'2. Kalkyldata'!$M$9*'2. Kalkyldata'!$J23)^(AG$4-MAX('2. Kalkyldata'!$M23,$D$4))))*IF((AG$4&gt;='2. Kalkyldata'!$M23),IF(AG$4="",0,IF(AND(AG$4&gt;='2. Kalkyldata'!$M23,'4. NPV'!AG$4&lt;='2. Kalkyldata'!$N23),'2. Kalkyldata'!$L23,'2. Kalkyldata'!$O23*'2. Kalkyldata'!$H23)),0)</f>
        <v>0</v>
      </c>
      <c r="AH12" s="230">
        <f>IF(AH$4="",0,((1+'2. Kalkyldata'!$M$9*'2. Kalkyldata'!$J23)^(AH$4-MAX('2. Kalkyldata'!$M23,$D$4))))*IF((AH$4&gt;='2. Kalkyldata'!$M23),IF(AH$4="",0,IF(AND(AH$4&gt;='2. Kalkyldata'!$M23,'4. NPV'!AH$4&lt;='2. Kalkyldata'!$N23),'2. Kalkyldata'!$L23,'2. Kalkyldata'!$O23*'2. Kalkyldata'!$H23)),0)</f>
        <v>0</v>
      </c>
      <c r="AI12" s="230">
        <f>IF(AI$4="",0,((1+'2. Kalkyldata'!$M$9*'2. Kalkyldata'!$J23)^(AI$4-MAX('2. Kalkyldata'!$M23,$D$4))))*IF((AI$4&gt;='2. Kalkyldata'!$M23),IF(AI$4="",0,IF(AND(AI$4&gt;='2. Kalkyldata'!$M23,'4. NPV'!AI$4&lt;='2. Kalkyldata'!$N23),'2. Kalkyldata'!$L23,'2. Kalkyldata'!$O23*'2. Kalkyldata'!$H23)),0)</f>
        <v>0</v>
      </c>
      <c r="AJ12" s="230">
        <f>IF(AJ$4="",0,((1+'2. Kalkyldata'!$M$9*'2. Kalkyldata'!$J23)^(AJ$4-MAX('2. Kalkyldata'!$M23,$D$4))))*IF((AJ$4&gt;='2. Kalkyldata'!$M23),IF(AJ$4="",0,IF(AND(AJ$4&gt;='2. Kalkyldata'!$M23,'4. NPV'!AJ$4&lt;='2. Kalkyldata'!$N23),'2. Kalkyldata'!$L23,'2. Kalkyldata'!$O23*'2. Kalkyldata'!$H23)),0)</f>
        <v>0</v>
      </c>
      <c r="AK12" s="230">
        <f>IF(AK$4="",0,((1+'2. Kalkyldata'!$M$9*'2. Kalkyldata'!$J23)^(AK$4-MAX('2. Kalkyldata'!$M23,$D$4))))*IF((AK$4&gt;='2. Kalkyldata'!$M23),IF(AK$4="",0,IF(AND(AK$4&gt;='2. Kalkyldata'!$M23,'4. NPV'!AK$4&lt;='2. Kalkyldata'!$N23),'2. Kalkyldata'!$L23,'2. Kalkyldata'!$O23*'2. Kalkyldata'!$H23)),0)</f>
        <v>0</v>
      </c>
      <c r="AL12" s="230">
        <f>IF(AL$4="",0,((1+'2. Kalkyldata'!$M$9*'2. Kalkyldata'!$J23)^(AL$4-MAX('2. Kalkyldata'!$M23,$D$4))))*IF((AL$4&gt;='2. Kalkyldata'!$M23),IF(AL$4="",0,IF(AND(AL$4&gt;='2. Kalkyldata'!$M23,'4. NPV'!AL$4&lt;='2. Kalkyldata'!$N23),'2. Kalkyldata'!$L23,'2. Kalkyldata'!$O23*'2. Kalkyldata'!$H23)),0)</f>
        <v>0</v>
      </c>
      <c r="AM12" s="230">
        <f>IF(AM$4="",0,((1+'2. Kalkyldata'!$M$9*'2. Kalkyldata'!$J23)^(AM$4-MAX('2. Kalkyldata'!$M23,$D$4))))*IF((AM$4&gt;='2. Kalkyldata'!$M23),IF(AM$4="",0,IF(AND(AM$4&gt;='2. Kalkyldata'!$M23,'4. NPV'!AM$4&lt;='2. Kalkyldata'!$N23),'2. Kalkyldata'!$L23,'2. Kalkyldata'!$O23*'2. Kalkyldata'!$H23)),0)</f>
        <v>0</v>
      </c>
      <c r="AN12" s="230">
        <f>IF(AN$4="",0,((1+'2. Kalkyldata'!$M$9*'2. Kalkyldata'!$J23)^(AN$4-MAX('2. Kalkyldata'!$M23,$D$4))))*IF((AN$4&gt;='2. Kalkyldata'!$M23),IF(AN$4="",0,IF(AND(AN$4&gt;='2. Kalkyldata'!$M23,'4. NPV'!AN$4&lt;='2. Kalkyldata'!$N23),'2. Kalkyldata'!$L23,'2. Kalkyldata'!$O23*'2. Kalkyldata'!$H23)),0)</f>
        <v>0</v>
      </c>
      <c r="AO12" s="230">
        <f>IF(AO$4="",0,((1+'2. Kalkyldata'!$M$9*'2. Kalkyldata'!$J23)^(AO$4-MAX('2. Kalkyldata'!$M23,$D$4))))*IF((AO$4&gt;='2. Kalkyldata'!$M23),IF(AO$4="",0,IF(AND(AO$4&gt;='2. Kalkyldata'!$M23,'4. NPV'!AO$4&lt;='2. Kalkyldata'!$N23),'2. Kalkyldata'!$L23,'2. Kalkyldata'!$O23*'2. Kalkyldata'!$H23)),0)</f>
        <v>0</v>
      </c>
      <c r="AP12" s="230">
        <f>IF(AP$4="",0,((1+'2. Kalkyldata'!$M$9*'2. Kalkyldata'!$J23)^(AP$4-MAX('2. Kalkyldata'!$M23,$D$4))))*IF((AP$4&gt;='2. Kalkyldata'!$M23),IF(AP$4="",0,IF(AND(AP$4&gt;='2. Kalkyldata'!$M23,'4. NPV'!AP$4&lt;='2. Kalkyldata'!$N23),'2. Kalkyldata'!$L23,'2. Kalkyldata'!$O23*'2. Kalkyldata'!$H23)),0)</f>
        <v>0</v>
      </c>
      <c r="AQ12" s="230">
        <f>IF(AQ$4="",0,((1+'2. Kalkyldata'!$M$9*'2. Kalkyldata'!$J23)^(AQ$4-MAX('2. Kalkyldata'!$M23,$D$4))))*IF((AQ$4&gt;='2. Kalkyldata'!$M23),IF(AQ$4="",0,IF(AND(AQ$4&gt;='2. Kalkyldata'!$M23,'4. NPV'!AQ$4&lt;='2. Kalkyldata'!$N23),'2. Kalkyldata'!$L23,'2. Kalkyldata'!$O23*'2. Kalkyldata'!$H23)),0)</f>
        <v>0</v>
      </c>
      <c r="AR12" s="230">
        <f>IF(AR$4="",0,((1+'2. Kalkyldata'!$M$9*'2. Kalkyldata'!$J23)^(AR$4-MAX('2. Kalkyldata'!$M23,$D$4))))*IF((AR$4&gt;='2. Kalkyldata'!$M23),IF(AR$4="",0,IF(AND(AR$4&gt;='2. Kalkyldata'!$M23,'4. NPV'!AR$4&lt;='2. Kalkyldata'!$N23),'2. Kalkyldata'!$L23,'2. Kalkyldata'!$O23*'2. Kalkyldata'!$H23)),0)</f>
        <v>0</v>
      </c>
      <c r="AS12" s="230">
        <f>IF(AS$4="",0,((1+'2. Kalkyldata'!$M$9*'2. Kalkyldata'!$J23)^(AS$4-MAX('2. Kalkyldata'!$M23,$D$4))))*IF((AS$4&gt;='2. Kalkyldata'!$M23),IF(AS$4="",0,IF(AND(AS$4&gt;='2. Kalkyldata'!$M23,'4. NPV'!AS$4&lt;='2. Kalkyldata'!$N23),'2. Kalkyldata'!$L23,'2. Kalkyldata'!$O23*'2. Kalkyldata'!$H23)),0)</f>
        <v>0</v>
      </c>
      <c r="AT12" s="230">
        <f>IF(AT$4="",0,((1+'2. Kalkyldata'!$M$9*'2. Kalkyldata'!$J23)^(AT$4-MAX('2. Kalkyldata'!$M23,$D$4))))*IF((AT$4&gt;='2. Kalkyldata'!$M23),IF(AT$4="",0,IF(AND(AT$4&gt;='2. Kalkyldata'!$M23,'4. NPV'!AT$4&lt;='2. Kalkyldata'!$N23),'2. Kalkyldata'!$L23,'2. Kalkyldata'!$O23*'2. Kalkyldata'!$H23)),0)</f>
        <v>0</v>
      </c>
      <c r="AU12" s="230">
        <f>IF(AU$4="",0,((1+'2. Kalkyldata'!$M$9*'2. Kalkyldata'!$J23)^(AU$4-MAX('2. Kalkyldata'!$M23,$D$4))))*IF((AU$4&gt;='2. Kalkyldata'!$M23),IF(AU$4="",0,IF(AND(AU$4&gt;='2. Kalkyldata'!$M23,'4. NPV'!AU$4&lt;='2. Kalkyldata'!$N23),'2. Kalkyldata'!$L23,'2. Kalkyldata'!$O23*'2. Kalkyldata'!$H23)),0)</f>
        <v>0</v>
      </c>
      <c r="AV12" s="230">
        <f>IF(AV$4="",0,((1+'2. Kalkyldata'!$M$9*'2. Kalkyldata'!$J23)^(AV$4-MAX('2. Kalkyldata'!$M23,$D$4))))*IF((AV$4&gt;='2. Kalkyldata'!$M23),IF(AV$4="",0,IF(AND(AV$4&gt;='2. Kalkyldata'!$M23,'4. NPV'!AV$4&lt;='2. Kalkyldata'!$N23),'2. Kalkyldata'!$L23,'2. Kalkyldata'!$O23*'2. Kalkyldata'!$H23)),0)</f>
        <v>0</v>
      </c>
      <c r="AW12" s="230">
        <f>IF(AW$4="",0,((1+'2. Kalkyldata'!$M$9*'2. Kalkyldata'!$J23)^(AW$4-MAX('2. Kalkyldata'!$M23,$D$4))))*IF((AW$4&gt;='2. Kalkyldata'!$M23),IF(AW$4="",0,IF(AND(AW$4&gt;='2. Kalkyldata'!$M23,'4. NPV'!AW$4&lt;='2. Kalkyldata'!$N23),'2. Kalkyldata'!$L23,'2. Kalkyldata'!$O23*'2. Kalkyldata'!$H23)),0)</f>
        <v>0</v>
      </c>
      <c r="AX12" s="230">
        <f>IF(AX$4="",0,((1+'2. Kalkyldata'!$M$9*'2. Kalkyldata'!$J23)^(AX$4-MAX('2. Kalkyldata'!$M23,$D$4))))*IF((AX$4&gt;='2. Kalkyldata'!$M23),IF(AX$4="",0,IF(AND(AX$4&gt;='2. Kalkyldata'!$M23,'4. NPV'!AX$4&lt;='2. Kalkyldata'!$N23),'2. Kalkyldata'!$L23,'2. Kalkyldata'!$O23*'2. Kalkyldata'!$H23)),0)</f>
        <v>0</v>
      </c>
      <c r="AY12" s="230">
        <f>IF(AY$4="",0,((1+'2. Kalkyldata'!$M$9*'2. Kalkyldata'!$J23)^(AY$4-MAX('2. Kalkyldata'!$M23,$D$4))))*IF((AY$4&gt;='2. Kalkyldata'!$M23),IF(AY$4="",0,IF(AND(AY$4&gt;='2. Kalkyldata'!$M23,'4. NPV'!AY$4&lt;='2. Kalkyldata'!$N23),'2. Kalkyldata'!$L23,'2. Kalkyldata'!$O23*'2. Kalkyldata'!$H23)),0)</f>
        <v>0</v>
      </c>
      <c r="AZ12" s="230">
        <f>IF(AZ$4="",0,((1+'2. Kalkyldata'!$M$9*'2. Kalkyldata'!$J23)^(AZ$4-MAX('2. Kalkyldata'!$M23,$D$4))))*IF((AZ$4&gt;='2. Kalkyldata'!$M23),IF(AZ$4="",0,IF(AND(AZ$4&gt;='2. Kalkyldata'!$M23,'4. NPV'!AZ$4&lt;='2. Kalkyldata'!$N23),'2. Kalkyldata'!$L23,'2. Kalkyldata'!$O23*'2. Kalkyldata'!$H23)),0)</f>
        <v>0</v>
      </c>
      <c r="BA12" s="230">
        <f>IF(BA$4="",0,((1+'2. Kalkyldata'!$M$9*'2. Kalkyldata'!$J23)^(BA$4-MAX('2. Kalkyldata'!$M23,$D$4))))*IF((BA$4&gt;='2. Kalkyldata'!$M23),IF(BA$4="",0,IF(AND(BA$4&gt;='2. Kalkyldata'!$M23,'4. NPV'!BA$4&lt;='2. Kalkyldata'!$N23),'2. Kalkyldata'!$L23,'2. Kalkyldata'!$O23*'2. Kalkyldata'!$H23)),0)</f>
        <v>0</v>
      </c>
    </row>
    <row r="13" spans="1:53">
      <c r="A13" s="504"/>
      <c r="B13" s="229" t="str">
        <f>CONCATENATE("Intäkter ",'2. Kalkyldata'!C24)</f>
        <v xml:space="preserve">Intäkter </v>
      </c>
      <c r="C13" s="332">
        <f t="shared" ref="C13:C16" si="4">IFERROR(D13/$C$8,0)</f>
        <v>0</v>
      </c>
      <c r="D13" s="230">
        <f>IF(D$4="",0,((1+'2. Kalkyldata'!$M$9*'2. Kalkyldata'!$J24)^(D$4-$D$4)))*IF((D$4&gt;='2. Kalkyldata'!$M24),IF(D$4="",0,IF(AND(D$4&gt;='2. Kalkyldata'!$M24,'4. NPV'!D$4&lt;='2. Kalkyldata'!$N24),'2. Kalkyldata'!$L24,'2. Kalkyldata'!$O24*'2. Kalkyldata'!$H24)),0)</f>
        <v>0</v>
      </c>
      <c r="E13" s="230">
        <f>IF(E$4="",0,((1+'2. Kalkyldata'!$M$9*'2. Kalkyldata'!$J24)^(E$4-MAX('2. Kalkyldata'!$M24,$D$4))))*IF((E$4&gt;='2. Kalkyldata'!$M24),IF(E$4="",0,IF(AND(E$4&gt;='2. Kalkyldata'!$M24,'4. NPV'!E$4&lt;='2. Kalkyldata'!$N24),'2. Kalkyldata'!$L24,'2. Kalkyldata'!$O24*'2. Kalkyldata'!$H24)),0)</f>
        <v>0</v>
      </c>
      <c r="F13" s="230">
        <f>IF(F$4="",0,((1+'2. Kalkyldata'!$M$9*'2. Kalkyldata'!$J24)^(F$4-MAX('2. Kalkyldata'!$M24,$D$4))))*IF((F$4&gt;='2. Kalkyldata'!$M24),IF(F$4="",0,IF(AND(F$4&gt;='2. Kalkyldata'!$M24,'4. NPV'!F$4&lt;='2. Kalkyldata'!$N24),'2. Kalkyldata'!$L24,'2. Kalkyldata'!$O24*'2. Kalkyldata'!$H24)),0)</f>
        <v>0</v>
      </c>
      <c r="G13" s="230">
        <f>IF(G$4="",0,((1+'2. Kalkyldata'!$M$9*'2. Kalkyldata'!$J24)^(G$4-MAX('2. Kalkyldata'!$M24,$D$4))))*IF((G$4&gt;='2. Kalkyldata'!$M24),IF(G$4="",0,IF(AND(G$4&gt;='2. Kalkyldata'!$M24,'4. NPV'!G$4&lt;='2. Kalkyldata'!$N24),'2. Kalkyldata'!$L24,'2. Kalkyldata'!$O24*'2. Kalkyldata'!$H24)),0)</f>
        <v>0</v>
      </c>
      <c r="H13" s="230">
        <f>IF(H$4="",0,((1+'2. Kalkyldata'!$M$9*'2. Kalkyldata'!$J24)^(H$4-MAX('2. Kalkyldata'!$M24,$D$4))))*IF((H$4&gt;='2. Kalkyldata'!$M24),IF(H$4="",0,IF(AND(H$4&gt;='2. Kalkyldata'!$M24,'4. NPV'!H$4&lt;='2. Kalkyldata'!$N24),'2. Kalkyldata'!$L24,'2. Kalkyldata'!$O24*'2. Kalkyldata'!$H24)),0)</f>
        <v>0</v>
      </c>
      <c r="I13" s="230">
        <f>IF(I$4="",0,((1+'2. Kalkyldata'!$M$9*'2. Kalkyldata'!$J24)^(I$4-MAX('2. Kalkyldata'!$M24,$D$4))))*IF((I$4&gt;='2. Kalkyldata'!$M24),IF(I$4="",0,IF(AND(I$4&gt;='2. Kalkyldata'!$M24,'4. NPV'!I$4&lt;='2. Kalkyldata'!$N24),'2. Kalkyldata'!$L24,'2. Kalkyldata'!$O24*'2. Kalkyldata'!$H24)),0)</f>
        <v>0</v>
      </c>
      <c r="J13" s="230">
        <f>IF(J$4="",0,((1+'2. Kalkyldata'!$M$9*'2. Kalkyldata'!$J24)^(J$4-MAX('2. Kalkyldata'!$M24,$D$4))))*IF((J$4&gt;='2. Kalkyldata'!$M24),IF(J$4="",0,IF(AND(J$4&gt;='2. Kalkyldata'!$M24,'4. NPV'!J$4&lt;='2. Kalkyldata'!$N24),'2. Kalkyldata'!$L24,'2. Kalkyldata'!$O24*'2. Kalkyldata'!$H24)),0)</f>
        <v>0</v>
      </c>
      <c r="K13" s="230">
        <f>IF(K$4="",0,((1+'2. Kalkyldata'!$M$9*'2. Kalkyldata'!$J24)^(K$4-MAX('2. Kalkyldata'!$M24,$D$4))))*IF((K$4&gt;='2. Kalkyldata'!$M24),IF(K$4="",0,IF(AND(K$4&gt;='2. Kalkyldata'!$M24,'4. NPV'!K$4&lt;='2. Kalkyldata'!$N24),'2. Kalkyldata'!$L24,'2. Kalkyldata'!$O24*'2. Kalkyldata'!$H24)),0)</f>
        <v>0</v>
      </c>
      <c r="L13" s="230">
        <f>IF(L$4="",0,((1+'2. Kalkyldata'!$M$9*'2. Kalkyldata'!$J24)^(L$4-MAX('2. Kalkyldata'!$M24,$D$4))))*IF((L$4&gt;='2. Kalkyldata'!$M24),IF(L$4="",0,IF(AND(L$4&gt;='2. Kalkyldata'!$M24,'4. NPV'!L$4&lt;='2. Kalkyldata'!$N24),'2. Kalkyldata'!$L24,'2. Kalkyldata'!$O24*'2. Kalkyldata'!$H24)),0)</f>
        <v>0</v>
      </c>
      <c r="M13" s="230">
        <f>IF(M$4="",0,((1+'2. Kalkyldata'!$M$9*'2. Kalkyldata'!$J24)^(M$4-MAX('2. Kalkyldata'!$M24,$D$4))))*IF((M$4&gt;='2. Kalkyldata'!$M24),IF(M$4="",0,IF(AND(M$4&gt;='2. Kalkyldata'!$M24,'4. NPV'!M$4&lt;='2. Kalkyldata'!$N24),'2. Kalkyldata'!$L24,'2. Kalkyldata'!$O24*'2. Kalkyldata'!$H24)),0)</f>
        <v>0</v>
      </c>
      <c r="N13" s="230">
        <f>IF(N$4="",0,((1+'2. Kalkyldata'!$M$9*'2. Kalkyldata'!$J24)^(N$4-MAX('2. Kalkyldata'!$M24,$D$4))))*IF((N$4&gt;='2. Kalkyldata'!$M24),IF(N$4="",0,IF(AND(N$4&gt;='2. Kalkyldata'!$M24,'4. NPV'!N$4&lt;='2. Kalkyldata'!$N24),'2. Kalkyldata'!$L24,'2. Kalkyldata'!$O24*'2. Kalkyldata'!$H24)),0)</f>
        <v>0</v>
      </c>
      <c r="O13" s="230">
        <f>IF(O$4="",0,((1+'2. Kalkyldata'!$M$9*'2. Kalkyldata'!$J24)^(O$4-MAX('2. Kalkyldata'!$M24,$D$4))))*IF((O$4&gt;='2. Kalkyldata'!$M24),IF(O$4="",0,IF(AND(O$4&gt;='2. Kalkyldata'!$M24,'4. NPV'!O$4&lt;='2. Kalkyldata'!$N24),'2. Kalkyldata'!$L24,'2. Kalkyldata'!$O24*'2. Kalkyldata'!$H24)),0)</f>
        <v>0</v>
      </c>
      <c r="P13" s="230">
        <f>IF(P$4="",0,((1+'2. Kalkyldata'!$M$9*'2. Kalkyldata'!$J24)^(P$4-MAX('2. Kalkyldata'!$M24,$D$4))))*IF((P$4&gt;='2. Kalkyldata'!$M24),IF(P$4="",0,IF(AND(P$4&gt;='2. Kalkyldata'!$M24,'4. NPV'!P$4&lt;='2. Kalkyldata'!$N24),'2. Kalkyldata'!$L24,'2. Kalkyldata'!$O24*'2. Kalkyldata'!$H24)),0)</f>
        <v>0</v>
      </c>
      <c r="Q13" s="230">
        <f>IF(Q$4="",0,((1+'2. Kalkyldata'!$M$9*'2. Kalkyldata'!$J24)^(Q$4-MAX('2. Kalkyldata'!$M24,$D$4))))*IF((Q$4&gt;='2. Kalkyldata'!$M24),IF(Q$4="",0,IF(AND(Q$4&gt;='2. Kalkyldata'!$M24,'4. NPV'!Q$4&lt;='2. Kalkyldata'!$N24),'2. Kalkyldata'!$L24,'2. Kalkyldata'!$O24*'2. Kalkyldata'!$H24)),0)</f>
        <v>0</v>
      </c>
      <c r="R13" s="230">
        <f>IF(R$4="",0,((1+'2. Kalkyldata'!$M$9*'2. Kalkyldata'!$J24)^(R$4-MAX('2. Kalkyldata'!$M24,$D$4))))*IF((R$4&gt;='2. Kalkyldata'!$M24),IF(R$4="",0,IF(AND(R$4&gt;='2. Kalkyldata'!$M24,'4. NPV'!R$4&lt;='2. Kalkyldata'!$N24),'2. Kalkyldata'!$L24,'2. Kalkyldata'!$O24*'2. Kalkyldata'!$H24)),0)</f>
        <v>0</v>
      </c>
      <c r="S13" s="230">
        <f>IF(S$4="",0,((1+'2. Kalkyldata'!$M$9*'2. Kalkyldata'!$J24)^(S$4-MAX('2. Kalkyldata'!$M24,$D$4))))*IF((S$4&gt;='2. Kalkyldata'!$M24),IF(S$4="",0,IF(AND(S$4&gt;='2. Kalkyldata'!$M24,'4. NPV'!S$4&lt;='2. Kalkyldata'!$N24),'2. Kalkyldata'!$L24,'2. Kalkyldata'!$O24*'2. Kalkyldata'!$H24)),0)</f>
        <v>0</v>
      </c>
      <c r="T13" s="230">
        <f>IF(T$4="",0,((1+'2. Kalkyldata'!$M$9*'2. Kalkyldata'!$J24)^(T$4-MAX('2. Kalkyldata'!$M24,$D$4))))*IF((T$4&gt;='2. Kalkyldata'!$M24),IF(T$4="",0,IF(AND(T$4&gt;='2. Kalkyldata'!$M24,'4. NPV'!T$4&lt;='2. Kalkyldata'!$N24),'2. Kalkyldata'!$L24,'2. Kalkyldata'!$O24*'2. Kalkyldata'!$H24)),0)</f>
        <v>0</v>
      </c>
      <c r="U13" s="230">
        <f>IF(U$4="",0,((1+'2. Kalkyldata'!$M$9*'2. Kalkyldata'!$J24)^(U$4-MAX('2. Kalkyldata'!$M24,$D$4))))*IF((U$4&gt;='2. Kalkyldata'!$M24),IF(U$4="",0,IF(AND(U$4&gt;='2. Kalkyldata'!$M24,'4. NPV'!U$4&lt;='2. Kalkyldata'!$N24),'2. Kalkyldata'!$L24,'2. Kalkyldata'!$O24*'2. Kalkyldata'!$H24)),0)</f>
        <v>0</v>
      </c>
      <c r="V13" s="230">
        <f>IF(V$4="",0,((1+'2. Kalkyldata'!$M$9*'2. Kalkyldata'!$J24)^(V$4-MAX('2. Kalkyldata'!$M24,$D$4))))*IF((V$4&gt;='2. Kalkyldata'!$M24),IF(V$4="",0,IF(AND(V$4&gt;='2. Kalkyldata'!$M24,'4. NPV'!V$4&lt;='2. Kalkyldata'!$N24),'2. Kalkyldata'!$L24,'2. Kalkyldata'!$O24*'2. Kalkyldata'!$H24)),0)</f>
        <v>0</v>
      </c>
      <c r="W13" s="230">
        <f>IF(W$4="",0,((1+'2. Kalkyldata'!$M$9*'2. Kalkyldata'!$J24)^(W$4-MAX('2. Kalkyldata'!$M24,$D$4))))*IF((W$4&gt;='2. Kalkyldata'!$M24),IF(W$4="",0,IF(AND(W$4&gt;='2. Kalkyldata'!$M24,'4. NPV'!W$4&lt;='2. Kalkyldata'!$N24),'2. Kalkyldata'!$L24,'2. Kalkyldata'!$O24*'2. Kalkyldata'!$H24)),0)</f>
        <v>0</v>
      </c>
      <c r="X13" s="230">
        <f>IF(X$4="",0,((1+'2. Kalkyldata'!$M$9*'2. Kalkyldata'!$J24)^(X$4-MAX('2. Kalkyldata'!$M24,$D$4))))*IF((X$4&gt;='2. Kalkyldata'!$M24),IF(X$4="",0,IF(AND(X$4&gt;='2. Kalkyldata'!$M24,'4. NPV'!X$4&lt;='2. Kalkyldata'!$N24),'2. Kalkyldata'!$L24,'2. Kalkyldata'!$O24*'2. Kalkyldata'!$H24)),0)</f>
        <v>0</v>
      </c>
      <c r="Y13" s="230">
        <f>IF(Y$4="",0,((1+'2. Kalkyldata'!$M$9*'2. Kalkyldata'!$J24)^(Y$4-MAX('2. Kalkyldata'!$M24,$D$4))))*IF((Y$4&gt;='2. Kalkyldata'!$M24),IF(Y$4="",0,IF(AND(Y$4&gt;='2. Kalkyldata'!$M24,'4. NPV'!Y$4&lt;='2. Kalkyldata'!$N24),'2. Kalkyldata'!$L24,'2. Kalkyldata'!$O24*'2. Kalkyldata'!$H24)),0)</f>
        <v>0</v>
      </c>
      <c r="Z13" s="230">
        <f>IF(Z$4="",0,((1+'2. Kalkyldata'!$M$9*'2. Kalkyldata'!$J24)^(Z$4-MAX('2. Kalkyldata'!$M24,$D$4))))*IF((Z$4&gt;='2. Kalkyldata'!$M24),IF(Z$4="",0,IF(AND(Z$4&gt;='2. Kalkyldata'!$M24,'4. NPV'!Z$4&lt;='2. Kalkyldata'!$N24),'2. Kalkyldata'!$L24,'2. Kalkyldata'!$O24*'2. Kalkyldata'!$H24)),0)</f>
        <v>0</v>
      </c>
      <c r="AA13" s="230">
        <f>IF(AA$4="",0,((1+'2. Kalkyldata'!$M$9*'2. Kalkyldata'!$J24)^(AA$4-MAX('2. Kalkyldata'!$M24,$D$4))))*IF((AA$4&gt;='2. Kalkyldata'!$M24),IF(AA$4="",0,IF(AND(AA$4&gt;='2. Kalkyldata'!$M24,'4. NPV'!AA$4&lt;='2. Kalkyldata'!$N24),'2. Kalkyldata'!$L24,'2. Kalkyldata'!$O24*'2. Kalkyldata'!$H24)),0)</f>
        <v>0</v>
      </c>
      <c r="AB13" s="230">
        <f>IF(AB$4="",0,((1+'2. Kalkyldata'!$M$9*'2. Kalkyldata'!$J24)^(AB$4-MAX('2. Kalkyldata'!$M24,$D$4))))*IF((AB$4&gt;='2. Kalkyldata'!$M24),IF(AB$4="",0,IF(AND(AB$4&gt;='2. Kalkyldata'!$M24,'4. NPV'!AB$4&lt;='2. Kalkyldata'!$N24),'2. Kalkyldata'!$L24,'2. Kalkyldata'!$O24*'2. Kalkyldata'!$H24)),0)</f>
        <v>0</v>
      </c>
      <c r="AC13" s="230">
        <f>IF(AC$4="",0,((1+'2. Kalkyldata'!$M$9*'2. Kalkyldata'!$J24)^(AC$4-MAX('2. Kalkyldata'!$M24,$D$4))))*IF((AC$4&gt;='2. Kalkyldata'!$M24),IF(AC$4="",0,IF(AND(AC$4&gt;='2. Kalkyldata'!$M24,'4. NPV'!AC$4&lt;='2. Kalkyldata'!$N24),'2. Kalkyldata'!$L24,'2. Kalkyldata'!$O24*'2. Kalkyldata'!$H24)),0)</f>
        <v>0</v>
      </c>
      <c r="AD13" s="230">
        <f>IF(AD$4="",0,((1+'2. Kalkyldata'!$M$9*'2. Kalkyldata'!$J24)^(AD$4-MAX('2. Kalkyldata'!$M24,$D$4))))*IF((AD$4&gt;='2. Kalkyldata'!$M24),IF(AD$4="",0,IF(AND(AD$4&gt;='2. Kalkyldata'!$M24,'4. NPV'!AD$4&lt;='2. Kalkyldata'!$N24),'2. Kalkyldata'!$L24,'2. Kalkyldata'!$O24*'2. Kalkyldata'!$H24)),0)</f>
        <v>0</v>
      </c>
      <c r="AE13" s="230">
        <f>IF(AE$4="",0,((1+'2. Kalkyldata'!$M$9*'2. Kalkyldata'!$J24)^(AE$4-MAX('2. Kalkyldata'!$M24,$D$4))))*IF((AE$4&gt;='2. Kalkyldata'!$M24),IF(AE$4="",0,IF(AND(AE$4&gt;='2. Kalkyldata'!$M24,'4. NPV'!AE$4&lt;='2. Kalkyldata'!$N24),'2. Kalkyldata'!$L24,'2. Kalkyldata'!$O24*'2. Kalkyldata'!$H24)),0)</f>
        <v>0</v>
      </c>
      <c r="AF13" s="230">
        <f>IF(AF$4="",0,((1+'2. Kalkyldata'!$M$9*'2. Kalkyldata'!$J24)^(AF$4-MAX('2. Kalkyldata'!$M24,$D$4))))*IF((AF$4&gt;='2. Kalkyldata'!$M24),IF(AF$4="",0,IF(AND(AF$4&gt;='2. Kalkyldata'!$M24,'4. NPV'!AF$4&lt;='2. Kalkyldata'!$N24),'2. Kalkyldata'!$L24,'2. Kalkyldata'!$O24*'2. Kalkyldata'!$H24)),0)</f>
        <v>0</v>
      </c>
      <c r="AG13" s="230">
        <f>IF(AG$4="",0,((1+'2. Kalkyldata'!$M$9*'2. Kalkyldata'!$J24)^(AG$4-MAX('2. Kalkyldata'!$M24,$D$4))))*IF((AG$4&gt;='2. Kalkyldata'!$M24),IF(AG$4="",0,IF(AND(AG$4&gt;='2. Kalkyldata'!$M24,'4. NPV'!AG$4&lt;='2. Kalkyldata'!$N24),'2. Kalkyldata'!$L24,'2. Kalkyldata'!$O24*'2. Kalkyldata'!$H24)),0)</f>
        <v>0</v>
      </c>
      <c r="AH13" s="230">
        <f>IF(AH$4="",0,((1+'2. Kalkyldata'!$M$9*'2. Kalkyldata'!$J24)^(AH$4-MAX('2. Kalkyldata'!$M24,$D$4))))*IF((AH$4&gt;='2. Kalkyldata'!$M24),IF(AH$4="",0,IF(AND(AH$4&gt;='2. Kalkyldata'!$M24,'4. NPV'!AH$4&lt;='2. Kalkyldata'!$N24),'2. Kalkyldata'!$L24,'2. Kalkyldata'!$O24*'2. Kalkyldata'!$H24)),0)</f>
        <v>0</v>
      </c>
      <c r="AI13" s="230">
        <f>IF(AI$4="",0,((1+'2. Kalkyldata'!$M$9*'2. Kalkyldata'!$J24)^(AI$4-MAX('2. Kalkyldata'!$M24,$D$4))))*IF((AI$4&gt;='2. Kalkyldata'!$M24),IF(AI$4="",0,IF(AND(AI$4&gt;='2. Kalkyldata'!$M24,'4. NPV'!AI$4&lt;='2. Kalkyldata'!$N24),'2. Kalkyldata'!$L24,'2. Kalkyldata'!$O24*'2. Kalkyldata'!$H24)),0)</f>
        <v>0</v>
      </c>
      <c r="AJ13" s="230">
        <f>IF(AJ$4="",0,((1+'2. Kalkyldata'!$M$9*'2. Kalkyldata'!$J24)^(AJ$4-MAX('2. Kalkyldata'!$M24,$D$4))))*IF((AJ$4&gt;='2. Kalkyldata'!$M24),IF(AJ$4="",0,IF(AND(AJ$4&gt;='2. Kalkyldata'!$M24,'4. NPV'!AJ$4&lt;='2. Kalkyldata'!$N24),'2. Kalkyldata'!$L24,'2. Kalkyldata'!$O24*'2. Kalkyldata'!$H24)),0)</f>
        <v>0</v>
      </c>
      <c r="AK13" s="230">
        <f>IF(AK$4="",0,((1+'2. Kalkyldata'!$M$9*'2. Kalkyldata'!$J24)^(AK$4-MAX('2. Kalkyldata'!$M24,$D$4))))*IF((AK$4&gt;='2. Kalkyldata'!$M24),IF(AK$4="",0,IF(AND(AK$4&gt;='2. Kalkyldata'!$M24,'4. NPV'!AK$4&lt;='2. Kalkyldata'!$N24),'2. Kalkyldata'!$L24,'2. Kalkyldata'!$O24*'2. Kalkyldata'!$H24)),0)</f>
        <v>0</v>
      </c>
      <c r="AL13" s="230">
        <f>IF(AL$4="",0,((1+'2. Kalkyldata'!$M$9*'2. Kalkyldata'!$J24)^(AL$4-MAX('2. Kalkyldata'!$M24,$D$4))))*IF((AL$4&gt;='2. Kalkyldata'!$M24),IF(AL$4="",0,IF(AND(AL$4&gt;='2. Kalkyldata'!$M24,'4. NPV'!AL$4&lt;='2. Kalkyldata'!$N24),'2. Kalkyldata'!$L24,'2. Kalkyldata'!$O24*'2. Kalkyldata'!$H24)),0)</f>
        <v>0</v>
      </c>
      <c r="AM13" s="230">
        <f>IF(AM$4="",0,((1+'2. Kalkyldata'!$M$9*'2. Kalkyldata'!$J24)^(AM$4-MAX('2. Kalkyldata'!$M24,$D$4))))*IF((AM$4&gt;='2. Kalkyldata'!$M24),IF(AM$4="",0,IF(AND(AM$4&gt;='2. Kalkyldata'!$M24,'4. NPV'!AM$4&lt;='2. Kalkyldata'!$N24),'2. Kalkyldata'!$L24,'2. Kalkyldata'!$O24*'2. Kalkyldata'!$H24)),0)</f>
        <v>0</v>
      </c>
      <c r="AN13" s="230">
        <f>IF(AN$4="",0,((1+'2. Kalkyldata'!$M$9*'2. Kalkyldata'!$J24)^(AN$4-MAX('2. Kalkyldata'!$M24,$D$4))))*IF((AN$4&gt;='2. Kalkyldata'!$M24),IF(AN$4="",0,IF(AND(AN$4&gt;='2. Kalkyldata'!$M24,'4. NPV'!AN$4&lt;='2. Kalkyldata'!$N24),'2. Kalkyldata'!$L24,'2. Kalkyldata'!$O24*'2. Kalkyldata'!$H24)),0)</f>
        <v>0</v>
      </c>
      <c r="AO13" s="230">
        <f>IF(AO$4="",0,((1+'2. Kalkyldata'!$M$9*'2. Kalkyldata'!$J24)^(AO$4-MAX('2. Kalkyldata'!$M24,$D$4))))*IF((AO$4&gt;='2. Kalkyldata'!$M24),IF(AO$4="",0,IF(AND(AO$4&gt;='2. Kalkyldata'!$M24,'4. NPV'!AO$4&lt;='2. Kalkyldata'!$N24),'2. Kalkyldata'!$L24,'2. Kalkyldata'!$O24*'2. Kalkyldata'!$H24)),0)</f>
        <v>0</v>
      </c>
      <c r="AP13" s="230">
        <f>IF(AP$4="",0,((1+'2. Kalkyldata'!$M$9*'2. Kalkyldata'!$J24)^(AP$4-MAX('2. Kalkyldata'!$M24,$D$4))))*IF((AP$4&gt;='2. Kalkyldata'!$M24),IF(AP$4="",0,IF(AND(AP$4&gt;='2. Kalkyldata'!$M24,'4. NPV'!AP$4&lt;='2. Kalkyldata'!$N24),'2. Kalkyldata'!$L24,'2. Kalkyldata'!$O24*'2. Kalkyldata'!$H24)),0)</f>
        <v>0</v>
      </c>
      <c r="AQ13" s="230">
        <f>IF(AQ$4="",0,((1+'2. Kalkyldata'!$M$9*'2. Kalkyldata'!$J24)^(AQ$4-MAX('2. Kalkyldata'!$M24,$D$4))))*IF((AQ$4&gt;='2. Kalkyldata'!$M24),IF(AQ$4="",0,IF(AND(AQ$4&gt;='2. Kalkyldata'!$M24,'4. NPV'!AQ$4&lt;='2. Kalkyldata'!$N24),'2. Kalkyldata'!$L24,'2. Kalkyldata'!$O24*'2. Kalkyldata'!$H24)),0)</f>
        <v>0</v>
      </c>
      <c r="AR13" s="230">
        <f>IF(AR$4="",0,((1+'2. Kalkyldata'!$M$9*'2. Kalkyldata'!$J24)^(AR$4-MAX('2. Kalkyldata'!$M24,$D$4))))*IF((AR$4&gt;='2. Kalkyldata'!$M24),IF(AR$4="",0,IF(AND(AR$4&gt;='2. Kalkyldata'!$M24,'4. NPV'!AR$4&lt;='2. Kalkyldata'!$N24),'2. Kalkyldata'!$L24,'2. Kalkyldata'!$O24*'2. Kalkyldata'!$H24)),0)</f>
        <v>0</v>
      </c>
      <c r="AS13" s="230">
        <f>IF(AS$4="",0,((1+'2. Kalkyldata'!$M$9*'2. Kalkyldata'!$J24)^(AS$4-MAX('2. Kalkyldata'!$M24,$D$4))))*IF((AS$4&gt;='2. Kalkyldata'!$M24),IF(AS$4="",0,IF(AND(AS$4&gt;='2. Kalkyldata'!$M24,'4. NPV'!AS$4&lt;='2. Kalkyldata'!$N24),'2. Kalkyldata'!$L24,'2. Kalkyldata'!$O24*'2. Kalkyldata'!$H24)),0)</f>
        <v>0</v>
      </c>
      <c r="AT13" s="230">
        <f>IF(AT$4="",0,((1+'2. Kalkyldata'!$M$9*'2. Kalkyldata'!$J24)^(AT$4-MAX('2. Kalkyldata'!$M24,$D$4))))*IF((AT$4&gt;='2. Kalkyldata'!$M24),IF(AT$4="",0,IF(AND(AT$4&gt;='2. Kalkyldata'!$M24,'4. NPV'!AT$4&lt;='2. Kalkyldata'!$N24),'2. Kalkyldata'!$L24,'2. Kalkyldata'!$O24*'2. Kalkyldata'!$H24)),0)</f>
        <v>0</v>
      </c>
      <c r="AU13" s="230">
        <f>IF(AU$4="",0,((1+'2. Kalkyldata'!$M$9*'2. Kalkyldata'!$J24)^(AU$4-MAX('2. Kalkyldata'!$M24,$D$4))))*IF((AU$4&gt;='2. Kalkyldata'!$M24),IF(AU$4="",0,IF(AND(AU$4&gt;='2. Kalkyldata'!$M24,'4. NPV'!AU$4&lt;='2. Kalkyldata'!$N24),'2. Kalkyldata'!$L24,'2. Kalkyldata'!$O24*'2. Kalkyldata'!$H24)),0)</f>
        <v>0</v>
      </c>
      <c r="AV13" s="230">
        <f>IF(AV$4="",0,((1+'2. Kalkyldata'!$M$9*'2. Kalkyldata'!$J24)^(AV$4-MAX('2. Kalkyldata'!$M24,$D$4))))*IF((AV$4&gt;='2. Kalkyldata'!$M24),IF(AV$4="",0,IF(AND(AV$4&gt;='2. Kalkyldata'!$M24,'4. NPV'!AV$4&lt;='2. Kalkyldata'!$N24),'2. Kalkyldata'!$L24,'2. Kalkyldata'!$O24*'2. Kalkyldata'!$H24)),0)</f>
        <v>0</v>
      </c>
      <c r="AW13" s="230">
        <f>IF(AW$4="",0,((1+'2. Kalkyldata'!$M$9*'2. Kalkyldata'!$J24)^(AW$4-MAX('2. Kalkyldata'!$M24,$D$4))))*IF((AW$4&gt;='2. Kalkyldata'!$M24),IF(AW$4="",0,IF(AND(AW$4&gt;='2. Kalkyldata'!$M24,'4. NPV'!AW$4&lt;='2. Kalkyldata'!$N24),'2. Kalkyldata'!$L24,'2. Kalkyldata'!$O24*'2. Kalkyldata'!$H24)),0)</f>
        <v>0</v>
      </c>
      <c r="AX13" s="230">
        <f>IF(AX$4="",0,((1+'2. Kalkyldata'!$M$9*'2. Kalkyldata'!$J24)^(AX$4-MAX('2. Kalkyldata'!$M24,$D$4))))*IF((AX$4&gt;='2. Kalkyldata'!$M24),IF(AX$4="",0,IF(AND(AX$4&gt;='2. Kalkyldata'!$M24,'4. NPV'!AX$4&lt;='2. Kalkyldata'!$N24),'2. Kalkyldata'!$L24,'2. Kalkyldata'!$O24*'2. Kalkyldata'!$H24)),0)</f>
        <v>0</v>
      </c>
      <c r="AY13" s="230">
        <f>IF(AY$4="",0,((1+'2. Kalkyldata'!$M$9*'2. Kalkyldata'!$J24)^(AY$4-MAX('2. Kalkyldata'!$M24,$D$4))))*IF((AY$4&gt;='2. Kalkyldata'!$M24),IF(AY$4="",0,IF(AND(AY$4&gt;='2. Kalkyldata'!$M24,'4. NPV'!AY$4&lt;='2. Kalkyldata'!$N24),'2. Kalkyldata'!$L24,'2. Kalkyldata'!$O24*'2. Kalkyldata'!$H24)),0)</f>
        <v>0</v>
      </c>
      <c r="AZ13" s="230">
        <f>IF(AZ$4="",0,((1+'2. Kalkyldata'!$M$9*'2. Kalkyldata'!$J24)^(AZ$4-MAX('2. Kalkyldata'!$M24,$D$4))))*IF((AZ$4&gt;='2. Kalkyldata'!$M24),IF(AZ$4="",0,IF(AND(AZ$4&gt;='2. Kalkyldata'!$M24,'4. NPV'!AZ$4&lt;='2. Kalkyldata'!$N24),'2. Kalkyldata'!$L24,'2. Kalkyldata'!$O24*'2. Kalkyldata'!$H24)),0)</f>
        <v>0</v>
      </c>
      <c r="BA13" s="230">
        <f>IF(BA$4="",0,((1+'2. Kalkyldata'!$M$9*'2. Kalkyldata'!$J24)^(BA$4-MAX('2. Kalkyldata'!$M24,$D$4))))*IF((BA$4&gt;='2. Kalkyldata'!$M24),IF(BA$4="",0,IF(AND(BA$4&gt;='2. Kalkyldata'!$M24,'4. NPV'!BA$4&lt;='2. Kalkyldata'!$N24),'2. Kalkyldata'!$L24,'2. Kalkyldata'!$O24*'2. Kalkyldata'!$H24)),0)</f>
        <v>0</v>
      </c>
    </row>
    <row r="14" spans="1:53">
      <c r="A14" s="504"/>
      <c r="B14" s="229" t="str">
        <f>CONCATENATE("Intäkter ",'2. Kalkyldata'!C25)</f>
        <v xml:space="preserve">Intäkter </v>
      </c>
      <c r="C14" s="332">
        <f t="shared" si="4"/>
        <v>0</v>
      </c>
      <c r="D14" s="230">
        <f>IF(D$4="",0,((1+'2. Kalkyldata'!$M$9*'2. Kalkyldata'!$J25)^(D$4-$D$4)))*IF((D$4&gt;='2. Kalkyldata'!$M25),IF(D$4="",0,IF(AND(D$4&gt;='2. Kalkyldata'!$M25,'4. NPV'!D$4&lt;='2. Kalkyldata'!$N25),'2. Kalkyldata'!$L25,'2. Kalkyldata'!$O25*'2. Kalkyldata'!$H25)),0)</f>
        <v>0</v>
      </c>
      <c r="E14" s="230">
        <f>IF(E$4="",0,((1+'2. Kalkyldata'!$M$9*'2. Kalkyldata'!$J25)^(E$4-MAX('2. Kalkyldata'!$M25,$D$4))))*IF((E$4&gt;='2. Kalkyldata'!$M25),IF(E$4="",0,IF(AND(E$4&gt;='2. Kalkyldata'!$M25,'4. NPV'!E$4&lt;='2. Kalkyldata'!$N25),'2. Kalkyldata'!$L25,'2. Kalkyldata'!$O25*'2. Kalkyldata'!$H25)),0)</f>
        <v>0</v>
      </c>
      <c r="F14" s="230">
        <f>IF(F$4="",0,((1+'2. Kalkyldata'!$M$9*'2. Kalkyldata'!$J25)^(F$4-MAX('2. Kalkyldata'!$M25,$D$4))))*IF((F$4&gt;='2. Kalkyldata'!$M25),IF(F$4="",0,IF(AND(F$4&gt;='2. Kalkyldata'!$M25,'4. NPV'!F$4&lt;='2. Kalkyldata'!$N25),'2. Kalkyldata'!$L25,'2. Kalkyldata'!$O25*'2. Kalkyldata'!$H25)),0)</f>
        <v>0</v>
      </c>
      <c r="G14" s="230">
        <f>IF(G$4="",0,((1+'2. Kalkyldata'!$M$9*'2. Kalkyldata'!$J25)^(G$4-MAX('2. Kalkyldata'!$M25,$D$4))))*IF((G$4&gt;='2. Kalkyldata'!$M25),IF(G$4="",0,IF(AND(G$4&gt;='2. Kalkyldata'!$M25,'4. NPV'!G$4&lt;='2. Kalkyldata'!$N25),'2. Kalkyldata'!$L25,'2. Kalkyldata'!$O25*'2. Kalkyldata'!$H25)),0)</f>
        <v>0</v>
      </c>
      <c r="H14" s="230">
        <f>IF(H$4="",0,((1+'2. Kalkyldata'!$M$9*'2. Kalkyldata'!$J25)^(H$4-MAX('2. Kalkyldata'!$M25,$D$4))))*IF((H$4&gt;='2. Kalkyldata'!$M25),IF(H$4="",0,IF(AND(H$4&gt;='2. Kalkyldata'!$M25,'4. NPV'!H$4&lt;='2. Kalkyldata'!$N25),'2. Kalkyldata'!$L25,'2. Kalkyldata'!$O25*'2. Kalkyldata'!$H25)),0)</f>
        <v>0</v>
      </c>
      <c r="I14" s="230">
        <f>IF(I$4="",0,((1+'2. Kalkyldata'!$M$9*'2. Kalkyldata'!$J25)^(I$4-MAX('2. Kalkyldata'!$M25,$D$4))))*IF((I$4&gt;='2. Kalkyldata'!$M25),IF(I$4="",0,IF(AND(I$4&gt;='2. Kalkyldata'!$M25,'4. NPV'!I$4&lt;='2. Kalkyldata'!$N25),'2. Kalkyldata'!$L25,'2. Kalkyldata'!$O25*'2. Kalkyldata'!$H25)),0)</f>
        <v>0</v>
      </c>
      <c r="J14" s="230">
        <f>IF(J$4="",0,((1+'2. Kalkyldata'!$M$9*'2. Kalkyldata'!$J25)^(J$4-MAX('2. Kalkyldata'!$M25,$D$4))))*IF((J$4&gt;='2. Kalkyldata'!$M25),IF(J$4="",0,IF(AND(J$4&gt;='2. Kalkyldata'!$M25,'4. NPV'!J$4&lt;='2. Kalkyldata'!$N25),'2. Kalkyldata'!$L25,'2. Kalkyldata'!$O25*'2. Kalkyldata'!$H25)),0)</f>
        <v>0</v>
      </c>
      <c r="K14" s="230">
        <f>IF(K$4="",0,((1+'2. Kalkyldata'!$M$9*'2. Kalkyldata'!$J25)^(K$4-MAX('2. Kalkyldata'!$M25,$D$4))))*IF((K$4&gt;='2. Kalkyldata'!$M25),IF(K$4="",0,IF(AND(K$4&gt;='2. Kalkyldata'!$M25,'4. NPV'!K$4&lt;='2. Kalkyldata'!$N25),'2. Kalkyldata'!$L25,'2. Kalkyldata'!$O25*'2. Kalkyldata'!$H25)),0)</f>
        <v>0</v>
      </c>
      <c r="L14" s="230">
        <f>IF(L$4="",0,((1+'2. Kalkyldata'!$M$9*'2. Kalkyldata'!$J25)^(L$4-MAX('2. Kalkyldata'!$M25,$D$4))))*IF((L$4&gt;='2. Kalkyldata'!$M25),IF(L$4="",0,IF(AND(L$4&gt;='2. Kalkyldata'!$M25,'4. NPV'!L$4&lt;='2. Kalkyldata'!$N25),'2. Kalkyldata'!$L25,'2. Kalkyldata'!$O25*'2. Kalkyldata'!$H25)),0)</f>
        <v>0</v>
      </c>
      <c r="M14" s="230">
        <f>IF(M$4="",0,((1+'2. Kalkyldata'!$M$9*'2. Kalkyldata'!$J25)^(M$4-MAX('2. Kalkyldata'!$M25,$D$4))))*IF((M$4&gt;='2. Kalkyldata'!$M25),IF(M$4="",0,IF(AND(M$4&gt;='2. Kalkyldata'!$M25,'4. NPV'!M$4&lt;='2. Kalkyldata'!$N25),'2. Kalkyldata'!$L25,'2. Kalkyldata'!$O25*'2. Kalkyldata'!$H25)),0)</f>
        <v>0</v>
      </c>
      <c r="N14" s="230">
        <f>IF(N$4="",0,((1+'2. Kalkyldata'!$M$9*'2. Kalkyldata'!$J25)^(N$4-MAX('2. Kalkyldata'!$M25,$D$4))))*IF((N$4&gt;='2. Kalkyldata'!$M25),IF(N$4="",0,IF(AND(N$4&gt;='2. Kalkyldata'!$M25,'4. NPV'!N$4&lt;='2. Kalkyldata'!$N25),'2. Kalkyldata'!$L25,'2. Kalkyldata'!$O25*'2. Kalkyldata'!$H25)),0)</f>
        <v>0</v>
      </c>
      <c r="O14" s="230">
        <f>IF(O$4="",0,((1+'2. Kalkyldata'!$M$9*'2. Kalkyldata'!$J25)^(O$4-MAX('2. Kalkyldata'!$M25,$D$4))))*IF((O$4&gt;='2. Kalkyldata'!$M25),IF(O$4="",0,IF(AND(O$4&gt;='2. Kalkyldata'!$M25,'4. NPV'!O$4&lt;='2. Kalkyldata'!$N25),'2. Kalkyldata'!$L25,'2. Kalkyldata'!$O25*'2. Kalkyldata'!$H25)),0)</f>
        <v>0</v>
      </c>
      <c r="P14" s="230">
        <f>IF(P$4="",0,((1+'2. Kalkyldata'!$M$9*'2. Kalkyldata'!$J25)^(P$4-MAX('2. Kalkyldata'!$M25,$D$4))))*IF((P$4&gt;='2. Kalkyldata'!$M25),IF(P$4="",0,IF(AND(P$4&gt;='2. Kalkyldata'!$M25,'4. NPV'!P$4&lt;='2. Kalkyldata'!$N25),'2. Kalkyldata'!$L25,'2. Kalkyldata'!$O25*'2. Kalkyldata'!$H25)),0)</f>
        <v>0</v>
      </c>
      <c r="Q14" s="230">
        <f>IF(Q$4="",0,((1+'2. Kalkyldata'!$M$9*'2. Kalkyldata'!$J25)^(Q$4-MAX('2. Kalkyldata'!$M25,$D$4))))*IF((Q$4&gt;='2. Kalkyldata'!$M25),IF(Q$4="",0,IF(AND(Q$4&gt;='2. Kalkyldata'!$M25,'4. NPV'!Q$4&lt;='2. Kalkyldata'!$N25),'2. Kalkyldata'!$L25,'2. Kalkyldata'!$O25*'2. Kalkyldata'!$H25)),0)</f>
        <v>0</v>
      </c>
      <c r="R14" s="230">
        <f>IF(R$4="",0,((1+'2. Kalkyldata'!$M$9*'2. Kalkyldata'!$J25)^(R$4-MAX('2. Kalkyldata'!$M25,$D$4))))*IF((R$4&gt;='2. Kalkyldata'!$M25),IF(R$4="",0,IF(AND(R$4&gt;='2. Kalkyldata'!$M25,'4. NPV'!R$4&lt;='2. Kalkyldata'!$N25),'2. Kalkyldata'!$L25,'2. Kalkyldata'!$O25*'2. Kalkyldata'!$H25)),0)</f>
        <v>0</v>
      </c>
      <c r="S14" s="230">
        <f>IF(S$4="",0,((1+'2. Kalkyldata'!$M$9*'2. Kalkyldata'!$J25)^(S$4-MAX('2. Kalkyldata'!$M25,$D$4))))*IF((S$4&gt;='2. Kalkyldata'!$M25),IF(S$4="",0,IF(AND(S$4&gt;='2. Kalkyldata'!$M25,'4. NPV'!S$4&lt;='2. Kalkyldata'!$N25),'2. Kalkyldata'!$L25,'2. Kalkyldata'!$O25*'2. Kalkyldata'!$H25)),0)</f>
        <v>0</v>
      </c>
      <c r="T14" s="230">
        <f>IF(T$4="",0,((1+'2. Kalkyldata'!$M$9*'2. Kalkyldata'!$J25)^(T$4-MAX('2. Kalkyldata'!$M25,$D$4))))*IF((T$4&gt;='2. Kalkyldata'!$M25),IF(T$4="",0,IF(AND(T$4&gt;='2. Kalkyldata'!$M25,'4. NPV'!T$4&lt;='2. Kalkyldata'!$N25),'2. Kalkyldata'!$L25,'2. Kalkyldata'!$O25*'2. Kalkyldata'!$H25)),0)</f>
        <v>0</v>
      </c>
      <c r="U14" s="230">
        <f>IF(U$4="",0,((1+'2. Kalkyldata'!$M$9*'2. Kalkyldata'!$J25)^(U$4-MAX('2. Kalkyldata'!$M25,$D$4))))*IF((U$4&gt;='2. Kalkyldata'!$M25),IF(U$4="",0,IF(AND(U$4&gt;='2. Kalkyldata'!$M25,'4. NPV'!U$4&lt;='2. Kalkyldata'!$N25),'2. Kalkyldata'!$L25,'2. Kalkyldata'!$O25*'2. Kalkyldata'!$H25)),0)</f>
        <v>0</v>
      </c>
      <c r="V14" s="230">
        <f>IF(V$4="",0,((1+'2. Kalkyldata'!$M$9*'2. Kalkyldata'!$J25)^(V$4-MAX('2. Kalkyldata'!$M25,$D$4))))*IF((V$4&gt;='2. Kalkyldata'!$M25),IF(V$4="",0,IF(AND(V$4&gt;='2. Kalkyldata'!$M25,'4. NPV'!V$4&lt;='2. Kalkyldata'!$N25),'2. Kalkyldata'!$L25,'2. Kalkyldata'!$O25*'2. Kalkyldata'!$H25)),0)</f>
        <v>0</v>
      </c>
      <c r="W14" s="230">
        <f>IF(W$4="",0,((1+'2. Kalkyldata'!$M$9*'2. Kalkyldata'!$J25)^(W$4-MAX('2. Kalkyldata'!$M25,$D$4))))*IF((W$4&gt;='2. Kalkyldata'!$M25),IF(W$4="",0,IF(AND(W$4&gt;='2. Kalkyldata'!$M25,'4. NPV'!W$4&lt;='2. Kalkyldata'!$N25),'2. Kalkyldata'!$L25,'2. Kalkyldata'!$O25*'2. Kalkyldata'!$H25)),0)</f>
        <v>0</v>
      </c>
      <c r="X14" s="230">
        <f>IF(X$4="",0,((1+'2. Kalkyldata'!$M$9*'2. Kalkyldata'!$J25)^(X$4-MAX('2. Kalkyldata'!$M25,$D$4))))*IF((X$4&gt;='2. Kalkyldata'!$M25),IF(X$4="",0,IF(AND(X$4&gt;='2. Kalkyldata'!$M25,'4. NPV'!X$4&lt;='2. Kalkyldata'!$N25),'2. Kalkyldata'!$L25,'2. Kalkyldata'!$O25*'2. Kalkyldata'!$H25)),0)</f>
        <v>0</v>
      </c>
      <c r="Y14" s="230">
        <f>IF(Y$4="",0,((1+'2. Kalkyldata'!$M$9*'2. Kalkyldata'!$J25)^(Y$4-MAX('2. Kalkyldata'!$M25,$D$4))))*IF((Y$4&gt;='2. Kalkyldata'!$M25),IF(Y$4="",0,IF(AND(Y$4&gt;='2. Kalkyldata'!$M25,'4. NPV'!Y$4&lt;='2. Kalkyldata'!$N25),'2. Kalkyldata'!$L25,'2. Kalkyldata'!$O25*'2. Kalkyldata'!$H25)),0)</f>
        <v>0</v>
      </c>
      <c r="Z14" s="230">
        <f>IF(Z$4="",0,((1+'2. Kalkyldata'!$M$9*'2. Kalkyldata'!$J25)^(Z$4-MAX('2. Kalkyldata'!$M25,$D$4))))*IF((Z$4&gt;='2. Kalkyldata'!$M25),IF(Z$4="",0,IF(AND(Z$4&gt;='2. Kalkyldata'!$M25,'4. NPV'!Z$4&lt;='2. Kalkyldata'!$N25),'2. Kalkyldata'!$L25,'2. Kalkyldata'!$O25*'2. Kalkyldata'!$H25)),0)</f>
        <v>0</v>
      </c>
      <c r="AA14" s="230">
        <f>IF(AA$4="",0,((1+'2. Kalkyldata'!$M$9*'2. Kalkyldata'!$J25)^(AA$4-MAX('2. Kalkyldata'!$M25,$D$4))))*IF((AA$4&gt;='2. Kalkyldata'!$M25),IF(AA$4="",0,IF(AND(AA$4&gt;='2. Kalkyldata'!$M25,'4. NPV'!AA$4&lt;='2. Kalkyldata'!$N25),'2. Kalkyldata'!$L25,'2. Kalkyldata'!$O25*'2. Kalkyldata'!$H25)),0)</f>
        <v>0</v>
      </c>
      <c r="AB14" s="230">
        <f>IF(AB$4="",0,((1+'2. Kalkyldata'!$M$9*'2. Kalkyldata'!$J25)^(AB$4-MAX('2. Kalkyldata'!$M25,$D$4))))*IF((AB$4&gt;='2. Kalkyldata'!$M25),IF(AB$4="",0,IF(AND(AB$4&gt;='2. Kalkyldata'!$M25,'4. NPV'!AB$4&lt;='2. Kalkyldata'!$N25),'2. Kalkyldata'!$L25,'2. Kalkyldata'!$O25*'2. Kalkyldata'!$H25)),0)</f>
        <v>0</v>
      </c>
      <c r="AC14" s="230">
        <f>IF(AC$4="",0,((1+'2. Kalkyldata'!$M$9*'2. Kalkyldata'!$J25)^(AC$4-MAX('2. Kalkyldata'!$M25,$D$4))))*IF((AC$4&gt;='2. Kalkyldata'!$M25),IF(AC$4="",0,IF(AND(AC$4&gt;='2. Kalkyldata'!$M25,'4. NPV'!AC$4&lt;='2. Kalkyldata'!$N25),'2. Kalkyldata'!$L25,'2. Kalkyldata'!$O25*'2. Kalkyldata'!$H25)),0)</f>
        <v>0</v>
      </c>
      <c r="AD14" s="230">
        <f>IF(AD$4="",0,((1+'2. Kalkyldata'!$M$9*'2. Kalkyldata'!$J25)^(AD$4-MAX('2. Kalkyldata'!$M25,$D$4))))*IF((AD$4&gt;='2. Kalkyldata'!$M25),IF(AD$4="",0,IF(AND(AD$4&gt;='2. Kalkyldata'!$M25,'4. NPV'!AD$4&lt;='2. Kalkyldata'!$N25),'2. Kalkyldata'!$L25,'2. Kalkyldata'!$O25*'2. Kalkyldata'!$H25)),0)</f>
        <v>0</v>
      </c>
      <c r="AE14" s="230">
        <f>IF(AE$4="",0,((1+'2. Kalkyldata'!$M$9*'2. Kalkyldata'!$J25)^(AE$4-MAX('2. Kalkyldata'!$M25,$D$4))))*IF((AE$4&gt;='2. Kalkyldata'!$M25),IF(AE$4="",0,IF(AND(AE$4&gt;='2. Kalkyldata'!$M25,'4. NPV'!AE$4&lt;='2. Kalkyldata'!$N25),'2. Kalkyldata'!$L25,'2. Kalkyldata'!$O25*'2. Kalkyldata'!$H25)),0)</f>
        <v>0</v>
      </c>
      <c r="AF14" s="230">
        <f>IF(AF$4="",0,((1+'2. Kalkyldata'!$M$9*'2. Kalkyldata'!$J25)^(AF$4-MAX('2. Kalkyldata'!$M25,$D$4))))*IF((AF$4&gt;='2. Kalkyldata'!$M25),IF(AF$4="",0,IF(AND(AF$4&gt;='2. Kalkyldata'!$M25,'4. NPV'!AF$4&lt;='2. Kalkyldata'!$N25),'2. Kalkyldata'!$L25,'2. Kalkyldata'!$O25*'2. Kalkyldata'!$H25)),0)</f>
        <v>0</v>
      </c>
      <c r="AG14" s="230">
        <f>IF(AG$4="",0,((1+'2. Kalkyldata'!$M$9*'2. Kalkyldata'!$J25)^(AG$4-MAX('2. Kalkyldata'!$M25,$D$4))))*IF((AG$4&gt;='2. Kalkyldata'!$M25),IF(AG$4="",0,IF(AND(AG$4&gt;='2. Kalkyldata'!$M25,'4. NPV'!AG$4&lt;='2. Kalkyldata'!$N25),'2. Kalkyldata'!$L25,'2. Kalkyldata'!$O25*'2. Kalkyldata'!$H25)),0)</f>
        <v>0</v>
      </c>
      <c r="AH14" s="230">
        <f>IF(AH$4="",0,((1+'2. Kalkyldata'!$M$9*'2. Kalkyldata'!$J25)^(AH$4-MAX('2. Kalkyldata'!$M25,$D$4))))*IF((AH$4&gt;='2. Kalkyldata'!$M25),IF(AH$4="",0,IF(AND(AH$4&gt;='2. Kalkyldata'!$M25,'4. NPV'!AH$4&lt;='2. Kalkyldata'!$N25),'2. Kalkyldata'!$L25,'2. Kalkyldata'!$O25*'2. Kalkyldata'!$H25)),0)</f>
        <v>0</v>
      </c>
      <c r="AI14" s="230">
        <f>IF(AI$4="",0,((1+'2. Kalkyldata'!$M$9*'2. Kalkyldata'!$J25)^(AI$4-MAX('2. Kalkyldata'!$M25,$D$4))))*IF((AI$4&gt;='2. Kalkyldata'!$M25),IF(AI$4="",0,IF(AND(AI$4&gt;='2. Kalkyldata'!$M25,'4. NPV'!AI$4&lt;='2. Kalkyldata'!$N25),'2. Kalkyldata'!$L25,'2. Kalkyldata'!$O25*'2. Kalkyldata'!$H25)),0)</f>
        <v>0</v>
      </c>
      <c r="AJ14" s="230">
        <f>IF(AJ$4="",0,((1+'2. Kalkyldata'!$M$9*'2. Kalkyldata'!$J25)^(AJ$4-MAX('2. Kalkyldata'!$M25,$D$4))))*IF((AJ$4&gt;='2. Kalkyldata'!$M25),IF(AJ$4="",0,IF(AND(AJ$4&gt;='2. Kalkyldata'!$M25,'4. NPV'!AJ$4&lt;='2. Kalkyldata'!$N25),'2. Kalkyldata'!$L25,'2. Kalkyldata'!$O25*'2. Kalkyldata'!$H25)),0)</f>
        <v>0</v>
      </c>
      <c r="AK14" s="230">
        <f>IF(AK$4="",0,((1+'2. Kalkyldata'!$M$9*'2. Kalkyldata'!$J25)^(AK$4-MAX('2. Kalkyldata'!$M25,$D$4))))*IF((AK$4&gt;='2. Kalkyldata'!$M25),IF(AK$4="",0,IF(AND(AK$4&gt;='2. Kalkyldata'!$M25,'4. NPV'!AK$4&lt;='2. Kalkyldata'!$N25),'2. Kalkyldata'!$L25,'2. Kalkyldata'!$O25*'2. Kalkyldata'!$H25)),0)</f>
        <v>0</v>
      </c>
      <c r="AL14" s="230">
        <f>IF(AL$4="",0,((1+'2. Kalkyldata'!$M$9*'2. Kalkyldata'!$J25)^(AL$4-MAX('2. Kalkyldata'!$M25,$D$4))))*IF((AL$4&gt;='2. Kalkyldata'!$M25),IF(AL$4="",0,IF(AND(AL$4&gt;='2. Kalkyldata'!$M25,'4. NPV'!AL$4&lt;='2. Kalkyldata'!$N25),'2. Kalkyldata'!$L25,'2. Kalkyldata'!$O25*'2. Kalkyldata'!$H25)),0)</f>
        <v>0</v>
      </c>
      <c r="AM14" s="230">
        <f>IF(AM$4="",0,((1+'2. Kalkyldata'!$M$9*'2. Kalkyldata'!$J25)^(AM$4-MAX('2. Kalkyldata'!$M25,$D$4))))*IF((AM$4&gt;='2. Kalkyldata'!$M25),IF(AM$4="",0,IF(AND(AM$4&gt;='2. Kalkyldata'!$M25,'4. NPV'!AM$4&lt;='2. Kalkyldata'!$N25),'2. Kalkyldata'!$L25,'2. Kalkyldata'!$O25*'2. Kalkyldata'!$H25)),0)</f>
        <v>0</v>
      </c>
      <c r="AN14" s="230">
        <f>IF(AN$4="",0,((1+'2. Kalkyldata'!$M$9*'2. Kalkyldata'!$J25)^(AN$4-MAX('2. Kalkyldata'!$M25,$D$4))))*IF((AN$4&gt;='2. Kalkyldata'!$M25),IF(AN$4="",0,IF(AND(AN$4&gt;='2. Kalkyldata'!$M25,'4. NPV'!AN$4&lt;='2. Kalkyldata'!$N25),'2. Kalkyldata'!$L25,'2. Kalkyldata'!$O25*'2. Kalkyldata'!$H25)),0)</f>
        <v>0</v>
      </c>
      <c r="AO14" s="230">
        <f>IF(AO$4="",0,((1+'2. Kalkyldata'!$M$9*'2. Kalkyldata'!$J25)^(AO$4-MAX('2. Kalkyldata'!$M25,$D$4))))*IF((AO$4&gt;='2. Kalkyldata'!$M25),IF(AO$4="",0,IF(AND(AO$4&gt;='2. Kalkyldata'!$M25,'4. NPV'!AO$4&lt;='2. Kalkyldata'!$N25),'2. Kalkyldata'!$L25,'2. Kalkyldata'!$O25*'2. Kalkyldata'!$H25)),0)</f>
        <v>0</v>
      </c>
      <c r="AP14" s="230">
        <f>IF(AP$4="",0,((1+'2. Kalkyldata'!$M$9*'2. Kalkyldata'!$J25)^(AP$4-MAX('2. Kalkyldata'!$M25,$D$4))))*IF((AP$4&gt;='2. Kalkyldata'!$M25),IF(AP$4="",0,IF(AND(AP$4&gt;='2. Kalkyldata'!$M25,'4. NPV'!AP$4&lt;='2. Kalkyldata'!$N25),'2. Kalkyldata'!$L25,'2. Kalkyldata'!$O25*'2. Kalkyldata'!$H25)),0)</f>
        <v>0</v>
      </c>
      <c r="AQ14" s="230">
        <f>IF(AQ$4="",0,((1+'2. Kalkyldata'!$M$9*'2. Kalkyldata'!$J25)^(AQ$4-MAX('2. Kalkyldata'!$M25,$D$4))))*IF((AQ$4&gt;='2. Kalkyldata'!$M25),IF(AQ$4="",0,IF(AND(AQ$4&gt;='2. Kalkyldata'!$M25,'4. NPV'!AQ$4&lt;='2. Kalkyldata'!$N25),'2. Kalkyldata'!$L25,'2. Kalkyldata'!$O25*'2. Kalkyldata'!$H25)),0)</f>
        <v>0</v>
      </c>
      <c r="AR14" s="230">
        <f>IF(AR$4="",0,((1+'2. Kalkyldata'!$M$9*'2. Kalkyldata'!$J25)^(AR$4-MAX('2. Kalkyldata'!$M25,$D$4))))*IF((AR$4&gt;='2. Kalkyldata'!$M25),IF(AR$4="",0,IF(AND(AR$4&gt;='2. Kalkyldata'!$M25,'4. NPV'!AR$4&lt;='2. Kalkyldata'!$N25),'2. Kalkyldata'!$L25,'2. Kalkyldata'!$O25*'2. Kalkyldata'!$H25)),0)</f>
        <v>0</v>
      </c>
      <c r="AS14" s="230">
        <f>IF(AS$4="",0,((1+'2. Kalkyldata'!$M$9*'2. Kalkyldata'!$J25)^(AS$4-MAX('2. Kalkyldata'!$M25,$D$4))))*IF((AS$4&gt;='2. Kalkyldata'!$M25),IF(AS$4="",0,IF(AND(AS$4&gt;='2. Kalkyldata'!$M25,'4. NPV'!AS$4&lt;='2. Kalkyldata'!$N25),'2. Kalkyldata'!$L25,'2. Kalkyldata'!$O25*'2. Kalkyldata'!$H25)),0)</f>
        <v>0</v>
      </c>
      <c r="AT14" s="230">
        <f>IF(AT$4="",0,((1+'2. Kalkyldata'!$M$9*'2. Kalkyldata'!$J25)^(AT$4-MAX('2. Kalkyldata'!$M25,$D$4))))*IF((AT$4&gt;='2. Kalkyldata'!$M25),IF(AT$4="",0,IF(AND(AT$4&gt;='2. Kalkyldata'!$M25,'4. NPV'!AT$4&lt;='2. Kalkyldata'!$N25),'2. Kalkyldata'!$L25,'2. Kalkyldata'!$O25*'2. Kalkyldata'!$H25)),0)</f>
        <v>0</v>
      </c>
      <c r="AU14" s="230">
        <f>IF(AU$4="",0,((1+'2. Kalkyldata'!$M$9*'2. Kalkyldata'!$J25)^(AU$4-MAX('2. Kalkyldata'!$M25,$D$4))))*IF((AU$4&gt;='2. Kalkyldata'!$M25),IF(AU$4="",0,IF(AND(AU$4&gt;='2. Kalkyldata'!$M25,'4. NPV'!AU$4&lt;='2. Kalkyldata'!$N25),'2. Kalkyldata'!$L25,'2. Kalkyldata'!$O25*'2. Kalkyldata'!$H25)),0)</f>
        <v>0</v>
      </c>
      <c r="AV14" s="230">
        <f>IF(AV$4="",0,((1+'2. Kalkyldata'!$M$9*'2. Kalkyldata'!$J25)^(AV$4-MAX('2. Kalkyldata'!$M25,$D$4))))*IF((AV$4&gt;='2. Kalkyldata'!$M25),IF(AV$4="",0,IF(AND(AV$4&gt;='2. Kalkyldata'!$M25,'4. NPV'!AV$4&lt;='2. Kalkyldata'!$N25),'2. Kalkyldata'!$L25,'2. Kalkyldata'!$O25*'2. Kalkyldata'!$H25)),0)</f>
        <v>0</v>
      </c>
      <c r="AW14" s="230">
        <f>IF(AW$4="",0,((1+'2. Kalkyldata'!$M$9*'2. Kalkyldata'!$J25)^(AW$4-MAX('2. Kalkyldata'!$M25,$D$4))))*IF((AW$4&gt;='2. Kalkyldata'!$M25),IF(AW$4="",0,IF(AND(AW$4&gt;='2. Kalkyldata'!$M25,'4. NPV'!AW$4&lt;='2. Kalkyldata'!$N25),'2. Kalkyldata'!$L25,'2. Kalkyldata'!$O25*'2. Kalkyldata'!$H25)),0)</f>
        <v>0</v>
      </c>
      <c r="AX14" s="230">
        <f>IF(AX$4="",0,((1+'2. Kalkyldata'!$M$9*'2. Kalkyldata'!$J25)^(AX$4-MAX('2. Kalkyldata'!$M25,$D$4))))*IF((AX$4&gt;='2. Kalkyldata'!$M25),IF(AX$4="",0,IF(AND(AX$4&gt;='2. Kalkyldata'!$M25,'4. NPV'!AX$4&lt;='2. Kalkyldata'!$N25),'2. Kalkyldata'!$L25,'2. Kalkyldata'!$O25*'2. Kalkyldata'!$H25)),0)</f>
        <v>0</v>
      </c>
      <c r="AY14" s="230">
        <f>IF(AY$4="",0,((1+'2. Kalkyldata'!$M$9*'2. Kalkyldata'!$J25)^(AY$4-MAX('2. Kalkyldata'!$M25,$D$4))))*IF((AY$4&gt;='2. Kalkyldata'!$M25),IF(AY$4="",0,IF(AND(AY$4&gt;='2. Kalkyldata'!$M25,'4. NPV'!AY$4&lt;='2. Kalkyldata'!$N25),'2. Kalkyldata'!$L25,'2. Kalkyldata'!$O25*'2. Kalkyldata'!$H25)),0)</f>
        <v>0</v>
      </c>
      <c r="AZ14" s="230">
        <f>IF(AZ$4="",0,((1+'2. Kalkyldata'!$M$9*'2. Kalkyldata'!$J25)^(AZ$4-MAX('2. Kalkyldata'!$M25,$D$4))))*IF((AZ$4&gt;='2. Kalkyldata'!$M25),IF(AZ$4="",0,IF(AND(AZ$4&gt;='2. Kalkyldata'!$M25,'4. NPV'!AZ$4&lt;='2. Kalkyldata'!$N25),'2. Kalkyldata'!$L25,'2. Kalkyldata'!$O25*'2. Kalkyldata'!$H25)),0)</f>
        <v>0</v>
      </c>
      <c r="BA14" s="230">
        <f>IF(BA$4="",0,((1+'2. Kalkyldata'!$M$9*'2. Kalkyldata'!$J25)^(BA$4-MAX('2. Kalkyldata'!$M25,$D$4))))*IF((BA$4&gt;='2. Kalkyldata'!$M25),IF(BA$4="",0,IF(AND(BA$4&gt;='2. Kalkyldata'!$M25,'4. NPV'!BA$4&lt;='2. Kalkyldata'!$N25),'2. Kalkyldata'!$L25,'2. Kalkyldata'!$O25*'2. Kalkyldata'!$H25)),0)</f>
        <v>0</v>
      </c>
    </row>
    <row r="15" spans="1:53">
      <c r="A15" s="504"/>
      <c r="B15" s="229" t="str">
        <f>CONCATENATE("Intäkter ",'2. Kalkyldata'!C26)</f>
        <v xml:space="preserve">Intäkter </v>
      </c>
      <c r="C15" s="332">
        <f t="shared" si="4"/>
        <v>0</v>
      </c>
      <c r="D15" s="230">
        <f>IF(D$4="",0,((1+'2. Kalkyldata'!$M$9*'2. Kalkyldata'!$J26)^(D$4-$D$4)))*IF((D$4&gt;='2. Kalkyldata'!$M26),IF(D$4="",0,IF(AND(D$4&gt;='2. Kalkyldata'!$M26,'4. NPV'!D$4&lt;='2. Kalkyldata'!$N26),'2. Kalkyldata'!$L26,'2. Kalkyldata'!$O26*'2. Kalkyldata'!$H26)),0)</f>
        <v>0</v>
      </c>
      <c r="E15" s="230">
        <f>IF(E$4="",0,((1+'2. Kalkyldata'!$M$9*'2. Kalkyldata'!$J26)^(E$4-MAX('2. Kalkyldata'!$M26,$D$4))))*IF((E$4&gt;='2. Kalkyldata'!$M26),IF(E$4="",0,IF(AND(E$4&gt;='2. Kalkyldata'!$M26,'4. NPV'!E$4&lt;='2. Kalkyldata'!$N26),'2. Kalkyldata'!$L26,'2. Kalkyldata'!$O26*'2. Kalkyldata'!$H26)),0)</f>
        <v>0</v>
      </c>
      <c r="F15" s="230">
        <f>IF(F$4="",0,((1+'2. Kalkyldata'!$M$9*'2. Kalkyldata'!$J26)^(F$4-MAX('2. Kalkyldata'!$M26,$D$4))))*IF((F$4&gt;='2. Kalkyldata'!$M26),IF(F$4="",0,IF(AND(F$4&gt;='2. Kalkyldata'!$M26,'4. NPV'!F$4&lt;='2. Kalkyldata'!$N26),'2. Kalkyldata'!$L26,'2. Kalkyldata'!$O26*'2. Kalkyldata'!$H26)),0)</f>
        <v>0</v>
      </c>
      <c r="G15" s="230">
        <f>IF(G$4="",0,((1+'2. Kalkyldata'!$M$9*'2. Kalkyldata'!$J26)^(G$4-MAX('2. Kalkyldata'!$M26,$D$4))))*IF((G$4&gt;='2. Kalkyldata'!$M26),IF(G$4="",0,IF(AND(G$4&gt;='2. Kalkyldata'!$M26,'4. NPV'!G$4&lt;='2. Kalkyldata'!$N26),'2. Kalkyldata'!$L26,'2. Kalkyldata'!$O26*'2. Kalkyldata'!$H26)),0)</f>
        <v>0</v>
      </c>
      <c r="H15" s="230">
        <f>IF(H$4="",0,((1+'2. Kalkyldata'!$M$9*'2. Kalkyldata'!$J26)^(H$4-MAX('2. Kalkyldata'!$M26,$D$4))))*IF((H$4&gt;='2. Kalkyldata'!$M26),IF(H$4="",0,IF(AND(H$4&gt;='2. Kalkyldata'!$M26,'4. NPV'!H$4&lt;='2. Kalkyldata'!$N26),'2. Kalkyldata'!$L26,'2. Kalkyldata'!$O26*'2. Kalkyldata'!$H26)),0)</f>
        <v>0</v>
      </c>
      <c r="I15" s="230">
        <f>IF(I$4="",0,((1+'2. Kalkyldata'!$M$9*'2. Kalkyldata'!$J26)^(I$4-MAX('2. Kalkyldata'!$M26,$D$4))))*IF((I$4&gt;='2. Kalkyldata'!$M26),IF(I$4="",0,IF(AND(I$4&gt;='2. Kalkyldata'!$M26,'4. NPV'!I$4&lt;='2. Kalkyldata'!$N26),'2. Kalkyldata'!$L26,'2. Kalkyldata'!$O26*'2. Kalkyldata'!$H26)),0)</f>
        <v>0</v>
      </c>
      <c r="J15" s="230">
        <f>IF(J$4="",0,((1+'2. Kalkyldata'!$M$9*'2. Kalkyldata'!$J26)^(J$4-MAX('2. Kalkyldata'!$M26,$D$4))))*IF((J$4&gt;='2. Kalkyldata'!$M26),IF(J$4="",0,IF(AND(J$4&gt;='2. Kalkyldata'!$M26,'4. NPV'!J$4&lt;='2. Kalkyldata'!$N26),'2. Kalkyldata'!$L26,'2. Kalkyldata'!$O26*'2. Kalkyldata'!$H26)),0)</f>
        <v>0</v>
      </c>
      <c r="K15" s="230">
        <f>IF(K$4="",0,((1+'2. Kalkyldata'!$M$9*'2. Kalkyldata'!$J26)^(K$4-MAX('2. Kalkyldata'!$M26,$D$4))))*IF((K$4&gt;='2. Kalkyldata'!$M26),IF(K$4="",0,IF(AND(K$4&gt;='2. Kalkyldata'!$M26,'4. NPV'!K$4&lt;='2. Kalkyldata'!$N26),'2. Kalkyldata'!$L26,'2. Kalkyldata'!$O26*'2. Kalkyldata'!$H26)),0)</f>
        <v>0</v>
      </c>
      <c r="L15" s="230">
        <f>IF(L$4="",0,((1+'2. Kalkyldata'!$M$9*'2. Kalkyldata'!$J26)^(L$4-MAX('2. Kalkyldata'!$M26,$D$4))))*IF((L$4&gt;='2. Kalkyldata'!$M26),IF(L$4="",0,IF(AND(L$4&gt;='2. Kalkyldata'!$M26,'4. NPV'!L$4&lt;='2. Kalkyldata'!$N26),'2. Kalkyldata'!$L26,'2. Kalkyldata'!$O26*'2. Kalkyldata'!$H26)),0)</f>
        <v>0</v>
      </c>
      <c r="M15" s="230">
        <f>IF(M$4="",0,((1+'2. Kalkyldata'!$M$9*'2. Kalkyldata'!$J26)^(M$4-MAX('2. Kalkyldata'!$M26,$D$4))))*IF((M$4&gt;='2. Kalkyldata'!$M26),IF(M$4="",0,IF(AND(M$4&gt;='2. Kalkyldata'!$M26,'4. NPV'!M$4&lt;='2. Kalkyldata'!$N26),'2. Kalkyldata'!$L26,'2. Kalkyldata'!$O26*'2. Kalkyldata'!$H26)),0)</f>
        <v>0</v>
      </c>
      <c r="N15" s="230">
        <f>IF(N$4="",0,((1+'2. Kalkyldata'!$M$9*'2. Kalkyldata'!$J26)^(N$4-MAX('2. Kalkyldata'!$M26,$D$4))))*IF((N$4&gt;='2. Kalkyldata'!$M26),IF(N$4="",0,IF(AND(N$4&gt;='2. Kalkyldata'!$M26,'4. NPV'!N$4&lt;='2. Kalkyldata'!$N26),'2. Kalkyldata'!$L26,'2. Kalkyldata'!$O26*'2. Kalkyldata'!$H26)),0)</f>
        <v>0</v>
      </c>
      <c r="O15" s="230">
        <f>IF(O$4="",0,((1+'2. Kalkyldata'!$M$9*'2. Kalkyldata'!$J26)^(O$4-MAX('2. Kalkyldata'!$M26,$D$4))))*IF((O$4&gt;='2. Kalkyldata'!$M26),IF(O$4="",0,IF(AND(O$4&gt;='2. Kalkyldata'!$M26,'4. NPV'!O$4&lt;='2. Kalkyldata'!$N26),'2. Kalkyldata'!$L26,'2. Kalkyldata'!$O26*'2. Kalkyldata'!$H26)),0)</f>
        <v>0</v>
      </c>
      <c r="P15" s="230">
        <f>IF(P$4="",0,((1+'2. Kalkyldata'!$M$9*'2. Kalkyldata'!$J26)^(P$4-MAX('2. Kalkyldata'!$M26,$D$4))))*IF((P$4&gt;='2. Kalkyldata'!$M26),IF(P$4="",0,IF(AND(P$4&gt;='2. Kalkyldata'!$M26,'4. NPV'!P$4&lt;='2. Kalkyldata'!$N26),'2. Kalkyldata'!$L26,'2. Kalkyldata'!$O26*'2. Kalkyldata'!$H26)),0)</f>
        <v>0</v>
      </c>
      <c r="Q15" s="230">
        <f>IF(Q$4="",0,((1+'2. Kalkyldata'!$M$9*'2. Kalkyldata'!$J26)^(Q$4-MAX('2. Kalkyldata'!$M26,$D$4))))*IF((Q$4&gt;='2. Kalkyldata'!$M26),IF(Q$4="",0,IF(AND(Q$4&gt;='2. Kalkyldata'!$M26,'4. NPV'!Q$4&lt;='2. Kalkyldata'!$N26),'2. Kalkyldata'!$L26,'2. Kalkyldata'!$O26*'2. Kalkyldata'!$H26)),0)</f>
        <v>0</v>
      </c>
      <c r="R15" s="230">
        <f>IF(R$4="",0,((1+'2. Kalkyldata'!$M$9*'2. Kalkyldata'!$J26)^(R$4-MAX('2. Kalkyldata'!$M26,$D$4))))*IF((R$4&gt;='2. Kalkyldata'!$M26),IF(R$4="",0,IF(AND(R$4&gt;='2. Kalkyldata'!$M26,'4. NPV'!R$4&lt;='2. Kalkyldata'!$N26),'2. Kalkyldata'!$L26,'2. Kalkyldata'!$O26*'2. Kalkyldata'!$H26)),0)</f>
        <v>0</v>
      </c>
      <c r="S15" s="230">
        <f>IF(S$4="",0,((1+'2. Kalkyldata'!$M$9*'2. Kalkyldata'!$J26)^(S$4-MAX('2. Kalkyldata'!$M26,$D$4))))*IF((S$4&gt;='2. Kalkyldata'!$M26),IF(S$4="",0,IF(AND(S$4&gt;='2. Kalkyldata'!$M26,'4. NPV'!S$4&lt;='2. Kalkyldata'!$N26),'2. Kalkyldata'!$L26,'2. Kalkyldata'!$O26*'2. Kalkyldata'!$H26)),0)</f>
        <v>0</v>
      </c>
      <c r="T15" s="230">
        <f>IF(T$4="",0,((1+'2. Kalkyldata'!$M$9*'2. Kalkyldata'!$J26)^(T$4-MAX('2. Kalkyldata'!$M26,$D$4))))*IF((T$4&gt;='2. Kalkyldata'!$M26),IF(T$4="",0,IF(AND(T$4&gt;='2. Kalkyldata'!$M26,'4. NPV'!T$4&lt;='2. Kalkyldata'!$N26),'2. Kalkyldata'!$L26,'2. Kalkyldata'!$O26*'2. Kalkyldata'!$H26)),0)</f>
        <v>0</v>
      </c>
      <c r="U15" s="230">
        <f>IF(U$4="",0,((1+'2. Kalkyldata'!$M$9*'2. Kalkyldata'!$J26)^(U$4-MAX('2. Kalkyldata'!$M26,$D$4))))*IF((U$4&gt;='2. Kalkyldata'!$M26),IF(U$4="",0,IF(AND(U$4&gt;='2. Kalkyldata'!$M26,'4. NPV'!U$4&lt;='2. Kalkyldata'!$N26),'2. Kalkyldata'!$L26,'2. Kalkyldata'!$O26*'2. Kalkyldata'!$H26)),0)</f>
        <v>0</v>
      </c>
      <c r="V15" s="230">
        <f>IF(V$4="",0,((1+'2. Kalkyldata'!$M$9*'2. Kalkyldata'!$J26)^(V$4-MAX('2. Kalkyldata'!$M26,$D$4))))*IF((V$4&gt;='2. Kalkyldata'!$M26),IF(V$4="",0,IF(AND(V$4&gt;='2. Kalkyldata'!$M26,'4. NPV'!V$4&lt;='2. Kalkyldata'!$N26),'2. Kalkyldata'!$L26,'2. Kalkyldata'!$O26*'2. Kalkyldata'!$H26)),0)</f>
        <v>0</v>
      </c>
      <c r="W15" s="230">
        <f>IF(W$4="",0,((1+'2. Kalkyldata'!$M$9*'2. Kalkyldata'!$J26)^(W$4-MAX('2. Kalkyldata'!$M26,$D$4))))*IF((W$4&gt;='2. Kalkyldata'!$M26),IF(W$4="",0,IF(AND(W$4&gt;='2. Kalkyldata'!$M26,'4. NPV'!W$4&lt;='2. Kalkyldata'!$N26),'2. Kalkyldata'!$L26,'2. Kalkyldata'!$O26*'2. Kalkyldata'!$H26)),0)</f>
        <v>0</v>
      </c>
      <c r="X15" s="230">
        <f>IF(X$4="",0,((1+'2. Kalkyldata'!$M$9*'2. Kalkyldata'!$J26)^(X$4-MAX('2. Kalkyldata'!$M26,$D$4))))*IF((X$4&gt;='2. Kalkyldata'!$M26),IF(X$4="",0,IF(AND(X$4&gt;='2. Kalkyldata'!$M26,'4. NPV'!X$4&lt;='2. Kalkyldata'!$N26),'2. Kalkyldata'!$L26,'2. Kalkyldata'!$O26*'2. Kalkyldata'!$H26)),0)</f>
        <v>0</v>
      </c>
      <c r="Y15" s="230">
        <f>IF(Y$4="",0,((1+'2. Kalkyldata'!$M$9*'2. Kalkyldata'!$J26)^(Y$4-MAX('2. Kalkyldata'!$M26,$D$4))))*IF((Y$4&gt;='2. Kalkyldata'!$M26),IF(Y$4="",0,IF(AND(Y$4&gt;='2. Kalkyldata'!$M26,'4. NPV'!Y$4&lt;='2. Kalkyldata'!$N26),'2. Kalkyldata'!$L26,'2. Kalkyldata'!$O26*'2. Kalkyldata'!$H26)),0)</f>
        <v>0</v>
      </c>
      <c r="Z15" s="230">
        <f>IF(Z$4="",0,((1+'2. Kalkyldata'!$M$9*'2. Kalkyldata'!$J26)^(Z$4-MAX('2. Kalkyldata'!$M26,$D$4))))*IF((Z$4&gt;='2. Kalkyldata'!$M26),IF(Z$4="",0,IF(AND(Z$4&gt;='2. Kalkyldata'!$M26,'4. NPV'!Z$4&lt;='2. Kalkyldata'!$N26),'2. Kalkyldata'!$L26,'2. Kalkyldata'!$O26*'2. Kalkyldata'!$H26)),0)</f>
        <v>0</v>
      </c>
      <c r="AA15" s="230">
        <f>IF(AA$4="",0,((1+'2. Kalkyldata'!$M$9*'2. Kalkyldata'!$J26)^(AA$4-MAX('2. Kalkyldata'!$M26,$D$4))))*IF((AA$4&gt;='2. Kalkyldata'!$M26),IF(AA$4="",0,IF(AND(AA$4&gt;='2. Kalkyldata'!$M26,'4. NPV'!AA$4&lt;='2. Kalkyldata'!$N26),'2. Kalkyldata'!$L26,'2. Kalkyldata'!$O26*'2. Kalkyldata'!$H26)),0)</f>
        <v>0</v>
      </c>
      <c r="AB15" s="230">
        <f>IF(AB$4="",0,((1+'2. Kalkyldata'!$M$9*'2. Kalkyldata'!$J26)^(AB$4-MAX('2. Kalkyldata'!$M26,$D$4))))*IF((AB$4&gt;='2. Kalkyldata'!$M26),IF(AB$4="",0,IF(AND(AB$4&gt;='2. Kalkyldata'!$M26,'4. NPV'!AB$4&lt;='2. Kalkyldata'!$N26),'2. Kalkyldata'!$L26,'2. Kalkyldata'!$O26*'2. Kalkyldata'!$H26)),0)</f>
        <v>0</v>
      </c>
      <c r="AC15" s="230">
        <f>IF(AC$4="",0,((1+'2. Kalkyldata'!$M$9*'2. Kalkyldata'!$J26)^(AC$4-MAX('2. Kalkyldata'!$M26,$D$4))))*IF((AC$4&gt;='2. Kalkyldata'!$M26),IF(AC$4="",0,IF(AND(AC$4&gt;='2. Kalkyldata'!$M26,'4. NPV'!AC$4&lt;='2. Kalkyldata'!$N26),'2. Kalkyldata'!$L26,'2. Kalkyldata'!$O26*'2. Kalkyldata'!$H26)),0)</f>
        <v>0</v>
      </c>
      <c r="AD15" s="230">
        <f>IF(AD$4="",0,((1+'2. Kalkyldata'!$M$9*'2. Kalkyldata'!$J26)^(AD$4-MAX('2. Kalkyldata'!$M26,$D$4))))*IF((AD$4&gt;='2. Kalkyldata'!$M26),IF(AD$4="",0,IF(AND(AD$4&gt;='2. Kalkyldata'!$M26,'4. NPV'!AD$4&lt;='2. Kalkyldata'!$N26),'2. Kalkyldata'!$L26,'2. Kalkyldata'!$O26*'2. Kalkyldata'!$H26)),0)</f>
        <v>0</v>
      </c>
      <c r="AE15" s="230">
        <f>IF(AE$4="",0,((1+'2. Kalkyldata'!$M$9*'2. Kalkyldata'!$J26)^(AE$4-MAX('2. Kalkyldata'!$M26,$D$4))))*IF((AE$4&gt;='2. Kalkyldata'!$M26),IF(AE$4="",0,IF(AND(AE$4&gt;='2. Kalkyldata'!$M26,'4. NPV'!AE$4&lt;='2. Kalkyldata'!$N26),'2. Kalkyldata'!$L26,'2. Kalkyldata'!$O26*'2. Kalkyldata'!$H26)),0)</f>
        <v>0</v>
      </c>
      <c r="AF15" s="230">
        <f>IF(AF$4="",0,((1+'2. Kalkyldata'!$M$9*'2. Kalkyldata'!$J26)^(AF$4-MAX('2. Kalkyldata'!$M26,$D$4))))*IF((AF$4&gt;='2. Kalkyldata'!$M26),IF(AF$4="",0,IF(AND(AF$4&gt;='2. Kalkyldata'!$M26,'4. NPV'!AF$4&lt;='2. Kalkyldata'!$N26),'2. Kalkyldata'!$L26,'2. Kalkyldata'!$O26*'2. Kalkyldata'!$H26)),0)</f>
        <v>0</v>
      </c>
      <c r="AG15" s="230">
        <f>IF(AG$4="",0,((1+'2. Kalkyldata'!$M$9*'2. Kalkyldata'!$J26)^(AG$4-MAX('2. Kalkyldata'!$M26,$D$4))))*IF((AG$4&gt;='2. Kalkyldata'!$M26),IF(AG$4="",0,IF(AND(AG$4&gt;='2. Kalkyldata'!$M26,'4. NPV'!AG$4&lt;='2. Kalkyldata'!$N26),'2. Kalkyldata'!$L26,'2. Kalkyldata'!$O26*'2. Kalkyldata'!$H26)),0)</f>
        <v>0</v>
      </c>
      <c r="AH15" s="230">
        <f>IF(AH$4="",0,((1+'2. Kalkyldata'!$M$9*'2. Kalkyldata'!$J26)^(AH$4-MAX('2. Kalkyldata'!$M26,$D$4))))*IF((AH$4&gt;='2. Kalkyldata'!$M26),IF(AH$4="",0,IF(AND(AH$4&gt;='2. Kalkyldata'!$M26,'4. NPV'!AH$4&lt;='2. Kalkyldata'!$N26),'2. Kalkyldata'!$L26,'2. Kalkyldata'!$O26*'2. Kalkyldata'!$H26)),0)</f>
        <v>0</v>
      </c>
      <c r="AI15" s="230">
        <f>IF(AI$4="",0,((1+'2. Kalkyldata'!$M$9*'2. Kalkyldata'!$J26)^(AI$4-MAX('2. Kalkyldata'!$M26,$D$4))))*IF((AI$4&gt;='2. Kalkyldata'!$M26),IF(AI$4="",0,IF(AND(AI$4&gt;='2. Kalkyldata'!$M26,'4. NPV'!AI$4&lt;='2. Kalkyldata'!$N26),'2. Kalkyldata'!$L26,'2. Kalkyldata'!$O26*'2. Kalkyldata'!$H26)),0)</f>
        <v>0</v>
      </c>
      <c r="AJ15" s="230">
        <f>IF(AJ$4="",0,((1+'2. Kalkyldata'!$M$9*'2. Kalkyldata'!$J26)^(AJ$4-MAX('2. Kalkyldata'!$M26,$D$4))))*IF((AJ$4&gt;='2. Kalkyldata'!$M26),IF(AJ$4="",0,IF(AND(AJ$4&gt;='2. Kalkyldata'!$M26,'4. NPV'!AJ$4&lt;='2. Kalkyldata'!$N26),'2. Kalkyldata'!$L26,'2. Kalkyldata'!$O26*'2. Kalkyldata'!$H26)),0)</f>
        <v>0</v>
      </c>
      <c r="AK15" s="230">
        <f>IF(AK$4="",0,((1+'2. Kalkyldata'!$M$9*'2. Kalkyldata'!$J26)^(AK$4-MAX('2. Kalkyldata'!$M26,$D$4))))*IF((AK$4&gt;='2. Kalkyldata'!$M26),IF(AK$4="",0,IF(AND(AK$4&gt;='2. Kalkyldata'!$M26,'4. NPV'!AK$4&lt;='2. Kalkyldata'!$N26),'2. Kalkyldata'!$L26,'2. Kalkyldata'!$O26*'2. Kalkyldata'!$H26)),0)</f>
        <v>0</v>
      </c>
      <c r="AL15" s="230">
        <f>IF(AL$4="",0,((1+'2. Kalkyldata'!$M$9*'2. Kalkyldata'!$J26)^(AL$4-MAX('2. Kalkyldata'!$M26,$D$4))))*IF((AL$4&gt;='2. Kalkyldata'!$M26),IF(AL$4="",0,IF(AND(AL$4&gt;='2. Kalkyldata'!$M26,'4. NPV'!AL$4&lt;='2. Kalkyldata'!$N26),'2. Kalkyldata'!$L26,'2. Kalkyldata'!$O26*'2. Kalkyldata'!$H26)),0)</f>
        <v>0</v>
      </c>
      <c r="AM15" s="230">
        <f>IF(AM$4="",0,((1+'2. Kalkyldata'!$M$9*'2. Kalkyldata'!$J26)^(AM$4-MAX('2. Kalkyldata'!$M26,$D$4))))*IF((AM$4&gt;='2. Kalkyldata'!$M26),IF(AM$4="",0,IF(AND(AM$4&gt;='2. Kalkyldata'!$M26,'4. NPV'!AM$4&lt;='2. Kalkyldata'!$N26),'2. Kalkyldata'!$L26,'2. Kalkyldata'!$O26*'2. Kalkyldata'!$H26)),0)</f>
        <v>0</v>
      </c>
      <c r="AN15" s="230">
        <f>IF(AN$4="",0,((1+'2. Kalkyldata'!$M$9*'2. Kalkyldata'!$J26)^(AN$4-MAX('2. Kalkyldata'!$M26,$D$4))))*IF((AN$4&gt;='2. Kalkyldata'!$M26),IF(AN$4="",0,IF(AND(AN$4&gt;='2. Kalkyldata'!$M26,'4. NPV'!AN$4&lt;='2. Kalkyldata'!$N26),'2. Kalkyldata'!$L26,'2. Kalkyldata'!$O26*'2. Kalkyldata'!$H26)),0)</f>
        <v>0</v>
      </c>
      <c r="AO15" s="230">
        <f>IF(AO$4="",0,((1+'2. Kalkyldata'!$M$9*'2. Kalkyldata'!$J26)^(AO$4-MAX('2. Kalkyldata'!$M26,$D$4))))*IF((AO$4&gt;='2. Kalkyldata'!$M26),IF(AO$4="",0,IF(AND(AO$4&gt;='2. Kalkyldata'!$M26,'4. NPV'!AO$4&lt;='2. Kalkyldata'!$N26),'2. Kalkyldata'!$L26,'2. Kalkyldata'!$O26*'2. Kalkyldata'!$H26)),0)</f>
        <v>0</v>
      </c>
      <c r="AP15" s="230">
        <f>IF(AP$4="",0,((1+'2. Kalkyldata'!$M$9*'2. Kalkyldata'!$J26)^(AP$4-MAX('2. Kalkyldata'!$M26,$D$4))))*IF((AP$4&gt;='2. Kalkyldata'!$M26),IF(AP$4="",0,IF(AND(AP$4&gt;='2. Kalkyldata'!$M26,'4. NPV'!AP$4&lt;='2. Kalkyldata'!$N26),'2. Kalkyldata'!$L26,'2. Kalkyldata'!$O26*'2. Kalkyldata'!$H26)),0)</f>
        <v>0</v>
      </c>
      <c r="AQ15" s="230">
        <f>IF(AQ$4="",0,((1+'2. Kalkyldata'!$M$9*'2. Kalkyldata'!$J26)^(AQ$4-MAX('2. Kalkyldata'!$M26,$D$4))))*IF((AQ$4&gt;='2. Kalkyldata'!$M26),IF(AQ$4="",0,IF(AND(AQ$4&gt;='2. Kalkyldata'!$M26,'4. NPV'!AQ$4&lt;='2. Kalkyldata'!$N26),'2. Kalkyldata'!$L26,'2. Kalkyldata'!$O26*'2. Kalkyldata'!$H26)),0)</f>
        <v>0</v>
      </c>
      <c r="AR15" s="230">
        <f>IF(AR$4="",0,((1+'2. Kalkyldata'!$M$9*'2. Kalkyldata'!$J26)^(AR$4-MAX('2. Kalkyldata'!$M26,$D$4))))*IF((AR$4&gt;='2. Kalkyldata'!$M26),IF(AR$4="",0,IF(AND(AR$4&gt;='2. Kalkyldata'!$M26,'4. NPV'!AR$4&lt;='2. Kalkyldata'!$N26),'2. Kalkyldata'!$L26,'2. Kalkyldata'!$O26*'2. Kalkyldata'!$H26)),0)</f>
        <v>0</v>
      </c>
      <c r="AS15" s="230">
        <f>IF(AS$4="",0,((1+'2. Kalkyldata'!$M$9*'2. Kalkyldata'!$J26)^(AS$4-MAX('2. Kalkyldata'!$M26,$D$4))))*IF((AS$4&gt;='2. Kalkyldata'!$M26),IF(AS$4="",0,IF(AND(AS$4&gt;='2. Kalkyldata'!$M26,'4. NPV'!AS$4&lt;='2. Kalkyldata'!$N26),'2. Kalkyldata'!$L26,'2. Kalkyldata'!$O26*'2. Kalkyldata'!$H26)),0)</f>
        <v>0</v>
      </c>
      <c r="AT15" s="230">
        <f>IF(AT$4="",0,((1+'2. Kalkyldata'!$M$9*'2. Kalkyldata'!$J26)^(AT$4-MAX('2. Kalkyldata'!$M26,$D$4))))*IF((AT$4&gt;='2. Kalkyldata'!$M26),IF(AT$4="",0,IF(AND(AT$4&gt;='2. Kalkyldata'!$M26,'4. NPV'!AT$4&lt;='2. Kalkyldata'!$N26),'2. Kalkyldata'!$L26,'2. Kalkyldata'!$O26*'2. Kalkyldata'!$H26)),0)</f>
        <v>0</v>
      </c>
      <c r="AU15" s="230">
        <f>IF(AU$4="",0,((1+'2. Kalkyldata'!$M$9*'2. Kalkyldata'!$J26)^(AU$4-MAX('2. Kalkyldata'!$M26,$D$4))))*IF((AU$4&gt;='2. Kalkyldata'!$M26),IF(AU$4="",0,IF(AND(AU$4&gt;='2. Kalkyldata'!$M26,'4. NPV'!AU$4&lt;='2. Kalkyldata'!$N26),'2. Kalkyldata'!$L26,'2. Kalkyldata'!$O26*'2. Kalkyldata'!$H26)),0)</f>
        <v>0</v>
      </c>
      <c r="AV15" s="230">
        <f>IF(AV$4="",0,((1+'2. Kalkyldata'!$M$9*'2. Kalkyldata'!$J26)^(AV$4-MAX('2. Kalkyldata'!$M26,$D$4))))*IF((AV$4&gt;='2. Kalkyldata'!$M26),IF(AV$4="",0,IF(AND(AV$4&gt;='2. Kalkyldata'!$M26,'4. NPV'!AV$4&lt;='2. Kalkyldata'!$N26),'2. Kalkyldata'!$L26,'2. Kalkyldata'!$O26*'2. Kalkyldata'!$H26)),0)</f>
        <v>0</v>
      </c>
      <c r="AW15" s="230">
        <f>IF(AW$4="",0,((1+'2. Kalkyldata'!$M$9*'2. Kalkyldata'!$J26)^(AW$4-MAX('2. Kalkyldata'!$M26,$D$4))))*IF((AW$4&gt;='2. Kalkyldata'!$M26),IF(AW$4="",0,IF(AND(AW$4&gt;='2. Kalkyldata'!$M26,'4. NPV'!AW$4&lt;='2. Kalkyldata'!$N26),'2. Kalkyldata'!$L26,'2. Kalkyldata'!$O26*'2. Kalkyldata'!$H26)),0)</f>
        <v>0</v>
      </c>
      <c r="AX15" s="230">
        <f>IF(AX$4="",0,((1+'2. Kalkyldata'!$M$9*'2. Kalkyldata'!$J26)^(AX$4-MAX('2. Kalkyldata'!$M26,$D$4))))*IF((AX$4&gt;='2. Kalkyldata'!$M26),IF(AX$4="",0,IF(AND(AX$4&gt;='2. Kalkyldata'!$M26,'4. NPV'!AX$4&lt;='2. Kalkyldata'!$N26),'2. Kalkyldata'!$L26,'2. Kalkyldata'!$O26*'2. Kalkyldata'!$H26)),0)</f>
        <v>0</v>
      </c>
      <c r="AY15" s="230">
        <f>IF(AY$4="",0,((1+'2. Kalkyldata'!$M$9*'2. Kalkyldata'!$J26)^(AY$4-MAX('2. Kalkyldata'!$M26,$D$4))))*IF((AY$4&gt;='2. Kalkyldata'!$M26),IF(AY$4="",0,IF(AND(AY$4&gt;='2. Kalkyldata'!$M26,'4. NPV'!AY$4&lt;='2. Kalkyldata'!$N26),'2. Kalkyldata'!$L26,'2. Kalkyldata'!$O26*'2. Kalkyldata'!$H26)),0)</f>
        <v>0</v>
      </c>
      <c r="AZ15" s="230">
        <f>IF(AZ$4="",0,((1+'2. Kalkyldata'!$M$9*'2. Kalkyldata'!$J26)^(AZ$4-MAX('2. Kalkyldata'!$M26,$D$4))))*IF((AZ$4&gt;='2. Kalkyldata'!$M26),IF(AZ$4="",0,IF(AND(AZ$4&gt;='2. Kalkyldata'!$M26,'4. NPV'!AZ$4&lt;='2. Kalkyldata'!$N26),'2. Kalkyldata'!$L26,'2. Kalkyldata'!$O26*'2. Kalkyldata'!$H26)),0)</f>
        <v>0</v>
      </c>
      <c r="BA15" s="230">
        <f>IF(BA$4="",0,((1+'2. Kalkyldata'!$M$9*'2. Kalkyldata'!$J26)^(BA$4-MAX('2. Kalkyldata'!$M26,$D$4))))*IF((BA$4&gt;='2. Kalkyldata'!$M26),IF(BA$4="",0,IF(AND(BA$4&gt;='2. Kalkyldata'!$M26,'4. NPV'!BA$4&lt;='2. Kalkyldata'!$N26),'2. Kalkyldata'!$L26,'2. Kalkyldata'!$O26*'2. Kalkyldata'!$H26)),0)</f>
        <v>0</v>
      </c>
    </row>
    <row r="16" spans="1:53">
      <c r="A16" s="504"/>
      <c r="B16" s="229" t="str">
        <f>CONCATENATE("Intäkter ",'2. Kalkyldata'!C27)</f>
        <v xml:space="preserve">Intäkter </v>
      </c>
      <c r="C16" s="332">
        <f t="shared" si="4"/>
        <v>0</v>
      </c>
      <c r="D16" s="230">
        <f>IF(D$4="",0,((1+'2. Kalkyldata'!$M$9*'2. Kalkyldata'!$J27)^(D$4-$D$4)))*IF((D$4&gt;='2. Kalkyldata'!$M27),IF(D$4="",0,IF(AND(D$4&gt;='2. Kalkyldata'!$M27,'4. NPV'!D$4&lt;='2. Kalkyldata'!$N27),'2. Kalkyldata'!$L27,'2. Kalkyldata'!$O27*'2. Kalkyldata'!$H27)),0)</f>
        <v>0</v>
      </c>
      <c r="E16" s="230">
        <f>IF(E$4="",0,((1+'2. Kalkyldata'!$M$9*'2. Kalkyldata'!$J27)^(E$4-MAX('2. Kalkyldata'!$M27,$D$4))))*IF((E$4&gt;='2. Kalkyldata'!$M27),IF(E$4="",0,IF(AND(E$4&gt;='2. Kalkyldata'!$M27,'4. NPV'!E$4&lt;='2. Kalkyldata'!$N27),'2. Kalkyldata'!$L27,'2. Kalkyldata'!$O27*'2. Kalkyldata'!$H27)),0)</f>
        <v>0</v>
      </c>
      <c r="F16" s="230">
        <f>IF(F$4="",0,((1+'2. Kalkyldata'!$M$9*'2. Kalkyldata'!$J27)^(F$4-MAX('2. Kalkyldata'!$M27,$D$4))))*IF((F$4&gt;='2. Kalkyldata'!$M27),IF(F$4="",0,IF(AND(F$4&gt;='2. Kalkyldata'!$M27,'4. NPV'!F$4&lt;='2. Kalkyldata'!$N27),'2. Kalkyldata'!$L27,'2. Kalkyldata'!$O27*'2. Kalkyldata'!$H27)),0)</f>
        <v>0</v>
      </c>
      <c r="G16" s="230">
        <f>IF(G$4="",0,((1+'2. Kalkyldata'!$M$9*'2. Kalkyldata'!$J27)^(G$4-MAX('2. Kalkyldata'!$M27,$D$4))))*IF((G$4&gt;='2. Kalkyldata'!$M27),IF(G$4="",0,IF(AND(G$4&gt;='2. Kalkyldata'!$M27,'4. NPV'!G$4&lt;='2. Kalkyldata'!$N27),'2. Kalkyldata'!$L27,'2. Kalkyldata'!$O27*'2. Kalkyldata'!$H27)),0)</f>
        <v>0</v>
      </c>
      <c r="H16" s="230">
        <f>IF(H$4="",0,((1+'2. Kalkyldata'!$M$9*'2. Kalkyldata'!$J27)^(H$4-MAX('2. Kalkyldata'!$M27,$D$4))))*IF((H$4&gt;='2. Kalkyldata'!$M27),IF(H$4="",0,IF(AND(H$4&gt;='2. Kalkyldata'!$M27,'4. NPV'!H$4&lt;='2. Kalkyldata'!$N27),'2. Kalkyldata'!$L27,'2. Kalkyldata'!$O27*'2. Kalkyldata'!$H27)),0)</f>
        <v>0</v>
      </c>
      <c r="I16" s="230">
        <f>IF(I$4="",0,((1+'2. Kalkyldata'!$M$9*'2. Kalkyldata'!$J27)^(I$4-MAX('2. Kalkyldata'!$M27,$D$4))))*IF((I$4&gt;='2. Kalkyldata'!$M27),IF(I$4="",0,IF(AND(I$4&gt;='2. Kalkyldata'!$M27,'4. NPV'!I$4&lt;='2. Kalkyldata'!$N27),'2. Kalkyldata'!$L27,'2. Kalkyldata'!$O27*'2. Kalkyldata'!$H27)),0)</f>
        <v>0</v>
      </c>
      <c r="J16" s="230">
        <f>IF(J$4="",0,((1+'2. Kalkyldata'!$M$9*'2. Kalkyldata'!$J27)^(J$4-MAX('2. Kalkyldata'!$M27,$D$4))))*IF((J$4&gt;='2. Kalkyldata'!$M27),IF(J$4="",0,IF(AND(J$4&gt;='2. Kalkyldata'!$M27,'4. NPV'!J$4&lt;='2. Kalkyldata'!$N27),'2. Kalkyldata'!$L27,'2. Kalkyldata'!$O27*'2. Kalkyldata'!$H27)),0)</f>
        <v>0</v>
      </c>
      <c r="K16" s="230">
        <f>IF(K$4="",0,((1+'2. Kalkyldata'!$M$9*'2. Kalkyldata'!$J27)^(K$4-MAX('2. Kalkyldata'!$M27,$D$4))))*IF((K$4&gt;='2. Kalkyldata'!$M27),IF(K$4="",0,IF(AND(K$4&gt;='2. Kalkyldata'!$M27,'4. NPV'!K$4&lt;='2. Kalkyldata'!$N27),'2. Kalkyldata'!$L27,'2. Kalkyldata'!$O27*'2. Kalkyldata'!$H27)),0)</f>
        <v>0</v>
      </c>
      <c r="L16" s="230">
        <f>IF(L$4="",0,((1+'2. Kalkyldata'!$M$9*'2. Kalkyldata'!$J27)^(L$4-MAX('2. Kalkyldata'!$M27,$D$4))))*IF((L$4&gt;='2. Kalkyldata'!$M27),IF(L$4="",0,IF(AND(L$4&gt;='2. Kalkyldata'!$M27,'4. NPV'!L$4&lt;='2. Kalkyldata'!$N27),'2. Kalkyldata'!$L27,'2. Kalkyldata'!$O27*'2. Kalkyldata'!$H27)),0)</f>
        <v>0</v>
      </c>
      <c r="M16" s="230">
        <f>IF(M$4="",0,((1+'2. Kalkyldata'!$M$9*'2. Kalkyldata'!$J27)^(M$4-MAX('2. Kalkyldata'!$M27,$D$4))))*IF((M$4&gt;='2. Kalkyldata'!$M27),IF(M$4="",0,IF(AND(M$4&gt;='2. Kalkyldata'!$M27,'4. NPV'!M$4&lt;='2. Kalkyldata'!$N27),'2. Kalkyldata'!$L27,'2. Kalkyldata'!$O27*'2. Kalkyldata'!$H27)),0)</f>
        <v>0</v>
      </c>
      <c r="N16" s="230">
        <f>IF(N$4="",0,((1+'2. Kalkyldata'!$M$9*'2. Kalkyldata'!$J27)^(N$4-MAX('2. Kalkyldata'!$M27,$D$4))))*IF((N$4&gt;='2. Kalkyldata'!$M27),IF(N$4="",0,IF(AND(N$4&gt;='2. Kalkyldata'!$M27,'4. NPV'!N$4&lt;='2. Kalkyldata'!$N27),'2. Kalkyldata'!$L27,'2. Kalkyldata'!$O27*'2. Kalkyldata'!$H27)),0)</f>
        <v>0</v>
      </c>
      <c r="O16" s="230">
        <f>IF(O$4="",0,((1+'2. Kalkyldata'!$M$9*'2. Kalkyldata'!$J27)^(O$4-MAX('2. Kalkyldata'!$M27,$D$4))))*IF((O$4&gt;='2. Kalkyldata'!$M27),IF(O$4="",0,IF(AND(O$4&gt;='2. Kalkyldata'!$M27,'4. NPV'!O$4&lt;='2. Kalkyldata'!$N27),'2. Kalkyldata'!$L27,'2. Kalkyldata'!$O27*'2. Kalkyldata'!$H27)),0)</f>
        <v>0</v>
      </c>
      <c r="P16" s="230">
        <f>IF(P$4="",0,((1+'2. Kalkyldata'!$M$9*'2. Kalkyldata'!$J27)^(P$4-MAX('2. Kalkyldata'!$M27,$D$4))))*IF((P$4&gt;='2. Kalkyldata'!$M27),IF(P$4="",0,IF(AND(P$4&gt;='2. Kalkyldata'!$M27,'4. NPV'!P$4&lt;='2. Kalkyldata'!$N27),'2. Kalkyldata'!$L27,'2. Kalkyldata'!$O27*'2. Kalkyldata'!$H27)),0)</f>
        <v>0</v>
      </c>
      <c r="Q16" s="230">
        <f>IF(Q$4="",0,((1+'2. Kalkyldata'!$M$9*'2. Kalkyldata'!$J27)^(Q$4-MAX('2. Kalkyldata'!$M27,$D$4))))*IF((Q$4&gt;='2. Kalkyldata'!$M27),IF(Q$4="",0,IF(AND(Q$4&gt;='2. Kalkyldata'!$M27,'4. NPV'!Q$4&lt;='2. Kalkyldata'!$N27),'2. Kalkyldata'!$L27,'2. Kalkyldata'!$O27*'2. Kalkyldata'!$H27)),0)</f>
        <v>0</v>
      </c>
      <c r="R16" s="230">
        <f>IF(R$4="",0,((1+'2. Kalkyldata'!$M$9*'2. Kalkyldata'!$J27)^(R$4-MAX('2. Kalkyldata'!$M27,$D$4))))*IF((R$4&gt;='2. Kalkyldata'!$M27),IF(R$4="",0,IF(AND(R$4&gt;='2. Kalkyldata'!$M27,'4. NPV'!R$4&lt;='2. Kalkyldata'!$N27),'2. Kalkyldata'!$L27,'2. Kalkyldata'!$O27*'2. Kalkyldata'!$H27)),0)</f>
        <v>0</v>
      </c>
      <c r="S16" s="230">
        <f>IF(S$4="",0,((1+'2. Kalkyldata'!$M$9*'2. Kalkyldata'!$J27)^(S$4-MAX('2. Kalkyldata'!$M27,$D$4))))*IF((S$4&gt;='2. Kalkyldata'!$M27),IF(S$4="",0,IF(AND(S$4&gt;='2. Kalkyldata'!$M27,'4. NPV'!S$4&lt;='2. Kalkyldata'!$N27),'2. Kalkyldata'!$L27,'2. Kalkyldata'!$O27*'2. Kalkyldata'!$H27)),0)</f>
        <v>0</v>
      </c>
      <c r="T16" s="230">
        <f>IF(T$4="",0,((1+'2. Kalkyldata'!$M$9*'2. Kalkyldata'!$J27)^(T$4-MAX('2. Kalkyldata'!$M27,$D$4))))*IF((T$4&gt;='2. Kalkyldata'!$M27),IF(T$4="",0,IF(AND(T$4&gt;='2. Kalkyldata'!$M27,'4. NPV'!T$4&lt;='2. Kalkyldata'!$N27),'2. Kalkyldata'!$L27,'2. Kalkyldata'!$O27*'2. Kalkyldata'!$H27)),0)</f>
        <v>0</v>
      </c>
      <c r="U16" s="230">
        <f>IF(U$4="",0,((1+'2. Kalkyldata'!$M$9*'2. Kalkyldata'!$J27)^(U$4-MAX('2. Kalkyldata'!$M27,$D$4))))*IF((U$4&gt;='2. Kalkyldata'!$M27),IF(U$4="",0,IF(AND(U$4&gt;='2. Kalkyldata'!$M27,'4. NPV'!U$4&lt;='2. Kalkyldata'!$N27),'2. Kalkyldata'!$L27,'2. Kalkyldata'!$O27*'2. Kalkyldata'!$H27)),0)</f>
        <v>0</v>
      </c>
      <c r="V16" s="230">
        <f>IF(V$4="",0,((1+'2. Kalkyldata'!$M$9*'2. Kalkyldata'!$J27)^(V$4-MAX('2. Kalkyldata'!$M27,$D$4))))*IF((V$4&gt;='2. Kalkyldata'!$M27),IF(V$4="",0,IF(AND(V$4&gt;='2. Kalkyldata'!$M27,'4. NPV'!V$4&lt;='2. Kalkyldata'!$N27),'2. Kalkyldata'!$L27,'2. Kalkyldata'!$O27*'2. Kalkyldata'!$H27)),0)</f>
        <v>0</v>
      </c>
      <c r="W16" s="230">
        <f>IF(W$4="",0,((1+'2. Kalkyldata'!$M$9*'2. Kalkyldata'!$J27)^(W$4-MAX('2. Kalkyldata'!$M27,$D$4))))*IF((W$4&gt;='2. Kalkyldata'!$M27),IF(W$4="",0,IF(AND(W$4&gt;='2. Kalkyldata'!$M27,'4. NPV'!W$4&lt;='2. Kalkyldata'!$N27),'2. Kalkyldata'!$L27,'2. Kalkyldata'!$O27*'2. Kalkyldata'!$H27)),0)</f>
        <v>0</v>
      </c>
      <c r="X16" s="230">
        <f>IF(X$4="",0,((1+'2. Kalkyldata'!$M$9*'2. Kalkyldata'!$J27)^(X$4-MAX('2. Kalkyldata'!$M27,$D$4))))*IF((X$4&gt;='2. Kalkyldata'!$M27),IF(X$4="",0,IF(AND(X$4&gt;='2. Kalkyldata'!$M27,'4. NPV'!X$4&lt;='2. Kalkyldata'!$N27),'2. Kalkyldata'!$L27,'2. Kalkyldata'!$O27*'2. Kalkyldata'!$H27)),0)</f>
        <v>0</v>
      </c>
      <c r="Y16" s="230">
        <f>IF(Y$4="",0,((1+'2. Kalkyldata'!$M$9*'2. Kalkyldata'!$J27)^(Y$4-MAX('2. Kalkyldata'!$M27,$D$4))))*IF((Y$4&gt;='2. Kalkyldata'!$M27),IF(Y$4="",0,IF(AND(Y$4&gt;='2. Kalkyldata'!$M27,'4. NPV'!Y$4&lt;='2. Kalkyldata'!$N27),'2. Kalkyldata'!$L27,'2. Kalkyldata'!$O27*'2. Kalkyldata'!$H27)),0)</f>
        <v>0</v>
      </c>
      <c r="Z16" s="230">
        <f>IF(Z$4="",0,((1+'2. Kalkyldata'!$M$9*'2. Kalkyldata'!$J27)^(Z$4-MAX('2. Kalkyldata'!$M27,$D$4))))*IF((Z$4&gt;='2. Kalkyldata'!$M27),IF(Z$4="",0,IF(AND(Z$4&gt;='2. Kalkyldata'!$M27,'4. NPV'!Z$4&lt;='2. Kalkyldata'!$N27),'2. Kalkyldata'!$L27,'2. Kalkyldata'!$O27*'2. Kalkyldata'!$H27)),0)</f>
        <v>0</v>
      </c>
      <c r="AA16" s="230">
        <f>IF(AA$4="",0,((1+'2. Kalkyldata'!$M$9*'2. Kalkyldata'!$J27)^(AA$4-MAX('2. Kalkyldata'!$M27,$D$4))))*IF((AA$4&gt;='2. Kalkyldata'!$M27),IF(AA$4="",0,IF(AND(AA$4&gt;='2. Kalkyldata'!$M27,'4. NPV'!AA$4&lt;='2. Kalkyldata'!$N27),'2. Kalkyldata'!$L27,'2. Kalkyldata'!$O27*'2. Kalkyldata'!$H27)),0)</f>
        <v>0</v>
      </c>
      <c r="AB16" s="230">
        <f>IF(AB$4="",0,((1+'2. Kalkyldata'!$M$9*'2. Kalkyldata'!$J27)^(AB$4-MAX('2. Kalkyldata'!$M27,$D$4))))*IF((AB$4&gt;='2. Kalkyldata'!$M27),IF(AB$4="",0,IF(AND(AB$4&gt;='2. Kalkyldata'!$M27,'4. NPV'!AB$4&lt;='2. Kalkyldata'!$N27),'2. Kalkyldata'!$L27,'2. Kalkyldata'!$O27*'2. Kalkyldata'!$H27)),0)</f>
        <v>0</v>
      </c>
      <c r="AC16" s="230">
        <f>IF(AC$4="",0,((1+'2. Kalkyldata'!$M$9*'2. Kalkyldata'!$J27)^(AC$4-MAX('2. Kalkyldata'!$M27,$D$4))))*IF((AC$4&gt;='2. Kalkyldata'!$M27),IF(AC$4="",0,IF(AND(AC$4&gt;='2. Kalkyldata'!$M27,'4. NPV'!AC$4&lt;='2. Kalkyldata'!$N27),'2. Kalkyldata'!$L27,'2. Kalkyldata'!$O27*'2. Kalkyldata'!$H27)),0)</f>
        <v>0</v>
      </c>
      <c r="AD16" s="230">
        <f>IF(AD$4="",0,((1+'2. Kalkyldata'!$M$9*'2. Kalkyldata'!$J27)^(AD$4-MAX('2. Kalkyldata'!$M27,$D$4))))*IF((AD$4&gt;='2. Kalkyldata'!$M27),IF(AD$4="",0,IF(AND(AD$4&gt;='2. Kalkyldata'!$M27,'4. NPV'!AD$4&lt;='2. Kalkyldata'!$N27),'2. Kalkyldata'!$L27,'2. Kalkyldata'!$O27*'2. Kalkyldata'!$H27)),0)</f>
        <v>0</v>
      </c>
      <c r="AE16" s="230">
        <f>IF(AE$4="",0,((1+'2. Kalkyldata'!$M$9*'2. Kalkyldata'!$J27)^(AE$4-MAX('2. Kalkyldata'!$M27,$D$4))))*IF((AE$4&gt;='2. Kalkyldata'!$M27),IF(AE$4="",0,IF(AND(AE$4&gt;='2. Kalkyldata'!$M27,'4. NPV'!AE$4&lt;='2. Kalkyldata'!$N27),'2. Kalkyldata'!$L27,'2. Kalkyldata'!$O27*'2. Kalkyldata'!$H27)),0)</f>
        <v>0</v>
      </c>
      <c r="AF16" s="230">
        <f>IF(AF$4="",0,((1+'2. Kalkyldata'!$M$9*'2. Kalkyldata'!$J27)^(AF$4-MAX('2. Kalkyldata'!$M27,$D$4))))*IF((AF$4&gt;='2. Kalkyldata'!$M27),IF(AF$4="",0,IF(AND(AF$4&gt;='2. Kalkyldata'!$M27,'4. NPV'!AF$4&lt;='2. Kalkyldata'!$N27),'2. Kalkyldata'!$L27,'2. Kalkyldata'!$O27*'2. Kalkyldata'!$H27)),0)</f>
        <v>0</v>
      </c>
      <c r="AG16" s="230">
        <f>IF(AG$4="",0,((1+'2. Kalkyldata'!$M$9*'2. Kalkyldata'!$J27)^(AG$4-MAX('2. Kalkyldata'!$M27,$D$4))))*IF((AG$4&gt;='2. Kalkyldata'!$M27),IF(AG$4="",0,IF(AND(AG$4&gt;='2. Kalkyldata'!$M27,'4. NPV'!AG$4&lt;='2. Kalkyldata'!$N27),'2. Kalkyldata'!$L27,'2. Kalkyldata'!$O27*'2. Kalkyldata'!$H27)),0)</f>
        <v>0</v>
      </c>
      <c r="AH16" s="230">
        <f>IF(AH$4="",0,((1+'2. Kalkyldata'!$M$9*'2. Kalkyldata'!$J27)^(AH$4-MAX('2. Kalkyldata'!$M27,$D$4))))*IF((AH$4&gt;='2. Kalkyldata'!$M27),IF(AH$4="",0,IF(AND(AH$4&gt;='2. Kalkyldata'!$M27,'4. NPV'!AH$4&lt;='2. Kalkyldata'!$N27),'2. Kalkyldata'!$L27,'2. Kalkyldata'!$O27*'2. Kalkyldata'!$H27)),0)</f>
        <v>0</v>
      </c>
      <c r="AI16" s="230">
        <f>IF(AI$4="",0,((1+'2. Kalkyldata'!$M$9*'2. Kalkyldata'!$J27)^(AI$4-MAX('2. Kalkyldata'!$M27,$D$4))))*IF((AI$4&gt;='2. Kalkyldata'!$M27),IF(AI$4="",0,IF(AND(AI$4&gt;='2. Kalkyldata'!$M27,'4. NPV'!AI$4&lt;='2. Kalkyldata'!$N27),'2. Kalkyldata'!$L27,'2. Kalkyldata'!$O27*'2. Kalkyldata'!$H27)),0)</f>
        <v>0</v>
      </c>
      <c r="AJ16" s="230">
        <f>IF(AJ$4="",0,((1+'2. Kalkyldata'!$M$9*'2. Kalkyldata'!$J27)^(AJ$4-MAX('2. Kalkyldata'!$M27,$D$4))))*IF((AJ$4&gt;='2. Kalkyldata'!$M27),IF(AJ$4="",0,IF(AND(AJ$4&gt;='2. Kalkyldata'!$M27,'4. NPV'!AJ$4&lt;='2. Kalkyldata'!$N27),'2. Kalkyldata'!$L27,'2. Kalkyldata'!$O27*'2. Kalkyldata'!$H27)),0)</f>
        <v>0</v>
      </c>
      <c r="AK16" s="230">
        <f>IF(AK$4="",0,((1+'2. Kalkyldata'!$M$9*'2. Kalkyldata'!$J27)^(AK$4-MAX('2. Kalkyldata'!$M27,$D$4))))*IF((AK$4&gt;='2. Kalkyldata'!$M27),IF(AK$4="",0,IF(AND(AK$4&gt;='2. Kalkyldata'!$M27,'4. NPV'!AK$4&lt;='2. Kalkyldata'!$N27),'2. Kalkyldata'!$L27,'2. Kalkyldata'!$O27*'2. Kalkyldata'!$H27)),0)</f>
        <v>0</v>
      </c>
      <c r="AL16" s="230">
        <f>IF(AL$4="",0,((1+'2. Kalkyldata'!$M$9*'2. Kalkyldata'!$J27)^(AL$4-MAX('2. Kalkyldata'!$M27,$D$4))))*IF((AL$4&gt;='2. Kalkyldata'!$M27),IF(AL$4="",0,IF(AND(AL$4&gt;='2. Kalkyldata'!$M27,'4. NPV'!AL$4&lt;='2. Kalkyldata'!$N27),'2. Kalkyldata'!$L27,'2. Kalkyldata'!$O27*'2. Kalkyldata'!$H27)),0)</f>
        <v>0</v>
      </c>
      <c r="AM16" s="230">
        <f>IF(AM$4="",0,((1+'2. Kalkyldata'!$M$9*'2. Kalkyldata'!$J27)^(AM$4-MAX('2. Kalkyldata'!$M27,$D$4))))*IF((AM$4&gt;='2. Kalkyldata'!$M27),IF(AM$4="",0,IF(AND(AM$4&gt;='2. Kalkyldata'!$M27,'4. NPV'!AM$4&lt;='2. Kalkyldata'!$N27),'2. Kalkyldata'!$L27,'2. Kalkyldata'!$O27*'2. Kalkyldata'!$H27)),0)</f>
        <v>0</v>
      </c>
      <c r="AN16" s="230">
        <f>IF(AN$4="",0,((1+'2. Kalkyldata'!$M$9*'2. Kalkyldata'!$J27)^(AN$4-MAX('2. Kalkyldata'!$M27,$D$4))))*IF((AN$4&gt;='2. Kalkyldata'!$M27),IF(AN$4="",0,IF(AND(AN$4&gt;='2. Kalkyldata'!$M27,'4. NPV'!AN$4&lt;='2. Kalkyldata'!$N27),'2. Kalkyldata'!$L27,'2. Kalkyldata'!$O27*'2. Kalkyldata'!$H27)),0)</f>
        <v>0</v>
      </c>
      <c r="AO16" s="230">
        <f>IF(AO$4="",0,((1+'2. Kalkyldata'!$M$9*'2. Kalkyldata'!$J27)^(AO$4-MAX('2. Kalkyldata'!$M27,$D$4))))*IF((AO$4&gt;='2. Kalkyldata'!$M27),IF(AO$4="",0,IF(AND(AO$4&gt;='2. Kalkyldata'!$M27,'4. NPV'!AO$4&lt;='2. Kalkyldata'!$N27),'2. Kalkyldata'!$L27,'2. Kalkyldata'!$O27*'2. Kalkyldata'!$H27)),0)</f>
        <v>0</v>
      </c>
      <c r="AP16" s="230">
        <f>IF(AP$4="",0,((1+'2. Kalkyldata'!$M$9*'2. Kalkyldata'!$J27)^(AP$4-MAX('2. Kalkyldata'!$M27,$D$4))))*IF((AP$4&gt;='2. Kalkyldata'!$M27),IF(AP$4="",0,IF(AND(AP$4&gt;='2. Kalkyldata'!$M27,'4. NPV'!AP$4&lt;='2. Kalkyldata'!$N27),'2. Kalkyldata'!$L27,'2. Kalkyldata'!$O27*'2. Kalkyldata'!$H27)),0)</f>
        <v>0</v>
      </c>
      <c r="AQ16" s="230">
        <f>IF(AQ$4="",0,((1+'2. Kalkyldata'!$M$9*'2. Kalkyldata'!$J27)^(AQ$4-MAX('2. Kalkyldata'!$M27,$D$4))))*IF((AQ$4&gt;='2. Kalkyldata'!$M27),IF(AQ$4="",0,IF(AND(AQ$4&gt;='2. Kalkyldata'!$M27,'4. NPV'!AQ$4&lt;='2. Kalkyldata'!$N27),'2. Kalkyldata'!$L27,'2. Kalkyldata'!$O27*'2. Kalkyldata'!$H27)),0)</f>
        <v>0</v>
      </c>
      <c r="AR16" s="230">
        <f>IF(AR$4="",0,((1+'2. Kalkyldata'!$M$9*'2. Kalkyldata'!$J27)^(AR$4-MAX('2. Kalkyldata'!$M27,$D$4))))*IF((AR$4&gt;='2. Kalkyldata'!$M27),IF(AR$4="",0,IF(AND(AR$4&gt;='2. Kalkyldata'!$M27,'4. NPV'!AR$4&lt;='2. Kalkyldata'!$N27),'2. Kalkyldata'!$L27,'2. Kalkyldata'!$O27*'2. Kalkyldata'!$H27)),0)</f>
        <v>0</v>
      </c>
      <c r="AS16" s="230">
        <f>IF(AS$4="",0,((1+'2. Kalkyldata'!$M$9*'2. Kalkyldata'!$J27)^(AS$4-MAX('2. Kalkyldata'!$M27,$D$4))))*IF((AS$4&gt;='2. Kalkyldata'!$M27),IF(AS$4="",0,IF(AND(AS$4&gt;='2. Kalkyldata'!$M27,'4. NPV'!AS$4&lt;='2. Kalkyldata'!$N27),'2. Kalkyldata'!$L27,'2. Kalkyldata'!$O27*'2. Kalkyldata'!$H27)),0)</f>
        <v>0</v>
      </c>
      <c r="AT16" s="230">
        <f>IF(AT$4="",0,((1+'2. Kalkyldata'!$M$9*'2. Kalkyldata'!$J27)^(AT$4-MAX('2. Kalkyldata'!$M27,$D$4))))*IF((AT$4&gt;='2. Kalkyldata'!$M27),IF(AT$4="",0,IF(AND(AT$4&gt;='2. Kalkyldata'!$M27,'4. NPV'!AT$4&lt;='2. Kalkyldata'!$N27),'2. Kalkyldata'!$L27,'2. Kalkyldata'!$O27*'2. Kalkyldata'!$H27)),0)</f>
        <v>0</v>
      </c>
      <c r="AU16" s="230">
        <f>IF(AU$4="",0,((1+'2. Kalkyldata'!$M$9*'2. Kalkyldata'!$J27)^(AU$4-MAX('2. Kalkyldata'!$M27,$D$4))))*IF((AU$4&gt;='2. Kalkyldata'!$M27),IF(AU$4="",0,IF(AND(AU$4&gt;='2. Kalkyldata'!$M27,'4. NPV'!AU$4&lt;='2. Kalkyldata'!$N27),'2. Kalkyldata'!$L27,'2. Kalkyldata'!$O27*'2. Kalkyldata'!$H27)),0)</f>
        <v>0</v>
      </c>
      <c r="AV16" s="230">
        <f>IF(AV$4="",0,((1+'2. Kalkyldata'!$M$9*'2. Kalkyldata'!$J27)^(AV$4-MAX('2. Kalkyldata'!$M27,$D$4))))*IF((AV$4&gt;='2. Kalkyldata'!$M27),IF(AV$4="",0,IF(AND(AV$4&gt;='2. Kalkyldata'!$M27,'4. NPV'!AV$4&lt;='2. Kalkyldata'!$N27),'2. Kalkyldata'!$L27,'2. Kalkyldata'!$O27*'2. Kalkyldata'!$H27)),0)</f>
        <v>0</v>
      </c>
      <c r="AW16" s="230">
        <f>IF(AW$4="",0,((1+'2. Kalkyldata'!$M$9*'2. Kalkyldata'!$J27)^(AW$4-MAX('2. Kalkyldata'!$M27,$D$4))))*IF((AW$4&gt;='2. Kalkyldata'!$M27),IF(AW$4="",0,IF(AND(AW$4&gt;='2. Kalkyldata'!$M27,'4. NPV'!AW$4&lt;='2. Kalkyldata'!$N27),'2. Kalkyldata'!$L27,'2. Kalkyldata'!$O27*'2. Kalkyldata'!$H27)),0)</f>
        <v>0</v>
      </c>
      <c r="AX16" s="230">
        <f>IF(AX$4="",0,((1+'2. Kalkyldata'!$M$9*'2. Kalkyldata'!$J27)^(AX$4-MAX('2. Kalkyldata'!$M27,$D$4))))*IF((AX$4&gt;='2. Kalkyldata'!$M27),IF(AX$4="",0,IF(AND(AX$4&gt;='2. Kalkyldata'!$M27,'4. NPV'!AX$4&lt;='2. Kalkyldata'!$N27),'2. Kalkyldata'!$L27,'2. Kalkyldata'!$O27*'2. Kalkyldata'!$H27)),0)</f>
        <v>0</v>
      </c>
      <c r="AY16" s="230">
        <f>IF(AY$4="",0,((1+'2. Kalkyldata'!$M$9*'2. Kalkyldata'!$J27)^(AY$4-MAX('2. Kalkyldata'!$M27,$D$4))))*IF((AY$4&gt;='2. Kalkyldata'!$M27),IF(AY$4="",0,IF(AND(AY$4&gt;='2. Kalkyldata'!$M27,'4. NPV'!AY$4&lt;='2. Kalkyldata'!$N27),'2. Kalkyldata'!$L27,'2. Kalkyldata'!$O27*'2. Kalkyldata'!$H27)),0)</f>
        <v>0</v>
      </c>
      <c r="AZ16" s="230">
        <f>IF(AZ$4="",0,((1+'2. Kalkyldata'!$M$9*'2. Kalkyldata'!$J27)^(AZ$4-MAX('2. Kalkyldata'!$M27,$D$4))))*IF((AZ$4&gt;='2. Kalkyldata'!$M27),IF(AZ$4="",0,IF(AND(AZ$4&gt;='2. Kalkyldata'!$M27,'4. NPV'!AZ$4&lt;='2. Kalkyldata'!$N27),'2. Kalkyldata'!$L27,'2. Kalkyldata'!$O27*'2. Kalkyldata'!$H27)),0)</f>
        <v>0</v>
      </c>
      <c r="BA16" s="230">
        <f>IF(BA$4="",0,((1+'2. Kalkyldata'!$M$9*'2. Kalkyldata'!$J27)^(BA$4-MAX('2. Kalkyldata'!$M27,$D$4))))*IF((BA$4&gt;='2. Kalkyldata'!$M27),IF(BA$4="",0,IF(AND(BA$4&gt;='2. Kalkyldata'!$M27,'4. NPV'!BA$4&lt;='2. Kalkyldata'!$N27),'2. Kalkyldata'!$L27,'2. Kalkyldata'!$O27*'2. Kalkyldata'!$H27)),0)</f>
        <v>0</v>
      </c>
    </row>
    <row r="17" spans="2:54" s="19" customFormat="1" ht="15">
      <c r="B17" s="421" t="s">
        <v>228</v>
      </c>
      <c r="C17" s="422">
        <f>IFERROR(D17/C8,"")</f>
        <v>2650</v>
      </c>
      <c r="D17" s="423">
        <f>SUM(D12:D16)</f>
        <v>16165000</v>
      </c>
      <c r="E17" s="423">
        <f t="shared" ref="E17:BA17" si="5">SUM(E12:E16)</f>
        <v>16391310</v>
      </c>
      <c r="F17" s="423">
        <f t="shared" si="5"/>
        <v>16620788.340000002</v>
      </c>
      <c r="G17" s="423">
        <f t="shared" si="5"/>
        <v>16853479.376760002</v>
      </c>
      <c r="H17" s="423">
        <f t="shared" si="5"/>
        <v>17089428.088034645</v>
      </c>
      <c r="I17" s="423">
        <f t="shared" si="5"/>
        <v>17328680.08126713</v>
      </c>
      <c r="J17" s="423">
        <f t="shared" si="5"/>
        <v>17571281.60240487</v>
      </c>
      <c r="K17" s="423">
        <f t="shared" si="5"/>
        <v>17817279.54483854</v>
      </c>
      <c r="L17" s="423">
        <f t="shared" si="5"/>
        <v>18066721.458466284</v>
      </c>
      <c r="M17" s="423">
        <f t="shared" si="5"/>
        <v>18319655.558884811</v>
      </c>
      <c r="N17" s="423">
        <f t="shared" si="5"/>
        <v>18576130.7367092</v>
      </c>
      <c r="O17" s="423">
        <f t="shared" si="5"/>
        <v>18836196.567023128</v>
      </c>
      <c r="P17" s="423">
        <f t="shared" si="5"/>
        <v>19099903.318961456</v>
      </c>
      <c r="Q17" s="423">
        <f t="shared" si="5"/>
        <v>19367301.965426914</v>
      </c>
      <c r="R17" s="423">
        <f t="shared" si="5"/>
        <v>19638444.192942895</v>
      </c>
      <c r="S17" s="423">
        <f t="shared" si="5"/>
        <v>19913382.411644097</v>
      </c>
      <c r="T17" s="423">
        <f t="shared" si="5"/>
        <v>20192169.765407119</v>
      </c>
      <c r="U17" s="423">
        <f t="shared" si="5"/>
        <v>20474860.14212282</v>
      </c>
      <c r="V17" s="423">
        <f t="shared" si="5"/>
        <v>20761508.184112541</v>
      </c>
      <c r="W17" s="423">
        <f t="shared" si="5"/>
        <v>21052169.298690114</v>
      </c>
      <c r="X17" s="423">
        <f t="shared" si="5"/>
        <v>21346899.668871779</v>
      </c>
      <c r="Y17" s="423">
        <f t="shared" si="5"/>
        <v>0</v>
      </c>
      <c r="Z17" s="423">
        <f t="shared" si="5"/>
        <v>0</v>
      </c>
      <c r="AA17" s="423">
        <f t="shared" si="5"/>
        <v>0</v>
      </c>
      <c r="AB17" s="423">
        <f t="shared" si="5"/>
        <v>0</v>
      </c>
      <c r="AC17" s="423">
        <f t="shared" si="5"/>
        <v>0</v>
      </c>
      <c r="AD17" s="423">
        <f t="shared" si="5"/>
        <v>0</v>
      </c>
      <c r="AE17" s="423">
        <f t="shared" si="5"/>
        <v>0</v>
      </c>
      <c r="AF17" s="423">
        <f t="shared" si="5"/>
        <v>0</v>
      </c>
      <c r="AG17" s="423">
        <f t="shared" si="5"/>
        <v>0</v>
      </c>
      <c r="AH17" s="423">
        <f t="shared" si="5"/>
        <v>0</v>
      </c>
      <c r="AI17" s="423">
        <f t="shared" si="5"/>
        <v>0</v>
      </c>
      <c r="AJ17" s="423">
        <f t="shared" si="5"/>
        <v>0</v>
      </c>
      <c r="AK17" s="423">
        <f t="shared" si="5"/>
        <v>0</v>
      </c>
      <c r="AL17" s="423">
        <f t="shared" si="5"/>
        <v>0</v>
      </c>
      <c r="AM17" s="423">
        <f t="shared" si="5"/>
        <v>0</v>
      </c>
      <c r="AN17" s="423">
        <f t="shared" si="5"/>
        <v>0</v>
      </c>
      <c r="AO17" s="423">
        <f t="shared" si="5"/>
        <v>0</v>
      </c>
      <c r="AP17" s="423">
        <f t="shared" si="5"/>
        <v>0</v>
      </c>
      <c r="AQ17" s="423">
        <f t="shared" si="5"/>
        <v>0</v>
      </c>
      <c r="AR17" s="423">
        <f t="shared" si="5"/>
        <v>0</v>
      </c>
      <c r="AS17" s="423">
        <f t="shared" si="5"/>
        <v>0</v>
      </c>
      <c r="AT17" s="423">
        <f t="shared" si="5"/>
        <v>0</v>
      </c>
      <c r="AU17" s="423">
        <f t="shared" si="5"/>
        <v>0</v>
      </c>
      <c r="AV17" s="423">
        <f t="shared" si="5"/>
        <v>0</v>
      </c>
      <c r="AW17" s="423">
        <f t="shared" si="5"/>
        <v>0</v>
      </c>
      <c r="AX17" s="423">
        <f t="shared" si="5"/>
        <v>0</v>
      </c>
      <c r="AY17" s="423">
        <f t="shared" si="5"/>
        <v>0</v>
      </c>
      <c r="AZ17" s="423">
        <f t="shared" si="5"/>
        <v>0</v>
      </c>
      <c r="BA17" s="423">
        <f t="shared" si="5"/>
        <v>0</v>
      </c>
      <c r="BB17" s="504"/>
    </row>
    <row r="18" spans="2:54">
      <c r="B18" s="424" t="s">
        <v>229</v>
      </c>
      <c r="C18" s="425">
        <f>IFERROR(D18/$C$8,"")</f>
        <v>0</v>
      </c>
      <c r="D18" s="426">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6">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6">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6">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6">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6">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6">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6">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6">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6">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6">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6">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6">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6">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6">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6">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6">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6">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6">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6">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6">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6">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6">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6">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6">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6">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6">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6">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6">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6">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6">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6">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6">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6">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6">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6">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6">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6">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6">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6">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6">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6">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6">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6">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6">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6">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6">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6">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6">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6">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4"/>
    </row>
    <row r="19" spans="2:54" s="19" customFormat="1" ht="15">
      <c r="B19" s="421" t="s">
        <v>230</v>
      </c>
      <c r="C19" s="422">
        <f>IFERROR(D19/$C$8,"")</f>
        <v>2650</v>
      </c>
      <c r="D19" s="423">
        <f>D17+D18</f>
        <v>16165000</v>
      </c>
      <c r="E19" s="423">
        <f t="shared" ref="E19:BA19" si="6">E17+E18</f>
        <v>16391310</v>
      </c>
      <c r="F19" s="423">
        <f t="shared" si="6"/>
        <v>16620788.340000002</v>
      </c>
      <c r="G19" s="423">
        <f t="shared" si="6"/>
        <v>16853479.376760002</v>
      </c>
      <c r="H19" s="423">
        <f t="shared" si="6"/>
        <v>17089428.088034645</v>
      </c>
      <c r="I19" s="423">
        <f t="shared" si="6"/>
        <v>17328680.08126713</v>
      </c>
      <c r="J19" s="423">
        <f t="shared" si="6"/>
        <v>17571281.60240487</v>
      </c>
      <c r="K19" s="423">
        <f t="shared" si="6"/>
        <v>17817279.54483854</v>
      </c>
      <c r="L19" s="423">
        <f t="shared" si="6"/>
        <v>18066721.458466284</v>
      </c>
      <c r="M19" s="423">
        <f t="shared" si="6"/>
        <v>18319655.558884811</v>
      </c>
      <c r="N19" s="423">
        <f t="shared" si="6"/>
        <v>18576130.7367092</v>
      </c>
      <c r="O19" s="423">
        <f t="shared" si="6"/>
        <v>18836196.567023128</v>
      </c>
      <c r="P19" s="423">
        <f t="shared" si="6"/>
        <v>19099903.318961456</v>
      </c>
      <c r="Q19" s="423">
        <f t="shared" si="6"/>
        <v>19367301.965426914</v>
      </c>
      <c r="R19" s="423">
        <f t="shared" si="6"/>
        <v>19638444.192942895</v>
      </c>
      <c r="S19" s="423">
        <f t="shared" si="6"/>
        <v>19913382.411644097</v>
      </c>
      <c r="T19" s="423">
        <f t="shared" si="6"/>
        <v>20192169.765407119</v>
      </c>
      <c r="U19" s="423">
        <f t="shared" si="6"/>
        <v>20474860.14212282</v>
      </c>
      <c r="V19" s="423">
        <f t="shared" si="6"/>
        <v>20761508.184112541</v>
      </c>
      <c r="W19" s="423">
        <f t="shared" si="6"/>
        <v>21052169.298690114</v>
      </c>
      <c r="X19" s="423">
        <f t="shared" si="6"/>
        <v>21346899.668871779</v>
      </c>
      <c r="Y19" s="423">
        <f t="shared" si="6"/>
        <v>0</v>
      </c>
      <c r="Z19" s="423">
        <f t="shared" si="6"/>
        <v>0</v>
      </c>
      <c r="AA19" s="423">
        <f t="shared" si="6"/>
        <v>0</v>
      </c>
      <c r="AB19" s="423">
        <f t="shared" si="6"/>
        <v>0</v>
      </c>
      <c r="AC19" s="423">
        <f t="shared" si="6"/>
        <v>0</v>
      </c>
      <c r="AD19" s="423">
        <f t="shared" si="6"/>
        <v>0</v>
      </c>
      <c r="AE19" s="423">
        <f t="shared" si="6"/>
        <v>0</v>
      </c>
      <c r="AF19" s="423">
        <f t="shared" si="6"/>
        <v>0</v>
      </c>
      <c r="AG19" s="423">
        <f t="shared" si="6"/>
        <v>0</v>
      </c>
      <c r="AH19" s="423">
        <f t="shared" si="6"/>
        <v>0</v>
      </c>
      <c r="AI19" s="423">
        <f t="shared" si="6"/>
        <v>0</v>
      </c>
      <c r="AJ19" s="423">
        <f t="shared" si="6"/>
        <v>0</v>
      </c>
      <c r="AK19" s="423">
        <f t="shared" si="6"/>
        <v>0</v>
      </c>
      <c r="AL19" s="423">
        <f t="shared" si="6"/>
        <v>0</v>
      </c>
      <c r="AM19" s="423">
        <f t="shared" si="6"/>
        <v>0</v>
      </c>
      <c r="AN19" s="423">
        <f t="shared" si="6"/>
        <v>0</v>
      </c>
      <c r="AO19" s="423">
        <f t="shared" si="6"/>
        <v>0</v>
      </c>
      <c r="AP19" s="423">
        <f t="shared" si="6"/>
        <v>0</v>
      </c>
      <c r="AQ19" s="423">
        <f t="shared" si="6"/>
        <v>0</v>
      </c>
      <c r="AR19" s="423">
        <f t="shared" si="6"/>
        <v>0</v>
      </c>
      <c r="AS19" s="423">
        <f t="shared" si="6"/>
        <v>0</v>
      </c>
      <c r="AT19" s="423">
        <f t="shared" si="6"/>
        <v>0</v>
      </c>
      <c r="AU19" s="423">
        <f t="shared" si="6"/>
        <v>0</v>
      </c>
      <c r="AV19" s="423">
        <f t="shared" si="6"/>
        <v>0</v>
      </c>
      <c r="AW19" s="423">
        <f t="shared" si="6"/>
        <v>0</v>
      </c>
      <c r="AX19" s="423">
        <f t="shared" si="6"/>
        <v>0</v>
      </c>
      <c r="AY19" s="423">
        <f t="shared" si="6"/>
        <v>0</v>
      </c>
      <c r="AZ19" s="423">
        <f t="shared" si="6"/>
        <v>0</v>
      </c>
      <c r="BA19" s="423">
        <f t="shared" si="6"/>
        <v>0</v>
      </c>
      <c r="BB19" s="504"/>
    </row>
    <row r="20" spans="2:54" s="19" customFormat="1" ht="15">
      <c r="B20" s="229" t="s">
        <v>231</v>
      </c>
      <c r="C20" s="332">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4"/>
    </row>
    <row r="21" spans="2:54" s="19" customFormat="1" ht="15">
      <c r="B21" s="229" t="s">
        <v>232</v>
      </c>
      <c r="C21" s="332">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4"/>
    </row>
    <row r="22" spans="2:54" s="19" customFormat="1" ht="15">
      <c r="B22" s="229" t="s">
        <v>233</v>
      </c>
      <c r="C22" s="332">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4"/>
    </row>
    <row r="23" spans="2:54">
      <c r="B23" s="229" t="s">
        <v>234</v>
      </c>
      <c r="C23" s="332">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4"/>
    </row>
    <row r="24" spans="2:54">
      <c r="B24" s="229" t="s">
        <v>235</v>
      </c>
      <c r="C24" s="332">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4"/>
    </row>
    <row r="25" spans="2:54">
      <c r="B25" s="229" t="s">
        <v>236</v>
      </c>
      <c r="C25" s="332">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4"/>
    </row>
    <row r="26" spans="2:54" s="19" customFormat="1" ht="15">
      <c r="B26" s="421" t="s">
        <v>237</v>
      </c>
      <c r="C26" s="422">
        <f t="shared" si="7"/>
        <v>-405</v>
      </c>
      <c r="D26" s="423">
        <f>SUM(D20:D25)</f>
        <v>-2470500</v>
      </c>
      <c r="E26" s="423">
        <f t="shared" ref="E26:BA26" si="8">SUM(E20:E25)</f>
        <v>-2519910</v>
      </c>
      <c r="F26" s="423">
        <f t="shared" si="8"/>
        <v>-2570308.2000000002</v>
      </c>
      <c r="G26" s="423">
        <f t="shared" si="8"/>
        <v>-2621714.3639999996</v>
      </c>
      <c r="H26" s="423">
        <f t="shared" si="8"/>
        <v>-2674148.6512799999</v>
      </c>
      <c r="I26" s="423">
        <f t="shared" si="8"/>
        <v>-2727631.6243055998</v>
      </c>
      <c r="J26" s="423">
        <f t="shared" si="8"/>
        <v>-2782184.2567917123</v>
      </c>
      <c r="K26" s="423">
        <f t="shared" si="8"/>
        <v>-2837827.9419275457</v>
      </c>
      <c r="L26" s="423">
        <f t="shared" si="8"/>
        <v>-2894584.5007660971</v>
      </c>
      <c r="M26" s="423">
        <f t="shared" si="8"/>
        <v>-2952476.1907814187</v>
      </c>
      <c r="N26" s="423">
        <f t="shared" si="8"/>
        <v>-3011525.7145970473</v>
      </c>
      <c r="O26" s="423">
        <f t="shared" si="8"/>
        <v>-3071756.228888988</v>
      </c>
      <c r="P26" s="423">
        <f t="shared" si="8"/>
        <v>-3133191.3534667683</v>
      </c>
      <c r="Q26" s="423">
        <f t="shared" si="8"/>
        <v>-3195855.1805361034</v>
      </c>
      <c r="R26" s="423">
        <f t="shared" si="8"/>
        <v>-3259772.2841468258</v>
      </c>
      <c r="S26" s="423">
        <f t="shared" si="8"/>
        <v>-3324967.7298297612</v>
      </c>
      <c r="T26" s="423">
        <f t="shared" si="8"/>
        <v>-3391467.0844263569</v>
      </c>
      <c r="U26" s="423">
        <f t="shared" si="8"/>
        <v>-3459296.4261148847</v>
      </c>
      <c r="V26" s="423">
        <f t="shared" si="8"/>
        <v>-3528482.3546371819</v>
      </c>
      <c r="W26" s="423">
        <f t="shared" si="8"/>
        <v>-3599052.0017299252</v>
      </c>
      <c r="X26" s="423">
        <f t="shared" si="8"/>
        <v>-3671033.0417645243</v>
      </c>
      <c r="Y26" s="423">
        <f t="shared" si="8"/>
        <v>0</v>
      </c>
      <c r="Z26" s="423">
        <f t="shared" si="8"/>
        <v>0</v>
      </c>
      <c r="AA26" s="423">
        <f t="shared" si="8"/>
        <v>0</v>
      </c>
      <c r="AB26" s="423">
        <f t="shared" si="8"/>
        <v>0</v>
      </c>
      <c r="AC26" s="423">
        <f t="shared" si="8"/>
        <v>0</v>
      </c>
      <c r="AD26" s="423">
        <f t="shared" si="8"/>
        <v>0</v>
      </c>
      <c r="AE26" s="423">
        <f t="shared" si="8"/>
        <v>0</v>
      </c>
      <c r="AF26" s="423">
        <f t="shared" si="8"/>
        <v>0</v>
      </c>
      <c r="AG26" s="423">
        <f t="shared" si="8"/>
        <v>0</v>
      </c>
      <c r="AH26" s="423">
        <f t="shared" si="8"/>
        <v>0</v>
      </c>
      <c r="AI26" s="423">
        <f t="shared" si="8"/>
        <v>0</v>
      </c>
      <c r="AJ26" s="423">
        <f t="shared" si="8"/>
        <v>0</v>
      </c>
      <c r="AK26" s="423">
        <f t="shared" si="8"/>
        <v>0</v>
      </c>
      <c r="AL26" s="423">
        <f t="shared" si="8"/>
        <v>0</v>
      </c>
      <c r="AM26" s="423">
        <f t="shared" si="8"/>
        <v>0</v>
      </c>
      <c r="AN26" s="423">
        <f t="shared" si="8"/>
        <v>0</v>
      </c>
      <c r="AO26" s="423">
        <f t="shared" si="8"/>
        <v>0</v>
      </c>
      <c r="AP26" s="423">
        <f t="shared" si="8"/>
        <v>0</v>
      </c>
      <c r="AQ26" s="423">
        <f t="shared" si="8"/>
        <v>0</v>
      </c>
      <c r="AR26" s="423">
        <f t="shared" si="8"/>
        <v>0</v>
      </c>
      <c r="AS26" s="423">
        <f t="shared" si="8"/>
        <v>0</v>
      </c>
      <c r="AT26" s="423">
        <f t="shared" si="8"/>
        <v>0</v>
      </c>
      <c r="AU26" s="423">
        <f t="shared" si="8"/>
        <v>0</v>
      </c>
      <c r="AV26" s="423">
        <f t="shared" si="8"/>
        <v>0</v>
      </c>
      <c r="AW26" s="423">
        <f t="shared" si="8"/>
        <v>0</v>
      </c>
      <c r="AX26" s="423">
        <f t="shared" si="8"/>
        <v>0</v>
      </c>
      <c r="AY26" s="423">
        <f t="shared" si="8"/>
        <v>0</v>
      </c>
      <c r="AZ26" s="423">
        <f t="shared" si="8"/>
        <v>0</v>
      </c>
      <c r="BA26" s="423">
        <f t="shared" si="8"/>
        <v>0</v>
      </c>
      <c r="BB26" s="504"/>
    </row>
    <row r="27" spans="2:54" s="19" customFormat="1" ht="15">
      <c r="B27" s="229" t="s">
        <v>124</v>
      </c>
      <c r="C27" s="332">
        <f>IFERROR($D27/$C$8,"")</f>
        <v>0</v>
      </c>
      <c r="D27" s="333">
        <f>(IF(D$4="",0,-IF(LOOKUP(D$4,'2. Kalkyldata'!$P$5:$R$5,'2. Kalkyldata'!$P$7:$R$7)=0,0,LOOKUP(D$4,'2. Kalkyldata'!$P$5:$R$5,'2. Kalkyldata'!$P$7:$R$7)))*((1+'2. Kalkyldata'!$M$9)^(D$4-$D$4)))*'2. Kalkyldata'!$P$8</f>
        <v>0</v>
      </c>
      <c r="E27" s="333">
        <f>IF(E$4="",0,-IF(LOOKUP(E$4,'2. Kalkyldata'!$P$5:$R$5,'2. Kalkyldata'!$P$7:$R$7)=0,-D$27,LOOKUP(E$4,'2. Kalkyldata'!$P$5:$R$5,'2. Kalkyldata'!$P$7:$R$7))*((1+'2. Kalkyldata'!$M$9)^(E$4-$D$4)))*'2. Kalkyldata'!$P$8</f>
        <v>0</v>
      </c>
      <c r="F27" s="333">
        <f>IF(F$4="",0,-IF(LOOKUP(F$4,'2. Kalkyldata'!$P$5:$R$5,'2. Kalkyldata'!$P$7:$R$7)=0,-E$27,LOOKUP(F$4,'2. Kalkyldata'!$P$5:$R$5,'2. Kalkyldata'!$P$7:$R$7))*((1+'2. Kalkyldata'!$M$9)^(F$4-$D$4)))*'2. Kalkyldata'!$P$8</f>
        <v>0</v>
      </c>
      <c r="G27" s="333">
        <f>IF(G$4="",0,-IF(LOOKUP(G$4,'2. Kalkyldata'!$P$5:$R$5,'2. Kalkyldata'!$P$7:$R$7)=0,-F$27,LOOKUP(G$4,'2. Kalkyldata'!$P$5:$R$5,'2. Kalkyldata'!$P$7:$R$7))*((1+'2. Kalkyldata'!$M$9)^(G$4-$D$4)))*'2. Kalkyldata'!$P$8</f>
        <v>0</v>
      </c>
      <c r="H27" s="333">
        <f>IF(H$4="",0,-IF(LOOKUP(H$4,'2. Kalkyldata'!$P$5:$R$5,'2. Kalkyldata'!$P$7:$R$7)=0,-G$27,LOOKUP(H$4,'2. Kalkyldata'!$P$5:$R$5,'2. Kalkyldata'!$P$7:$R$7))*((1+'2. Kalkyldata'!$M$9)^(H$4-$D$4)))*'2. Kalkyldata'!$P$8</f>
        <v>0</v>
      </c>
      <c r="I27" s="333">
        <f>IF(I$4="",0,-IF(LOOKUP(I$4,'2. Kalkyldata'!$P$5:$R$5,'2. Kalkyldata'!$P$7:$R$7)=0,-H$27,LOOKUP(I$4,'2. Kalkyldata'!$P$5:$R$5,'2. Kalkyldata'!$P$7:$R$7))*((1+'2. Kalkyldata'!$M$9)^(I$4-$D$4)))*'2. Kalkyldata'!$P$8</f>
        <v>0</v>
      </c>
      <c r="J27" s="333">
        <f>IF(J$4="",0,-IF(LOOKUP(J$4,'2. Kalkyldata'!$P$5:$R$5,'2. Kalkyldata'!$P$7:$R$7)=0,-I$27,LOOKUP(J$4,'2. Kalkyldata'!$P$5:$R$5,'2. Kalkyldata'!$P$7:$R$7))*((1+'2. Kalkyldata'!$M$9)^(J$4-$D$4)))*'2. Kalkyldata'!$P$8</f>
        <v>0</v>
      </c>
      <c r="K27" s="333">
        <f>IF(K$4="",0,-IF(LOOKUP(K$4,'2. Kalkyldata'!$P$5:$R$5,'2. Kalkyldata'!$P$7:$R$7)=0,-J$27,LOOKUP(K$4,'2. Kalkyldata'!$P$5:$R$5,'2. Kalkyldata'!$P$7:$R$7))*((1+'2. Kalkyldata'!$M$9)^(K$4-$D$4)))*'2. Kalkyldata'!$P$8</f>
        <v>0</v>
      </c>
      <c r="L27" s="333">
        <f>IF(L$4="",0,-IF(LOOKUP(L$4,'2. Kalkyldata'!$P$5:$R$5,'2. Kalkyldata'!$P$7:$R$7)=0,-K$27,LOOKUP(L$4,'2. Kalkyldata'!$P$5:$R$5,'2. Kalkyldata'!$P$7:$R$7))*((1+'2. Kalkyldata'!$M$9)^(L$4-$D$4)))*'2. Kalkyldata'!$P$8</f>
        <v>0</v>
      </c>
      <c r="M27" s="333">
        <f>IF(M$4="",0,-IF(LOOKUP(M$4,'2. Kalkyldata'!$P$5:$R$5,'2. Kalkyldata'!$P$7:$R$7)=0,-L$27,LOOKUP(M$4,'2. Kalkyldata'!$P$5:$R$5,'2. Kalkyldata'!$P$7:$R$7))*((1+'2. Kalkyldata'!$M$9)^(M$4-$D$4)))*'2. Kalkyldata'!$P$8</f>
        <v>0</v>
      </c>
      <c r="N27" s="333">
        <f>IF(N$4="",0,-IF(LOOKUP(N$4,'2. Kalkyldata'!$P$5:$R$5,'2. Kalkyldata'!$P$7:$R$7)=0,-M$27,LOOKUP(N$4,'2. Kalkyldata'!$P$5:$R$5,'2. Kalkyldata'!$P$7:$R$7))*((1+'2. Kalkyldata'!$M$9)^(N$4-$D$4)))*'2. Kalkyldata'!$P$8</f>
        <v>0</v>
      </c>
      <c r="O27" s="333">
        <f>IF(O$4="",0,-IF(LOOKUP(O$4,'2. Kalkyldata'!$P$5:$R$5,'2. Kalkyldata'!$P$7:$R$7)=0,-N$27,LOOKUP(O$4,'2. Kalkyldata'!$P$5:$R$5,'2. Kalkyldata'!$P$7:$R$7))*((1+'2. Kalkyldata'!$M$9)^(O$4-$D$4)))*'2. Kalkyldata'!$P$8</f>
        <v>0</v>
      </c>
      <c r="P27" s="333">
        <f>IF(P$4="",0,-IF(LOOKUP(P$4,'2. Kalkyldata'!$P$5:$R$5,'2. Kalkyldata'!$P$7:$R$7)=0,-O$27,LOOKUP(P$4,'2. Kalkyldata'!$P$5:$R$5,'2. Kalkyldata'!$P$7:$R$7))*((1+'2. Kalkyldata'!$M$9)^(P$4-$D$4)))*'2. Kalkyldata'!$P$8</f>
        <v>0</v>
      </c>
      <c r="Q27" s="333">
        <f>IF(Q$4="",0,-IF(LOOKUP(Q$4,'2. Kalkyldata'!$P$5:$R$5,'2. Kalkyldata'!$P$7:$R$7)=0,-P$27,LOOKUP(Q$4,'2. Kalkyldata'!$P$5:$R$5,'2. Kalkyldata'!$P$7:$R$7))*((1+'2. Kalkyldata'!$M$9)^(Q$4-$D$4)))*'2. Kalkyldata'!$P$8</f>
        <v>0</v>
      </c>
      <c r="R27" s="333">
        <f>IF(R$4="",0,-IF(LOOKUP(R$4,'2. Kalkyldata'!$P$5:$R$5,'2. Kalkyldata'!$P$7:$R$7)=0,-Q$27,LOOKUP(R$4,'2. Kalkyldata'!$P$5:$R$5,'2. Kalkyldata'!$P$7:$R$7))*((1+'2. Kalkyldata'!$M$9)^(R$4-$D$4)))*'2. Kalkyldata'!$P$8</f>
        <v>0</v>
      </c>
      <c r="S27" s="333">
        <f>IF(S$4="",0,-IF(LOOKUP(S$4,'2. Kalkyldata'!$P$5:$R$5,'2. Kalkyldata'!$P$7:$R$7)=0,-R$27,LOOKUP(S$4,'2. Kalkyldata'!$P$5:$R$5,'2. Kalkyldata'!$P$7:$R$7))*((1+'2. Kalkyldata'!$M$9)^(S$4-$D$4)))*'2. Kalkyldata'!$P$8</f>
        <v>0</v>
      </c>
      <c r="T27" s="333">
        <f>IF(T$4="",0,-IF(LOOKUP(T$4,'2. Kalkyldata'!$P$5:$R$5,'2. Kalkyldata'!$P$7:$R$7)=0,-S$27,LOOKUP(T$4,'2. Kalkyldata'!$P$5:$R$5,'2. Kalkyldata'!$P$7:$R$7))*((1+'2. Kalkyldata'!$M$9)^(T$4-$D$4)))*'2. Kalkyldata'!$P$8</f>
        <v>0</v>
      </c>
      <c r="U27" s="333">
        <f>IF(U$4="",0,-IF(LOOKUP(U$4,'2. Kalkyldata'!$P$5:$R$5,'2. Kalkyldata'!$P$7:$R$7)=0,-T$27,LOOKUP(U$4,'2. Kalkyldata'!$P$5:$R$5,'2. Kalkyldata'!$P$7:$R$7))*((1+'2. Kalkyldata'!$M$9)^(U$4-$D$4)))*'2. Kalkyldata'!$P$8</f>
        <v>0</v>
      </c>
      <c r="V27" s="333">
        <f>IF(V$4="",0,-IF(LOOKUP(V$4,'2. Kalkyldata'!$P$5:$R$5,'2. Kalkyldata'!$P$7:$R$7)=0,-U$27,LOOKUP(V$4,'2. Kalkyldata'!$P$5:$R$5,'2. Kalkyldata'!$P$7:$R$7))*((1+'2. Kalkyldata'!$M$9)^(V$4-$D$4)))*'2. Kalkyldata'!$P$8</f>
        <v>0</v>
      </c>
      <c r="W27" s="333">
        <f>IF(W$4="",0,-IF(LOOKUP(W$4,'2. Kalkyldata'!$P$5:$R$5,'2. Kalkyldata'!$P$7:$R$7)=0,-V$27,LOOKUP(W$4,'2. Kalkyldata'!$P$5:$R$5,'2. Kalkyldata'!$P$7:$R$7))*((1+'2. Kalkyldata'!$M$9)^(W$4-$D$4)))*'2. Kalkyldata'!$P$8</f>
        <v>0</v>
      </c>
      <c r="X27" s="333">
        <f>IF(X$4="",0,-IF(LOOKUP(X$4,'2. Kalkyldata'!$P$5:$R$5,'2. Kalkyldata'!$P$7:$R$7)=0,-W$27,LOOKUP(X$4,'2. Kalkyldata'!$P$5:$R$5,'2. Kalkyldata'!$P$7:$R$7))*((1+'2. Kalkyldata'!$M$9)^(X$4-$D$4)))*'2. Kalkyldata'!$P$8</f>
        <v>0</v>
      </c>
      <c r="Y27" s="333">
        <f>IF(Y$4="",0,-IF(LOOKUP(Y$4,'2. Kalkyldata'!$P$5:$R$5,'2. Kalkyldata'!$P$7:$R$7)=0,-X$27,LOOKUP(Y$4,'2. Kalkyldata'!$P$5:$R$5,'2. Kalkyldata'!$P$7:$R$7))*((1+'2. Kalkyldata'!$M$9)^(Y$4-$D$4)))*'2. Kalkyldata'!$P$8</f>
        <v>0</v>
      </c>
      <c r="Z27" s="333">
        <f>IF(Z$4="",0,-IF(LOOKUP(Z$4,'2. Kalkyldata'!$P$5:$R$5,'2. Kalkyldata'!$P$7:$R$7)=0,-Y$27,LOOKUP(Z$4,'2. Kalkyldata'!$P$5:$R$5,'2. Kalkyldata'!$P$7:$R$7))*((1+'2. Kalkyldata'!$M$9)^(Z$4-$D$4)))*'2. Kalkyldata'!$P$8</f>
        <v>0</v>
      </c>
      <c r="AA27" s="333">
        <f>IF(AA$4="",0,-IF(LOOKUP(AA$4,'2. Kalkyldata'!$P$5:$R$5,'2. Kalkyldata'!$P$7:$R$7)=0,-Z$27,LOOKUP(AA$4,'2. Kalkyldata'!$P$5:$R$5,'2. Kalkyldata'!$P$7:$R$7))*((1+'2. Kalkyldata'!$M$9)^(AA$4-$D$4)))*'2. Kalkyldata'!$P$8</f>
        <v>0</v>
      </c>
      <c r="AB27" s="333">
        <f>IF(AB$4="",0,-IF(LOOKUP(AB$4,'2. Kalkyldata'!$P$5:$R$5,'2. Kalkyldata'!$P$7:$R$7)=0,-AA$27,LOOKUP(AB$4,'2. Kalkyldata'!$P$5:$R$5,'2. Kalkyldata'!$P$7:$R$7))*((1+'2. Kalkyldata'!$M$9)^(AB$4-$D$4)))*'2. Kalkyldata'!$P$8</f>
        <v>0</v>
      </c>
      <c r="AC27" s="333">
        <f>IF(AC$4="",0,-IF(LOOKUP(AC$4,'2. Kalkyldata'!$P$5:$R$5,'2. Kalkyldata'!$P$7:$R$7)=0,-AB$27,LOOKUP(AC$4,'2. Kalkyldata'!$P$5:$R$5,'2. Kalkyldata'!$P$7:$R$7))*((1+'2. Kalkyldata'!$M$9)^(AC$4-$D$4)))*'2. Kalkyldata'!$P$8</f>
        <v>0</v>
      </c>
      <c r="AD27" s="333">
        <f>IF(AD$4="",0,-IF(LOOKUP(AD$4,'2. Kalkyldata'!$P$5:$R$5,'2. Kalkyldata'!$P$7:$R$7)=0,-AC$27,LOOKUP(AD$4,'2. Kalkyldata'!$P$5:$R$5,'2. Kalkyldata'!$P$7:$R$7))*((1+'2. Kalkyldata'!$M$9)^(AD$4-$D$4)))*'2. Kalkyldata'!$P$8</f>
        <v>0</v>
      </c>
      <c r="AE27" s="333">
        <f>IF(AE$4="",0,-IF(LOOKUP(AE$4,'2. Kalkyldata'!$P$5:$R$5,'2. Kalkyldata'!$P$7:$R$7)=0,-AD$27,LOOKUP(AE$4,'2. Kalkyldata'!$P$5:$R$5,'2. Kalkyldata'!$P$7:$R$7))*((1+'2. Kalkyldata'!$M$9)^(AE$4-$D$4)))*'2. Kalkyldata'!$P$8</f>
        <v>0</v>
      </c>
      <c r="AF27" s="333">
        <f>IF(AF$4="",0,-IF(LOOKUP(AF$4,'2. Kalkyldata'!$P$5:$R$5,'2. Kalkyldata'!$P$7:$R$7)=0,-AE$27,LOOKUP(AF$4,'2. Kalkyldata'!$P$5:$R$5,'2. Kalkyldata'!$P$7:$R$7))*((1+'2. Kalkyldata'!$M$9)^(AF$4-$D$4)))*'2. Kalkyldata'!$P$8</f>
        <v>0</v>
      </c>
      <c r="AG27" s="333">
        <f>IF(AG$4="",0,-IF(LOOKUP(AG$4,'2. Kalkyldata'!$P$5:$R$5,'2. Kalkyldata'!$P$7:$R$7)=0,-AF$27,LOOKUP(AG$4,'2. Kalkyldata'!$P$5:$R$5,'2. Kalkyldata'!$P$7:$R$7))*((1+'2. Kalkyldata'!$M$9)^(AG$4-$D$4)))*'2. Kalkyldata'!$P$8</f>
        <v>0</v>
      </c>
      <c r="AH27" s="333">
        <f>IF(AH$4="",0,-IF(LOOKUP(AH$4,'2. Kalkyldata'!$P$5:$R$5,'2. Kalkyldata'!$P$7:$R$7)=0,-AG$27,LOOKUP(AH$4,'2. Kalkyldata'!$P$5:$R$5,'2. Kalkyldata'!$P$7:$R$7))*((1+'2. Kalkyldata'!$M$9)^(AH$4-$D$4)))*'2. Kalkyldata'!$P$8</f>
        <v>0</v>
      </c>
      <c r="AI27" s="333">
        <f>IF(AI$4="",0,-IF(LOOKUP(AI$4,'2. Kalkyldata'!$P$5:$R$5,'2. Kalkyldata'!$P$7:$R$7)=0,-AH$27,LOOKUP(AI$4,'2. Kalkyldata'!$P$5:$R$5,'2. Kalkyldata'!$P$7:$R$7))*((1+'2. Kalkyldata'!$M$9)^(AI$4-$D$4)))*'2. Kalkyldata'!$P$8</f>
        <v>0</v>
      </c>
      <c r="AJ27" s="333">
        <f>IF(AJ$4="",0,-IF(LOOKUP(AJ$4,'2. Kalkyldata'!$P$5:$R$5,'2. Kalkyldata'!$P$7:$R$7)=0,-AI$27,LOOKUP(AJ$4,'2. Kalkyldata'!$P$5:$R$5,'2. Kalkyldata'!$P$7:$R$7))*((1+'2. Kalkyldata'!$M$9)^(AJ$4-$D$4)))*'2. Kalkyldata'!$P$8</f>
        <v>0</v>
      </c>
      <c r="AK27" s="333">
        <f>IF(AK$4="",0,-IF(LOOKUP(AK$4,'2. Kalkyldata'!$P$5:$R$5,'2. Kalkyldata'!$P$7:$R$7)=0,-AJ$27,LOOKUP(AK$4,'2. Kalkyldata'!$P$5:$R$5,'2. Kalkyldata'!$P$7:$R$7))*((1+'2. Kalkyldata'!$M$9)^(AK$4-$D$4)))*'2. Kalkyldata'!$P$8</f>
        <v>0</v>
      </c>
      <c r="AL27" s="333">
        <f>IF(AL$4="",0,-IF(LOOKUP(AL$4,'2. Kalkyldata'!$P$5:$R$5,'2. Kalkyldata'!$P$7:$R$7)=0,-AK$27,LOOKUP(AL$4,'2. Kalkyldata'!$P$5:$R$5,'2. Kalkyldata'!$P$7:$R$7))*((1+'2. Kalkyldata'!$M$9)^(AL$4-$D$4)))*'2. Kalkyldata'!$P$8</f>
        <v>0</v>
      </c>
      <c r="AM27" s="333">
        <f>IF(AM$4="",0,-IF(LOOKUP(AM$4,'2. Kalkyldata'!$P$5:$R$5,'2. Kalkyldata'!$P$7:$R$7)=0,-AL$27,LOOKUP(AM$4,'2. Kalkyldata'!$P$5:$R$5,'2. Kalkyldata'!$P$7:$R$7))*((1+'2. Kalkyldata'!$M$9)^(AM$4-$D$4)))*'2. Kalkyldata'!$P$8</f>
        <v>0</v>
      </c>
      <c r="AN27" s="333">
        <f>IF(AN$4="",0,-IF(LOOKUP(AN$4,'2. Kalkyldata'!$P$5:$R$5,'2. Kalkyldata'!$P$7:$R$7)=0,-AM$27,LOOKUP(AN$4,'2. Kalkyldata'!$P$5:$R$5,'2. Kalkyldata'!$P$7:$R$7))*((1+'2. Kalkyldata'!$M$9)^(AN$4-$D$4)))*'2. Kalkyldata'!$P$8</f>
        <v>0</v>
      </c>
      <c r="AO27" s="333">
        <f>IF(AO$4="",0,-IF(LOOKUP(AO$4,'2. Kalkyldata'!$P$5:$R$5,'2. Kalkyldata'!$P$7:$R$7)=0,-AN$27,LOOKUP(AO$4,'2. Kalkyldata'!$P$5:$R$5,'2. Kalkyldata'!$P$7:$R$7))*((1+'2. Kalkyldata'!$M$9)^(AO$4-$D$4)))*'2. Kalkyldata'!$P$8</f>
        <v>0</v>
      </c>
      <c r="AP27" s="333">
        <f>IF(AP$4="",0,-IF(LOOKUP(AP$4,'2. Kalkyldata'!$P$5:$R$5,'2. Kalkyldata'!$P$7:$R$7)=0,-AO$27,LOOKUP(AP$4,'2. Kalkyldata'!$P$5:$R$5,'2. Kalkyldata'!$P$7:$R$7))*((1+'2. Kalkyldata'!$M$9)^(AP$4-$D$4)))*'2. Kalkyldata'!$P$8</f>
        <v>0</v>
      </c>
      <c r="AQ27" s="333">
        <f>IF(AQ$4="",0,-IF(LOOKUP(AQ$4,'2. Kalkyldata'!$P$5:$R$5,'2. Kalkyldata'!$P$7:$R$7)=0,-AP$27,LOOKUP(AQ$4,'2. Kalkyldata'!$P$5:$R$5,'2. Kalkyldata'!$P$7:$R$7))*((1+'2. Kalkyldata'!$M$9)^(AQ$4-$D$4)))*'2. Kalkyldata'!$P$8</f>
        <v>0</v>
      </c>
      <c r="AR27" s="333">
        <f>IF(AR$4="",0,-IF(LOOKUP(AR$4,'2. Kalkyldata'!$P$5:$R$5,'2. Kalkyldata'!$P$7:$R$7)=0,-AQ$27,LOOKUP(AR$4,'2. Kalkyldata'!$P$5:$R$5,'2. Kalkyldata'!$P$7:$R$7))*((1+'2. Kalkyldata'!$M$9)^(AR$4-$D$4)))*'2. Kalkyldata'!$P$8</f>
        <v>0</v>
      </c>
      <c r="AS27" s="333">
        <f>IF(AS$4="",0,-IF(LOOKUP(AS$4,'2. Kalkyldata'!$P$5:$R$5,'2. Kalkyldata'!$P$7:$R$7)=0,-AR$27,LOOKUP(AS$4,'2. Kalkyldata'!$P$5:$R$5,'2. Kalkyldata'!$P$7:$R$7))*((1+'2. Kalkyldata'!$M$9)^(AS$4-$D$4)))*'2. Kalkyldata'!$P$8</f>
        <v>0</v>
      </c>
      <c r="AT27" s="333">
        <f>IF(AT$4="",0,-IF(LOOKUP(AT$4,'2. Kalkyldata'!$P$5:$R$5,'2. Kalkyldata'!$P$7:$R$7)=0,-AS$27,LOOKUP(AT$4,'2. Kalkyldata'!$P$5:$R$5,'2. Kalkyldata'!$P$7:$R$7))*((1+'2. Kalkyldata'!$M$9)^(AT$4-$D$4)))*'2. Kalkyldata'!$P$8</f>
        <v>0</v>
      </c>
      <c r="AU27" s="333">
        <f>IF(AU$4="",0,-IF(LOOKUP(AU$4,'2. Kalkyldata'!$P$5:$R$5,'2. Kalkyldata'!$P$7:$R$7)=0,-AT$27,LOOKUP(AU$4,'2. Kalkyldata'!$P$5:$R$5,'2. Kalkyldata'!$P$7:$R$7))*((1+'2. Kalkyldata'!$M$9)^(AU$4-$D$4)))*'2. Kalkyldata'!$P$8</f>
        <v>0</v>
      </c>
      <c r="AV27" s="333">
        <f>IF(AV$4="",0,-IF(LOOKUP(AV$4,'2. Kalkyldata'!$P$5:$R$5,'2. Kalkyldata'!$P$7:$R$7)=0,-AU$27,LOOKUP(AV$4,'2. Kalkyldata'!$P$5:$R$5,'2. Kalkyldata'!$P$7:$R$7))*((1+'2. Kalkyldata'!$M$9)^(AV$4-$D$4)))*'2. Kalkyldata'!$P$8</f>
        <v>0</v>
      </c>
      <c r="AW27" s="333">
        <f>IF(AW$4="",0,-IF(LOOKUP(AW$4,'2. Kalkyldata'!$P$5:$R$5,'2. Kalkyldata'!$P$7:$R$7)=0,-AV$27,LOOKUP(AW$4,'2. Kalkyldata'!$P$5:$R$5,'2. Kalkyldata'!$P$7:$R$7))*((1+'2. Kalkyldata'!$M$9)^(AW$4-$D$4)))*'2. Kalkyldata'!$P$8</f>
        <v>0</v>
      </c>
      <c r="AX27" s="333">
        <f>IF(AX$4="",0,-IF(LOOKUP(AX$4,'2. Kalkyldata'!$P$5:$R$5,'2. Kalkyldata'!$P$7:$R$7)=0,-AW$27,LOOKUP(AX$4,'2. Kalkyldata'!$P$5:$R$5,'2. Kalkyldata'!$P$7:$R$7))*((1+'2. Kalkyldata'!$M$9)^(AX$4-$D$4)))*'2. Kalkyldata'!$P$8</f>
        <v>0</v>
      </c>
      <c r="AY27" s="333">
        <f>IF(AY$4="",0,-IF(LOOKUP(AY$4,'2. Kalkyldata'!$P$5:$R$5,'2. Kalkyldata'!$P$7:$R$7)=0,-AX$27,LOOKUP(AY$4,'2. Kalkyldata'!$P$5:$R$5,'2. Kalkyldata'!$P$7:$R$7))*((1+'2. Kalkyldata'!$M$9)^(AY$4-$D$4)))*'2. Kalkyldata'!$P$8</f>
        <v>0</v>
      </c>
      <c r="AZ27" s="333">
        <f>IF(AZ$4="",0,-IF(LOOKUP(AZ$4,'2. Kalkyldata'!$P$5:$R$5,'2. Kalkyldata'!$P$7:$R$7)=0,-AY$27,LOOKUP(AZ$4,'2. Kalkyldata'!$P$5:$R$5,'2. Kalkyldata'!$P$7:$R$7))*((1+'2. Kalkyldata'!$M$9)^(AZ$4-$D$4)))*'2. Kalkyldata'!$P$8</f>
        <v>0</v>
      </c>
      <c r="BA27" s="333">
        <f>IF(BA$4="",0,-IF(LOOKUP(BA$4,'2. Kalkyldata'!$P$5:$R$5,'2. Kalkyldata'!$P$7:$R$7)=0,-AZ$27,LOOKUP(BA$4,'2. Kalkyldata'!$P$5:$R$5,'2. Kalkyldata'!$P$7:$R$7))*((1+'2. Kalkyldata'!$M$9)^(BA$4-$D$4)))*'2. Kalkyldata'!$P$8</f>
        <v>0</v>
      </c>
    </row>
    <row r="28" spans="2:54" s="19" customFormat="1" ht="15">
      <c r="B28" s="229" t="s">
        <v>115</v>
      </c>
      <c r="C28" s="332">
        <f>IFERROR($D28/$C$8,"")</f>
        <v>0</v>
      </c>
      <c r="D28" s="333">
        <f>IF(D$4="",0,-IF(LOOKUP(D$4,'2. Kalkyldata'!$P$5:$R$5,'2. Kalkyldata'!$P$6:$R$6)=0,0,LOOKUP(D$4,'2. Kalkyldata'!$P$5:$R$5,'2. Kalkyldata'!$P$6:$R$6)))</f>
        <v>0</v>
      </c>
      <c r="E28" s="333">
        <f>IF(E$4="",0,-IF(LOOKUP(E$4,'2. Kalkyldata'!$P$5:$R$5,'2. Kalkyldata'!$P$6:$R$6)=0,-D$28,LOOKUP(E$4,'2. Kalkyldata'!$P$5:$R$5,'2. Kalkyldata'!$P$6:$R$6)))</f>
        <v>0</v>
      </c>
      <c r="F28" s="333">
        <f>IF(F$4="",0,-IF(LOOKUP(F$4,'2. Kalkyldata'!$P$5:$R$5,'2. Kalkyldata'!$P$6:$R$6)=0,-E$28,LOOKUP(F$4,'2. Kalkyldata'!$P$5:$R$5,'2. Kalkyldata'!$P$6:$R$6)))</f>
        <v>0</v>
      </c>
      <c r="G28" s="333">
        <f>IF(G$4="",0,-IF(LOOKUP(G$4,'2. Kalkyldata'!$P$5:$R$5,'2. Kalkyldata'!$P$6:$R$6)=0,-F$28,LOOKUP(G$4,'2. Kalkyldata'!$P$5:$R$5,'2. Kalkyldata'!$P$6:$R$6)))</f>
        <v>0</v>
      </c>
      <c r="H28" s="333">
        <f>IF(H$4="",0,-IF(LOOKUP(H$4,'2. Kalkyldata'!$P$5:$R$5,'2. Kalkyldata'!$P$6:$R$6)=0,-G$28,LOOKUP(H$4,'2. Kalkyldata'!$P$5:$R$5,'2. Kalkyldata'!$P$6:$R$6)))</f>
        <v>0</v>
      </c>
      <c r="I28" s="333">
        <f>IF(I$4="",0,-IF(LOOKUP(I$4,'2. Kalkyldata'!$P$5:$R$5,'2. Kalkyldata'!$P$6:$R$6)=0,-H$28,LOOKUP(I$4,'2. Kalkyldata'!$P$5:$R$5,'2. Kalkyldata'!$P$6:$R$6)))</f>
        <v>0</v>
      </c>
      <c r="J28" s="333">
        <f>IF(J$4="",0,-IF(LOOKUP(J$4,'2. Kalkyldata'!$P$5:$R$5,'2. Kalkyldata'!$P$6:$R$6)=0,-I$28,LOOKUP(J$4,'2. Kalkyldata'!$P$5:$R$5,'2. Kalkyldata'!$P$6:$R$6)))</f>
        <v>0</v>
      </c>
      <c r="K28" s="333">
        <f>IF(K$4="",0,-IF(LOOKUP(K$4,'2. Kalkyldata'!$P$5:$R$5,'2. Kalkyldata'!$P$6:$R$6)=0,-J$28,LOOKUP(K$4,'2. Kalkyldata'!$P$5:$R$5,'2. Kalkyldata'!$P$6:$R$6)))</f>
        <v>0</v>
      </c>
      <c r="L28" s="333">
        <f>IF(L$4="",0,-IF(LOOKUP(L$4,'2. Kalkyldata'!$P$5:$R$5,'2. Kalkyldata'!$P$6:$R$6)=0,-K$28,LOOKUP(L$4,'2. Kalkyldata'!$P$5:$R$5,'2. Kalkyldata'!$P$6:$R$6)))</f>
        <v>0</v>
      </c>
      <c r="M28" s="333">
        <f>IF(M$4="",0,-IF(LOOKUP(M$4,'2. Kalkyldata'!$P$5:$R$5,'2. Kalkyldata'!$P$6:$R$6)=0,-L$28,LOOKUP(M$4,'2. Kalkyldata'!$P$5:$R$5,'2. Kalkyldata'!$P$6:$R$6)))</f>
        <v>0</v>
      </c>
      <c r="N28" s="333">
        <f>IF(N$4="",0,-IF(LOOKUP(N$4,'2. Kalkyldata'!$P$5:$R$5,'2. Kalkyldata'!$P$6:$R$6)=0,-M$28,LOOKUP(N$4,'2. Kalkyldata'!$P$5:$R$5,'2. Kalkyldata'!$P$6:$R$6)))</f>
        <v>0</v>
      </c>
      <c r="O28" s="333">
        <f>IF(O$4="",0,-IF(LOOKUP(O$4,'2. Kalkyldata'!$P$5:$R$5,'2. Kalkyldata'!$P$6:$R$6)=0,-N$28,LOOKUP(O$4,'2. Kalkyldata'!$P$5:$R$5,'2. Kalkyldata'!$P$6:$R$6)))</f>
        <v>0</v>
      </c>
      <c r="P28" s="333">
        <f>IF(P$4="",0,-IF(LOOKUP(P$4,'2. Kalkyldata'!$P$5:$R$5,'2. Kalkyldata'!$P$6:$R$6)=0,-O$28,LOOKUP(P$4,'2. Kalkyldata'!$P$5:$R$5,'2. Kalkyldata'!$P$6:$R$6)))</f>
        <v>0</v>
      </c>
      <c r="Q28" s="333">
        <f>IF(Q$4="",0,-IF(LOOKUP(Q$4,'2. Kalkyldata'!$P$5:$R$5,'2. Kalkyldata'!$P$6:$R$6)=0,-P$28,LOOKUP(Q$4,'2. Kalkyldata'!$P$5:$R$5,'2. Kalkyldata'!$P$6:$R$6)))</f>
        <v>0</v>
      </c>
      <c r="R28" s="333">
        <f>IF(R$4="",0,-IF(LOOKUP(R$4,'2. Kalkyldata'!$P$5:$R$5,'2. Kalkyldata'!$P$6:$R$6)=0,-Q$28,LOOKUP(R$4,'2. Kalkyldata'!$P$5:$R$5,'2. Kalkyldata'!$P$6:$R$6)))</f>
        <v>0</v>
      </c>
      <c r="S28" s="333">
        <f>IF(S$4="",0,-IF(LOOKUP(S$4,'2. Kalkyldata'!$P$5:$R$5,'2. Kalkyldata'!$P$6:$R$6)=0,-R$28,LOOKUP(S$4,'2. Kalkyldata'!$P$5:$R$5,'2. Kalkyldata'!$P$6:$R$6)))</f>
        <v>0</v>
      </c>
      <c r="T28" s="333">
        <f>IF(T$4="",0,-IF(LOOKUP(T$4,'2. Kalkyldata'!$P$5:$R$5,'2. Kalkyldata'!$P$6:$R$6)=0,-S$28,LOOKUP(T$4,'2. Kalkyldata'!$P$5:$R$5,'2. Kalkyldata'!$P$6:$R$6)))</f>
        <v>0</v>
      </c>
      <c r="U28" s="333">
        <f>IF(U$4="",0,-IF(LOOKUP(U$4,'2. Kalkyldata'!$P$5:$R$5,'2. Kalkyldata'!$P$6:$R$6)=0,-T$28,LOOKUP(U$4,'2. Kalkyldata'!$P$5:$R$5,'2. Kalkyldata'!$P$6:$R$6)))</f>
        <v>0</v>
      </c>
      <c r="V28" s="333">
        <f>IF(V$4="",0,-IF(LOOKUP(V$4,'2. Kalkyldata'!$P$5:$R$5,'2. Kalkyldata'!$P$6:$R$6)=0,-U$28,LOOKUP(V$4,'2. Kalkyldata'!$P$5:$R$5,'2. Kalkyldata'!$P$6:$R$6)))</f>
        <v>0</v>
      </c>
      <c r="W28" s="333">
        <f>IF(W$4="",0,-IF(LOOKUP(W$4,'2. Kalkyldata'!$P$5:$R$5,'2. Kalkyldata'!$P$6:$R$6)=0,-V$28,LOOKUP(W$4,'2. Kalkyldata'!$P$5:$R$5,'2. Kalkyldata'!$P$6:$R$6)))</f>
        <v>0</v>
      </c>
      <c r="X28" s="333">
        <f>IF(X$4="",0,-IF(LOOKUP(X$4,'2. Kalkyldata'!$P$5:$R$5,'2. Kalkyldata'!$P$6:$R$6)=0,-W$28,LOOKUP(X$4,'2. Kalkyldata'!$P$5:$R$5,'2. Kalkyldata'!$P$6:$R$6)))</f>
        <v>0</v>
      </c>
      <c r="Y28" s="333">
        <f>IF(Y$4="",0,-IF(LOOKUP(Y$4,'2. Kalkyldata'!$P$5:$R$5,'2. Kalkyldata'!$P$6:$R$6)=0,-X$28,LOOKUP(Y$4,'2. Kalkyldata'!$P$5:$R$5,'2. Kalkyldata'!$P$6:$R$6)))</f>
        <v>0</v>
      </c>
      <c r="Z28" s="333">
        <f>IF(Z$4="",0,-IF(LOOKUP(Z$4,'2. Kalkyldata'!$P$5:$R$5,'2. Kalkyldata'!$P$6:$R$6)=0,-Y$28,LOOKUP(Z$4,'2. Kalkyldata'!$P$5:$R$5,'2. Kalkyldata'!$P$6:$R$6)))</f>
        <v>0</v>
      </c>
      <c r="AA28" s="333">
        <f>IF(AA$4="",0,-IF(LOOKUP(AA$4,'2. Kalkyldata'!$P$5:$R$5,'2. Kalkyldata'!$P$6:$R$6)=0,-Z$28,LOOKUP(AA$4,'2. Kalkyldata'!$P$5:$R$5,'2. Kalkyldata'!$P$6:$R$6)))</f>
        <v>0</v>
      </c>
      <c r="AB28" s="333">
        <f>IF(AB$4="",0,-IF(LOOKUP(AB$4,'2. Kalkyldata'!$P$5:$R$5,'2. Kalkyldata'!$P$6:$R$6)=0,-AA$28,LOOKUP(AB$4,'2. Kalkyldata'!$P$5:$R$5,'2. Kalkyldata'!$P$6:$R$6)))</f>
        <v>0</v>
      </c>
      <c r="AC28" s="333">
        <f>IF(AC$4="",0,-IF(LOOKUP(AC$4,'2. Kalkyldata'!$P$5:$R$5,'2. Kalkyldata'!$P$6:$R$6)=0,-AB$28,LOOKUP(AC$4,'2. Kalkyldata'!$P$5:$R$5,'2. Kalkyldata'!$P$6:$R$6)))</f>
        <v>0</v>
      </c>
      <c r="AD28" s="333">
        <f>IF(AD$4="",0,-IF(LOOKUP(AD$4,'2. Kalkyldata'!$P$5:$R$5,'2. Kalkyldata'!$P$6:$R$6)=0,-AC$28,LOOKUP(AD$4,'2. Kalkyldata'!$P$5:$R$5,'2. Kalkyldata'!$P$6:$R$6)))</f>
        <v>0</v>
      </c>
      <c r="AE28" s="333">
        <f>IF(AE$4="",0,-IF(LOOKUP(AE$4,'2. Kalkyldata'!$P$5:$R$5,'2. Kalkyldata'!$P$6:$R$6)=0,-AD$28,LOOKUP(AE$4,'2. Kalkyldata'!$P$5:$R$5,'2. Kalkyldata'!$P$6:$R$6)))</f>
        <v>0</v>
      </c>
      <c r="AF28" s="333">
        <f>IF(AF$4="",0,-IF(LOOKUP(AF$4,'2. Kalkyldata'!$P$5:$R$5,'2. Kalkyldata'!$P$6:$R$6)=0,-AE$28,LOOKUP(AF$4,'2. Kalkyldata'!$P$5:$R$5,'2. Kalkyldata'!$P$6:$R$6)))</f>
        <v>0</v>
      </c>
      <c r="AG28" s="333">
        <f>IF(AG$4="",0,-IF(LOOKUP(AG$4,'2. Kalkyldata'!$P$5:$R$5,'2. Kalkyldata'!$P$6:$R$6)=0,-AF$28,LOOKUP(AG$4,'2. Kalkyldata'!$P$5:$R$5,'2. Kalkyldata'!$P$6:$R$6)))</f>
        <v>0</v>
      </c>
      <c r="AH28" s="333">
        <f>IF(AH$4="",0,-IF(LOOKUP(AH$4,'2. Kalkyldata'!$P$5:$R$5,'2. Kalkyldata'!$P$6:$R$6)=0,-AG$28,LOOKUP(AH$4,'2. Kalkyldata'!$P$5:$R$5,'2. Kalkyldata'!$P$6:$R$6)))</f>
        <v>0</v>
      </c>
      <c r="AI28" s="333">
        <f>IF(AI$4="",0,-IF(LOOKUP(AI$4,'2. Kalkyldata'!$P$5:$R$5,'2. Kalkyldata'!$P$6:$R$6)=0,-AH$28,LOOKUP(AI$4,'2. Kalkyldata'!$P$5:$R$5,'2. Kalkyldata'!$P$6:$R$6)))</f>
        <v>0</v>
      </c>
      <c r="AJ28" s="333">
        <f>IF(AJ$4="",0,-IF(LOOKUP(AJ$4,'2. Kalkyldata'!$P$5:$R$5,'2. Kalkyldata'!$P$6:$R$6)=0,-AI$28,LOOKUP(AJ$4,'2. Kalkyldata'!$P$5:$R$5,'2. Kalkyldata'!$P$6:$R$6)))</f>
        <v>0</v>
      </c>
      <c r="AK28" s="333">
        <f>IF(AK$4="",0,-IF(LOOKUP(AK$4,'2. Kalkyldata'!$P$5:$R$5,'2. Kalkyldata'!$P$6:$R$6)=0,-AJ$28,LOOKUP(AK$4,'2. Kalkyldata'!$P$5:$R$5,'2. Kalkyldata'!$P$6:$R$6)))</f>
        <v>0</v>
      </c>
      <c r="AL28" s="333">
        <f>IF(AL$4="",0,-IF(LOOKUP(AL$4,'2. Kalkyldata'!$P$5:$R$5,'2. Kalkyldata'!$P$6:$R$6)=0,-AK$28,LOOKUP(AL$4,'2. Kalkyldata'!$P$5:$R$5,'2. Kalkyldata'!$P$6:$R$6)))</f>
        <v>0</v>
      </c>
      <c r="AM28" s="333">
        <f>IF(AM$4="",0,-IF(LOOKUP(AM$4,'2. Kalkyldata'!$P$5:$R$5,'2. Kalkyldata'!$P$6:$R$6)=0,-AL$28,LOOKUP(AM$4,'2. Kalkyldata'!$P$5:$R$5,'2. Kalkyldata'!$P$6:$R$6)))</f>
        <v>0</v>
      </c>
      <c r="AN28" s="333">
        <f>IF(AN$4="",0,-IF(LOOKUP(AN$4,'2. Kalkyldata'!$P$5:$R$5,'2. Kalkyldata'!$P$6:$R$6)=0,-AM$28,LOOKUP(AN$4,'2. Kalkyldata'!$P$5:$R$5,'2. Kalkyldata'!$P$6:$R$6)))</f>
        <v>0</v>
      </c>
      <c r="AO28" s="333">
        <f>IF(AO$4="",0,-IF(LOOKUP(AO$4,'2. Kalkyldata'!$P$5:$R$5,'2. Kalkyldata'!$P$6:$R$6)=0,-AN$28,LOOKUP(AO$4,'2. Kalkyldata'!$P$5:$R$5,'2. Kalkyldata'!$P$6:$R$6)))</f>
        <v>0</v>
      </c>
      <c r="AP28" s="333">
        <f>IF(AP$4="",0,-IF(LOOKUP(AP$4,'2. Kalkyldata'!$P$5:$R$5,'2. Kalkyldata'!$P$6:$R$6)=0,-AO$28,LOOKUP(AP$4,'2. Kalkyldata'!$P$5:$R$5,'2. Kalkyldata'!$P$6:$R$6)))</f>
        <v>0</v>
      </c>
      <c r="AQ28" s="333">
        <f>IF(AQ$4="",0,-IF(LOOKUP(AQ$4,'2. Kalkyldata'!$P$5:$R$5,'2. Kalkyldata'!$P$6:$R$6)=0,-AP$28,LOOKUP(AQ$4,'2. Kalkyldata'!$P$5:$R$5,'2. Kalkyldata'!$P$6:$R$6)))</f>
        <v>0</v>
      </c>
      <c r="AR28" s="333">
        <f>IF(AR$4="",0,-IF(LOOKUP(AR$4,'2. Kalkyldata'!$P$5:$R$5,'2. Kalkyldata'!$P$6:$R$6)=0,-AQ$28,LOOKUP(AR$4,'2. Kalkyldata'!$P$5:$R$5,'2. Kalkyldata'!$P$6:$R$6)))</f>
        <v>0</v>
      </c>
      <c r="AS28" s="333">
        <f>IF(AS$4="",0,-IF(LOOKUP(AS$4,'2. Kalkyldata'!$P$5:$R$5,'2. Kalkyldata'!$P$6:$R$6)=0,-AR$28,LOOKUP(AS$4,'2. Kalkyldata'!$P$5:$R$5,'2. Kalkyldata'!$P$6:$R$6)))</f>
        <v>0</v>
      </c>
      <c r="AT28" s="333">
        <f>IF(AT$4="",0,-IF(LOOKUP(AT$4,'2. Kalkyldata'!$P$5:$R$5,'2. Kalkyldata'!$P$6:$R$6)=0,-AS$28,LOOKUP(AT$4,'2. Kalkyldata'!$P$5:$R$5,'2. Kalkyldata'!$P$6:$R$6)))</f>
        <v>0</v>
      </c>
      <c r="AU28" s="333">
        <f>IF(AU$4="",0,-IF(LOOKUP(AU$4,'2. Kalkyldata'!$P$5:$R$5,'2. Kalkyldata'!$P$6:$R$6)=0,-AT$28,LOOKUP(AU$4,'2. Kalkyldata'!$P$5:$R$5,'2. Kalkyldata'!$P$6:$R$6)))</f>
        <v>0</v>
      </c>
      <c r="AV28" s="333">
        <f>IF(AV$4="",0,-IF(LOOKUP(AV$4,'2. Kalkyldata'!$P$5:$R$5,'2. Kalkyldata'!$P$6:$R$6)=0,-AU$28,LOOKUP(AV$4,'2. Kalkyldata'!$P$5:$R$5,'2. Kalkyldata'!$P$6:$R$6)))</f>
        <v>0</v>
      </c>
      <c r="AW28" s="333">
        <f>IF(AW$4="",0,-IF(LOOKUP(AW$4,'2. Kalkyldata'!$P$5:$R$5,'2. Kalkyldata'!$P$6:$R$6)=0,-AV$28,LOOKUP(AW$4,'2. Kalkyldata'!$P$5:$R$5,'2. Kalkyldata'!$P$6:$R$6)))</f>
        <v>0</v>
      </c>
      <c r="AX28" s="333">
        <f>IF(AX$4="",0,-IF(LOOKUP(AX$4,'2. Kalkyldata'!$P$5:$R$5,'2. Kalkyldata'!$P$6:$R$6)=0,-AW$28,LOOKUP(AX$4,'2. Kalkyldata'!$P$5:$R$5,'2. Kalkyldata'!$P$6:$R$6)))</f>
        <v>0</v>
      </c>
      <c r="AY28" s="333">
        <f>IF(AY$4="",0,-IF(LOOKUP(AY$4,'2. Kalkyldata'!$P$5:$R$5,'2. Kalkyldata'!$P$6:$R$6)=0,-AX$28,LOOKUP(AY$4,'2. Kalkyldata'!$P$5:$R$5,'2. Kalkyldata'!$P$6:$R$6)))</f>
        <v>0</v>
      </c>
      <c r="AZ28" s="333">
        <f>IF(AZ$4="",0,-IF(LOOKUP(AZ$4,'2. Kalkyldata'!$P$5:$R$5,'2. Kalkyldata'!$P$6:$R$6)=0,-AY$28,LOOKUP(AZ$4,'2. Kalkyldata'!$P$5:$R$5,'2. Kalkyldata'!$P$6:$R$6)))</f>
        <v>0</v>
      </c>
      <c r="BA28" s="333">
        <f>IF(BA$4="",0,-IF(LOOKUP(BA$4,'2. Kalkyldata'!$P$5:$R$5,'2. Kalkyldata'!$P$6:$R$6)=0,-AZ$28,LOOKUP(BA$4,'2. Kalkyldata'!$P$5:$R$5,'2. Kalkyldata'!$P$6:$R$6)))</f>
        <v>0</v>
      </c>
    </row>
    <row r="29" spans="2:54" s="19" customFormat="1" ht="15">
      <c r="B29" s="421" t="s">
        <v>238</v>
      </c>
      <c r="C29" s="422">
        <f>IFERROR($D29/$C$8,"")</f>
        <v>2245</v>
      </c>
      <c r="D29" s="423">
        <f t="shared" ref="D29:AI29" si="9">D19+D26+D27+D28</f>
        <v>13694500</v>
      </c>
      <c r="E29" s="423">
        <f t="shared" si="9"/>
        <v>13871400</v>
      </c>
      <c r="F29" s="423">
        <f t="shared" si="9"/>
        <v>14050480.140000001</v>
      </c>
      <c r="G29" s="423">
        <f t="shared" si="9"/>
        <v>14231765.012760002</v>
      </c>
      <c r="H29" s="423">
        <f t="shared" si="9"/>
        <v>14415279.436754644</v>
      </c>
      <c r="I29" s="423">
        <f t="shared" si="9"/>
        <v>14601048.456961529</v>
      </c>
      <c r="J29" s="423">
        <f t="shared" si="9"/>
        <v>14789097.345613157</v>
      </c>
      <c r="K29" s="423">
        <f t="shared" si="9"/>
        <v>14979451.602910995</v>
      </c>
      <c r="L29" s="423">
        <f t="shared" si="9"/>
        <v>15172136.957700187</v>
      </c>
      <c r="M29" s="423">
        <f t="shared" si="9"/>
        <v>15367179.368103392</v>
      </c>
      <c r="N29" s="423">
        <f t="shared" si="9"/>
        <v>15564605.022112153</v>
      </c>
      <c r="O29" s="423">
        <f t="shared" si="9"/>
        <v>15764440.33813414</v>
      </c>
      <c r="P29" s="423">
        <f t="shared" si="9"/>
        <v>15966711.965494689</v>
      </c>
      <c r="Q29" s="423">
        <f t="shared" si="9"/>
        <v>16171446.784890812</v>
      </c>
      <c r="R29" s="423">
        <f t="shared" si="9"/>
        <v>16378671.908796068</v>
      </c>
      <c r="S29" s="423">
        <f t="shared" si="9"/>
        <v>16588414.681814335</v>
      </c>
      <c r="T29" s="423">
        <f t="shared" si="9"/>
        <v>16800702.680980761</v>
      </c>
      <c r="U29" s="423">
        <f t="shared" si="9"/>
        <v>17015563.716007937</v>
      </c>
      <c r="V29" s="423">
        <f t="shared" si="9"/>
        <v>17233025.829475358</v>
      </c>
      <c r="W29" s="423">
        <f t="shared" si="9"/>
        <v>17453117.29696019</v>
      </c>
      <c r="X29" s="423">
        <f t="shared" si="9"/>
        <v>17675866.627107255</v>
      </c>
      <c r="Y29" s="423">
        <f t="shared" si="9"/>
        <v>0</v>
      </c>
      <c r="Z29" s="423">
        <f t="shared" si="9"/>
        <v>0</v>
      </c>
      <c r="AA29" s="423">
        <f t="shared" si="9"/>
        <v>0</v>
      </c>
      <c r="AB29" s="423">
        <f t="shared" si="9"/>
        <v>0</v>
      </c>
      <c r="AC29" s="423">
        <f t="shared" si="9"/>
        <v>0</v>
      </c>
      <c r="AD29" s="423">
        <f t="shared" si="9"/>
        <v>0</v>
      </c>
      <c r="AE29" s="423">
        <f t="shared" si="9"/>
        <v>0</v>
      </c>
      <c r="AF29" s="423">
        <f t="shared" si="9"/>
        <v>0</v>
      </c>
      <c r="AG29" s="423">
        <f t="shared" si="9"/>
        <v>0</v>
      </c>
      <c r="AH29" s="423">
        <f t="shared" si="9"/>
        <v>0</v>
      </c>
      <c r="AI29" s="423">
        <f t="shared" si="9"/>
        <v>0</v>
      </c>
      <c r="AJ29" s="423">
        <f t="shared" ref="AJ29:BA29" si="10">AJ19+AJ26+AJ27+AJ28</f>
        <v>0</v>
      </c>
      <c r="AK29" s="423">
        <f t="shared" si="10"/>
        <v>0</v>
      </c>
      <c r="AL29" s="423">
        <f t="shared" si="10"/>
        <v>0</v>
      </c>
      <c r="AM29" s="423">
        <f t="shared" si="10"/>
        <v>0</v>
      </c>
      <c r="AN29" s="423">
        <f t="shared" si="10"/>
        <v>0</v>
      </c>
      <c r="AO29" s="423">
        <f t="shared" si="10"/>
        <v>0</v>
      </c>
      <c r="AP29" s="423">
        <f t="shared" si="10"/>
        <v>0</v>
      </c>
      <c r="AQ29" s="423">
        <f t="shared" si="10"/>
        <v>0</v>
      </c>
      <c r="AR29" s="423">
        <f t="shared" si="10"/>
        <v>0</v>
      </c>
      <c r="AS29" s="423">
        <f t="shared" si="10"/>
        <v>0</v>
      </c>
      <c r="AT29" s="423">
        <f t="shared" si="10"/>
        <v>0</v>
      </c>
      <c r="AU29" s="423">
        <f t="shared" si="10"/>
        <v>0</v>
      </c>
      <c r="AV29" s="423">
        <f t="shared" si="10"/>
        <v>0</v>
      </c>
      <c r="AW29" s="423">
        <f t="shared" si="10"/>
        <v>0</v>
      </c>
      <c r="AX29" s="423">
        <f t="shared" si="10"/>
        <v>0</v>
      </c>
      <c r="AY29" s="423">
        <f t="shared" si="10"/>
        <v>0</v>
      </c>
      <c r="AZ29" s="423">
        <f t="shared" si="10"/>
        <v>0</v>
      </c>
      <c r="BA29" s="423">
        <f t="shared" si="10"/>
        <v>0</v>
      </c>
      <c r="BB29" s="504"/>
    </row>
    <row r="30" spans="2:54" s="189" customFormat="1">
      <c r="B30" s="341" t="s">
        <v>239</v>
      </c>
      <c r="C30" s="342"/>
      <c r="D30" s="332">
        <f t="shared" ref="D30:AI30" si="11">IFERROR(D29/D8,0)</f>
        <v>2245</v>
      </c>
      <c r="E30" s="332">
        <f t="shared" si="11"/>
        <v>2274</v>
      </c>
      <c r="F30" s="332">
        <f t="shared" si="11"/>
        <v>2303.3573999999999</v>
      </c>
      <c r="G30" s="332">
        <f t="shared" si="11"/>
        <v>2333.0762316000005</v>
      </c>
      <c r="H30" s="332">
        <f t="shared" si="11"/>
        <v>2363.1605634024008</v>
      </c>
      <c r="I30" s="332">
        <f t="shared" si="11"/>
        <v>2393.6145011412345</v>
      </c>
      <c r="J30" s="332">
        <f t="shared" si="11"/>
        <v>2424.4421878054354</v>
      </c>
      <c r="K30" s="332">
        <f t="shared" si="11"/>
        <v>2455.6478037559009</v>
      </c>
      <c r="L30" s="332">
        <f t="shared" si="11"/>
        <v>2487.2355668360965</v>
      </c>
      <c r="M30" s="332">
        <f t="shared" si="11"/>
        <v>2519.2097324759661</v>
      </c>
      <c r="N30" s="332">
        <f t="shared" si="11"/>
        <v>2551.5745937888778</v>
      </c>
      <c r="O30" s="332">
        <f t="shared" si="11"/>
        <v>2584.3344816613344</v>
      </c>
      <c r="P30" s="332">
        <f t="shared" si="11"/>
        <v>2617.4937648351947</v>
      </c>
      <c r="Q30" s="332">
        <f t="shared" si="11"/>
        <v>2651.0568499821002</v>
      </c>
      <c r="R30" s="332">
        <f t="shared" si="11"/>
        <v>2685.0281817698474</v>
      </c>
      <c r="S30" s="332">
        <f t="shared" si="11"/>
        <v>2719.4122429203831</v>
      </c>
      <c r="T30" s="332">
        <f t="shared" si="11"/>
        <v>2754.2135542591409</v>
      </c>
      <c r="U30" s="332">
        <f t="shared" si="11"/>
        <v>2789.4366747553995</v>
      </c>
      <c r="V30" s="332">
        <f t="shared" si="11"/>
        <v>2825.0862015533376</v>
      </c>
      <c r="W30" s="332">
        <f t="shared" si="11"/>
        <v>2861.1667699934737</v>
      </c>
      <c r="X30" s="332">
        <f t="shared" si="11"/>
        <v>2897.68305362414</v>
      </c>
      <c r="Y30" s="332">
        <f t="shared" si="11"/>
        <v>0</v>
      </c>
      <c r="Z30" s="332">
        <f t="shared" si="11"/>
        <v>0</v>
      </c>
      <c r="AA30" s="332">
        <f t="shared" si="11"/>
        <v>0</v>
      </c>
      <c r="AB30" s="332">
        <f t="shared" si="11"/>
        <v>0</v>
      </c>
      <c r="AC30" s="332">
        <f t="shared" si="11"/>
        <v>0</v>
      </c>
      <c r="AD30" s="332">
        <f t="shared" si="11"/>
        <v>0</v>
      </c>
      <c r="AE30" s="332">
        <f t="shared" si="11"/>
        <v>0</v>
      </c>
      <c r="AF30" s="332">
        <f t="shared" si="11"/>
        <v>0</v>
      </c>
      <c r="AG30" s="332">
        <f t="shared" si="11"/>
        <v>0</v>
      </c>
      <c r="AH30" s="332">
        <f t="shared" si="11"/>
        <v>0</v>
      </c>
      <c r="AI30" s="332">
        <f t="shared" si="11"/>
        <v>0</v>
      </c>
      <c r="AJ30" s="332">
        <f t="shared" ref="AJ30:BA30" si="12">IFERROR(AJ29/AJ8,0)</f>
        <v>0</v>
      </c>
      <c r="AK30" s="332">
        <f t="shared" si="12"/>
        <v>0</v>
      </c>
      <c r="AL30" s="332">
        <f t="shared" si="12"/>
        <v>0</v>
      </c>
      <c r="AM30" s="332">
        <f t="shared" si="12"/>
        <v>0</v>
      </c>
      <c r="AN30" s="332">
        <f t="shared" si="12"/>
        <v>0</v>
      </c>
      <c r="AO30" s="332">
        <f t="shared" si="12"/>
        <v>0</v>
      </c>
      <c r="AP30" s="332">
        <f t="shared" si="12"/>
        <v>0</v>
      </c>
      <c r="AQ30" s="332">
        <f t="shared" si="12"/>
        <v>0</v>
      </c>
      <c r="AR30" s="332">
        <f t="shared" si="12"/>
        <v>0</v>
      </c>
      <c r="AS30" s="332">
        <f t="shared" si="12"/>
        <v>0</v>
      </c>
      <c r="AT30" s="332">
        <f t="shared" si="12"/>
        <v>0</v>
      </c>
      <c r="AU30" s="332">
        <f t="shared" si="12"/>
        <v>0</v>
      </c>
      <c r="AV30" s="332">
        <f t="shared" si="12"/>
        <v>0</v>
      </c>
      <c r="AW30" s="332">
        <f t="shared" si="12"/>
        <v>0</v>
      </c>
      <c r="AX30" s="332">
        <f t="shared" si="12"/>
        <v>0</v>
      </c>
      <c r="AY30" s="332">
        <f t="shared" si="12"/>
        <v>0</v>
      </c>
      <c r="AZ30" s="332">
        <f t="shared" si="12"/>
        <v>0</v>
      </c>
      <c r="BA30" s="332">
        <f t="shared" si="12"/>
        <v>0</v>
      </c>
    </row>
    <row r="31" spans="2:54" s="189" customFormat="1">
      <c r="B31" s="427" t="s">
        <v>240</v>
      </c>
      <c r="C31" s="425"/>
      <c r="D31" s="425">
        <f>IFERROR(D$19/D$8,0)</f>
        <v>2650</v>
      </c>
      <c r="E31" s="425">
        <f t="shared" ref="E31:BA31" si="13">IFERROR(E$19/E$8,0)</f>
        <v>2687.1</v>
      </c>
      <c r="F31" s="425">
        <f t="shared" si="13"/>
        <v>2724.7194000000004</v>
      </c>
      <c r="G31" s="425">
        <f t="shared" si="13"/>
        <v>2762.8654716000005</v>
      </c>
      <c r="H31" s="425">
        <f t="shared" si="13"/>
        <v>2801.5455882024007</v>
      </c>
      <c r="I31" s="425">
        <f t="shared" si="13"/>
        <v>2840.7672264372345</v>
      </c>
      <c r="J31" s="425">
        <f t="shared" si="13"/>
        <v>2880.5379676073558</v>
      </c>
      <c r="K31" s="425">
        <f t="shared" si="13"/>
        <v>2920.8654991538592</v>
      </c>
      <c r="L31" s="425">
        <f t="shared" si="13"/>
        <v>2961.7576161420138</v>
      </c>
      <c r="M31" s="425">
        <f t="shared" si="13"/>
        <v>3003.2222227680018</v>
      </c>
      <c r="N31" s="425">
        <f t="shared" si="13"/>
        <v>3045.2673338867539</v>
      </c>
      <c r="O31" s="425">
        <f t="shared" si="13"/>
        <v>3087.9010765611688</v>
      </c>
      <c r="P31" s="425">
        <f t="shared" si="13"/>
        <v>3131.1316916330256</v>
      </c>
      <c r="Q31" s="425">
        <f t="shared" si="13"/>
        <v>3174.9675353158877</v>
      </c>
      <c r="R31" s="425">
        <f t="shared" si="13"/>
        <v>3219.4170808103108</v>
      </c>
      <c r="S31" s="425">
        <f t="shared" si="13"/>
        <v>3264.4889199416552</v>
      </c>
      <c r="T31" s="425">
        <f t="shared" si="13"/>
        <v>3310.1917648208391</v>
      </c>
      <c r="U31" s="425">
        <f t="shared" si="13"/>
        <v>3356.5344495283312</v>
      </c>
      <c r="V31" s="425">
        <f t="shared" si="13"/>
        <v>3403.5259318217281</v>
      </c>
      <c r="W31" s="425">
        <f t="shared" si="13"/>
        <v>3451.175294867232</v>
      </c>
      <c r="X31" s="425">
        <f t="shared" si="13"/>
        <v>3499.4917489953737</v>
      </c>
      <c r="Y31" s="425">
        <f t="shared" si="13"/>
        <v>0</v>
      </c>
      <c r="Z31" s="425">
        <f t="shared" si="13"/>
        <v>0</v>
      </c>
      <c r="AA31" s="425">
        <f t="shared" si="13"/>
        <v>0</v>
      </c>
      <c r="AB31" s="425">
        <f t="shared" si="13"/>
        <v>0</v>
      </c>
      <c r="AC31" s="425">
        <f t="shared" si="13"/>
        <v>0</v>
      </c>
      <c r="AD31" s="425">
        <f t="shared" si="13"/>
        <v>0</v>
      </c>
      <c r="AE31" s="425">
        <f t="shared" si="13"/>
        <v>0</v>
      </c>
      <c r="AF31" s="425">
        <f t="shared" si="13"/>
        <v>0</v>
      </c>
      <c r="AG31" s="425">
        <f t="shared" si="13"/>
        <v>0</v>
      </c>
      <c r="AH31" s="425">
        <f t="shared" si="13"/>
        <v>0</v>
      </c>
      <c r="AI31" s="425">
        <f t="shared" si="13"/>
        <v>0</v>
      </c>
      <c r="AJ31" s="425">
        <f t="shared" si="13"/>
        <v>0</v>
      </c>
      <c r="AK31" s="425">
        <f t="shared" si="13"/>
        <v>0</v>
      </c>
      <c r="AL31" s="425">
        <f t="shared" si="13"/>
        <v>0</v>
      </c>
      <c r="AM31" s="425">
        <f t="shared" si="13"/>
        <v>0</v>
      </c>
      <c r="AN31" s="425">
        <f t="shared" si="13"/>
        <v>0</v>
      </c>
      <c r="AO31" s="425">
        <f t="shared" si="13"/>
        <v>0</v>
      </c>
      <c r="AP31" s="425">
        <f t="shared" si="13"/>
        <v>0</v>
      </c>
      <c r="AQ31" s="425">
        <f t="shared" si="13"/>
        <v>0</v>
      </c>
      <c r="AR31" s="425">
        <f t="shared" si="13"/>
        <v>0</v>
      </c>
      <c r="AS31" s="425">
        <f t="shared" si="13"/>
        <v>0</v>
      </c>
      <c r="AT31" s="425">
        <f t="shared" si="13"/>
        <v>0</v>
      </c>
      <c r="AU31" s="425">
        <f t="shared" si="13"/>
        <v>0</v>
      </c>
      <c r="AV31" s="425">
        <f t="shared" si="13"/>
        <v>0</v>
      </c>
      <c r="AW31" s="425">
        <f t="shared" si="13"/>
        <v>0</v>
      </c>
      <c r="AX31" s="425">
        <f t="shared" si="13"/>
        <v>0</v>
      </c>
      <c r="AY31" s="425">
        <f t="shared" si="13"/>
        <v>0</v>
      </c>
      <c r="AZ31" s="425">
        <f t="shared" si="13"/>
        <v>0</v>
      </c>
      <c r="BA31" s="425">
        <f t="shared" si="13"/>
        <v>0</v>
      </c>
    </row>
    <row r="32" spans="2:54" s="189" customFormat="1">
      <c r="B32" s="427" t="s">
        <v>241</v>
      </c>
      <c r="C32" s="425"/>
      <c r="D32" s="425">
        <f>IFERROR(SUM(D$20:D$24)/D$8,0)</f>
        <v>-405</v>
      </c>
      <c r="E32" s="425">
        <f t="shared" ref="E32:BA32" si="14">IFERROR(SUM(E$20:E$24)/E$8,0)</f>
        <v>-413.1</v>
      </c>
      <c r="F32" s="425">
        <f t="shared" si="14"/>
        <v>-421.36200000000002</v>
      </c>
      <c r="G32" s="425">
        <f t="shared" si="14"/>
        <v>-429.78923999999995</v>
      </c>
      <c r="H32" s="425">
        <f t="shared" si="14"/>
        <v>-438.3850248</v>
      </c>
      <c r="I32" s="425">
        <f t="shared" si="14"/>
        <v>-447.15272529599997</v>
      </c>
      <c r="J32" s="425">
        <f t="shared" si="14"/>
        <v>-456.09577980192006</v>
      </c>
      <c r="K32" s="425">
        <f t="shared" si="14"/>
        <v>-465.21769539795832</v>
      </c>
      <c r="L32" s="425">
        <f t="shared" si="14"/>
        <v>-474.52204930591756</v>
      </c>
      <c r="M32" s="425">
        <f t="shared" si="14"/>
        <v>-484.01249029203586</v>
      </c>
      <c r="N32" s="425">
        <f t="shared" si="14"/>
        <v>-493.69274009787659</v>
      </c>
      <c r="O32" s="425">
        <f t="shared" si="14"/>
        <v>-503.56659489983412</v>
      </c>
      <c r="P32" s="425">
        <f t="shared" si="14"/>
        <v>-513.63792679783091</v>
      </c>
      <c r="Q32" s="425">
        <f t="shared" si="14"/>
        <v>-523.91068533378746</v>
      </c>
      <c r="R32" s="425">
        <f t="shared" si="14"/>
        <v>-534.38889904046323</v>
      </c>
      <c r="S32" s="425">
        <f t="shared" si="14"/>
        <v>-545.0766770212723</v>
      </c>
      <c r="T32" s="425">
        <f t="shared" si="14"/>
        <v>-555.97821056169789</v>
      </c>
      <c r="U32" s="425">
        <f t="shared" si="14"/>
        <v>-567.09777477293187</v>
      </c>
      <c r="V32" s="425">
        <f t="shared" si="14"/>
        <v>-578.43973026839046</v>
      </c>
      <c r="W32" s="425">
        <f t="shared" si="14"/>
        <v>-590.00852487375823</v>
      </c>
      <c r="X32" s="425">
        <f t="shared" si="14"/>
        <v>-601.80869537123351</v>
      </c>
      <c r="Y32" s="425">
        <f t="shared" si="14"/>
        <v>0</v>
      </c>
      <c r="Z32" s="425">
        <f t="shared" si="14"/>
        <v>0</v>
      </c>
      <c r="AA32" s="425">
        <f t="shared" si="14"/>
        <v>0</v>
      </c>
      <c r="AB32" s="425">
        <f t="shared" si="14"/>
        <v>0</v>
      </c>
      <c r="AC32" s="425">
        <f t="shared" si="14"/>
        <v>0</v>
      </c>
      <c r="AD32" s="425">
        <f t="shared" si="14"/>
        <v>0</v>
      </c>
      <c r="AE32" s="425">
        <f t="shared" si="14"/>
        <v>0</v>
      </c>
      <c r="AF32" s="425">
        <f t="shared" si="14"/>
        <v>0</v>
      </c>
      <c r="AG32" s="425">
        <f t="shared" si="14"/>
        <v>0</v>
      </c>
      <c r="AH32" s="425">
        <f t="shared" si="14"/>
        <v>0</v>
      </c>
      <c r="AI32" s="425">
        <f t="shared" si="14"/>
        <v>0</v>
      </c>
      <c r="AJ32" s="425">
        <f t="shared" si="14"/>
        <v>0</v>
      </c>
      <c r="AK32" s="425">
        <f t="shared" si="14"/>
        <v>0</v>
      </c>
      <c r="AL32" s="425">
        <f t="shared" si="14"/>
        <v>0</v>
      </c>
      <c r="AM32" s="425">
        <f t="shared" si="14"/>
        <v>0</v>
      </c>
      <c r="AN32" s="425">
        <f t="shared" si="14"/>
        <v>0</v>
      </c>
      <c r="AO32" s="425">
        <f t="shared" si="14"/>
        <v>0</v>
      </c>
      <c r="AP32" s="425">
        <f t="shared" si="14"/>
        <v>0</v>
      </c>
      <c r="AQ32" s="425">
        <f t="shared" si="14"/>
        <v>0</v>
      </c>
      <c r="AR32" s="425">
        <f t="shared" si="14"/>
        <v>0</v>
      </c>
      <c r="AS32" s="425">
        <f t="shared" si="14"/>
        <v>0</v>
      </c>
      <c r="AT32" s="425">
        <f t="shared" si="14"/>
        <v>0</v>
      </c>
      <c r="AU32" s="425">
        <f t="shared" si="14"/>
        <v>0</v>
      </c>
      <c r="AV32" s="425">
        <f t="shared" si="14"/>
        <v>0</v>
      </c>
      <c r="AW32" s="425">
        <f t="shared" si="14"/>
        <v>0</v>
      </c>
      <c r="AX32" s="425">
        <f t="shared" si="14"/>
        <v>0</v>
      </c>
      <c r="AY32" s="425">
        <f t="shared" si="14"/>
        <v>0</v>
      </c>
      <c r="AZ32" s="425">
        <f t="shared" si="14"/>
        <v>0</v>
      </c>
      <c r="BA32" s="425">
        <f t="shared" si="14"/>
        <v>0</v>
      </c>
    </row>
    <row r="33" spans="2:54">
      <c r="B33" s="341" t="s">
        <v>242</v>
      </c>
      <c r="C33" s="419"/>
      <c r="D33" s="420">
        <f>IF(D4="","",IFERROR((D29-D25)/D19,0))</f>
        <v>0.84716981132075475</v>
      </c>
      <c r="E33" s="420">
        <f>IF(E4="","",IFERROR((E29-E25)/E19,0))</f>
        <v>0.84626549067768231</v>
      </c>
      <c r="F33" s="420">
        <f t="shared" ref="F33:BA33" si="15">IF(F4="","",IFERROR((F29-F25)/F19,0))</f>
        <v>0.84535581902488743</v>
      </c>
      <c r="G33" s="420">
        <f t="shared" si="15"/>
        <v>0.84444076469959095</v>
      </c>
      <c r="H33" s="420">
        <f t="shared" si="15"/>
        <v>0.84352029585165955</v>
      </c>
      <c r="I33" s="420">
        <f t="shared" si="15"/>
        <v>0.84259438044249779</v>
      </c>
      <c r="J33" s="420">
        <f t="shared" si="15"/>
        <v>0.84166298624393265</v>
      </c>
      <c r="K33" s="420">
        <f t="shared" si="15"/>
        <v>0.84072608083709222</v>
      </c>
      <c r="L33" s="420">
        <f t="shared" si="15"/>
        <v>0.83978363161127612</v>
      </c>
      <c r="M33" s="420">
        <f t="shared" si="15"/>
        <v>0.83883560576282212</v>
      </c>
      <c r="N33" s="420">
        <f t="shared" si="15"/>
        <v>0.83788197029396316</v>
      </c>
      <c r="O33" s="420">
        <f t="shared" si="15"/>
        <v>0.83692269201167879</v>
      </c>
      <c r="P33" s="420">
        <f t="shared" si="15"/>
        <v>0.8359577375265409</v>
      </c>
      <c r="Q33" s="420">
        <f t="shared" si="15"/>
        <v>0.83498707325155008</v>
      </c>
      <c r="R33" s="420">
        <f t="shared" si="15"/>
        <v>0.83401066540096747</v>
      </c>
      <c r="S33" s="420">
        <f t="shared" si="15"/>
        <v>0.83302847998913887</v>
      </c>
      <c r="T33" s="420">
        <f t="shared" si="15"/>
        <v>0.83204048282931131</v>
      </c>
      <c r="U33" s="420">
        <f t="shared" si="15"/>
        <v>0.8310466395324434</v>
      </c>
      <c r="V33" s="420">
        <f t="shared" si="15"/>
        <v>0.83004691550600807</v>
      </c>
      <c r="W33" s="420">
        <f t="shared" si="15"/>
        <v>0.82904127595278931</v>
      </c>
      <c r="X33" s="420">
        <f t="shared" si="15"/>
        <v>0.82802968586966974</v>
      </c>
      <c r="Y33" s="420" t="str">
        <f t="shared" si="15"/>
        <v/>
      </c>
      <c r="Z33" s="420" t="str">
        <f t="shared" si="15"/>
        <v/>
      </c>
      <c r="AA33" s="420" t="str">
        <f t="shared" si="15"/>
        <v/>
      </c>
      <c r="AB33" s="420" t="str">
        <f t="shared" si="15"/>
        <v/>
      </c>
      <c r="AC33" s="420" t="str">
        <f t="shared" si="15"/>
        <v/>
      </c>
      <c r="AD33" s="420" t="str">
        <f t="shared" si="15"/>
        <v/>
      </c>
      <c r="AE33" s="420" t="str">
        <f t="shared" si="15"/>
        <v/>
      </c>
      <c r="AF33" s="420" t="str">
        <f t="shared" si="15"/>
        <v/>
      </c>
      <c r="AG33" s="420" t="str">
        <f t="shared" si="15"/>
        <v/>
      </c>
      <c r="AH33" s="420" t="str">
        <f t="shared" si="15"/>
        <v/>
      </c>
      <c r="AI33" s="420" t="str">
        <f t="shared" si="15"/>
        <v/>
      </c>
      <c r="AJ33" s="420" t="str">
        <f t="shared" si="15"/>
        <v/>
      </c>
      <c r="AK33" s="420" t="str">
        <f t="shared" si="15"/>
        <v/>
      </c>
      <c r="AL33" s="420" t="str">
        <f t="shared" si="15"/>
        <v/>
      </c>
      <c r="AM33" s="420" t="str">
        <f t="shared" si="15"/>
        <v/>
      </c>
      <c r="AN33" s="420" t="str">
        <f t="shared" si="15"/>
        <v/>
      </c>
      <c r="AO33" s="420" t="str">
        <f t="shared" si="15"/>
        <v/>
      </c>
      <c r="AP33" s="420" t="str">
        <f t="shared" si="15"/>
        <v/>
      </c>
      <c r="AQ33" s="420" t="str">
        <f t="shared" si="15"/>
        <v/>
      </c>
      <c r="AR33" s="420" t="str">
        <f t="shared" si="15"/>
        <v/>
      </c>
      <c r="AS33" s="420" t="str">
        <f t="shared" si="15"/>
        <v/>
      </c>
      <c r="AT33" s="420" t="str">
        <f t="shared" si="15"/>
        <v/>
      </c>
      <c r="AU33" s="420" t="str">
        <f t="shared" si="15"/>
        <v/>
      </c>
      <c r="AV33" s="420" t="str">
        <f t="shared" si="15"/>
        <v/>
      </c>
      <c r="AW33" s="420" t="str">
        <f t="shared" si="15"/>
        <v/>
      </c>
      <c r="AX33" s="420" t="str">
        <f t="shared" si="15"/>
        <v/>
      </c>
      <c r="AY33" s="420" t="str">
        <f t="shared" si="15"/>
        <v/>
      </c>
      <c r="AZ33" s="420" t="str">
        <f t="shared" si="15"/>
        <v/>
      </c>
      <c r="BA33" s="420" t="str">
        <f t="shared" si="15"/>
        <v/>
      </c>
      <c r="BB33" s="504"/>
    </row>
    <row r="34" spans="2:54" s="191" customFormat="1" ht="12">
      <c r="B34" s="341" t="s">
        <v>243</v>
      </c>
      <c r="C34" s="342"/>
      <c r="D34" s="343">
        <f>IFERROR(D$29/'7.Grafer'!C$44,0)</f>
        <v>6.5000000000000002E-2</v>
      </c>
      <c r="E34" s="343">
        <f>IFERROR(E$29/'7.Grafer'!D$44,0)</f>
        <v>6.5000000000000002E-2</v>
      </c>
      <c r="F34" s="343">
        <f>IFERROR(F$29/'7.Grafer'!E$44,0)</f>
        <v>6.5000000000000002E-2</v>
      </c>
      <c r="G34" s="343">
        <f>IFERROR(G$29/'7.Grafer'!F$44,0)</f>
        <v>6.5000000000000002E-2</v>
      </c>
      <c r="H34" s="343">
        <f>IFERROR(H$29/'7.Grafer'!G$44,0)</f>
        <v>6.5000000000000002E-2</v>
      </c>
      <c r="I34" s="343">
        <f>IFERROR(I$29/'7.Grafer'!H$44,0)</f>
        <v>6.5000000000000002E-2</v>
      </c>
      <c r="J34" s="343">
        <f>IFERROR(J$29/'7.Grafer'!I$44,0)</f>
        <v>6.5000000000000002E-2</v>
      </c>
      <c r="K34" s="343">
        <f>IFERROR(K$29/'7.Grafer'!J$44,0)</f>
        <v>6.5000000000000002E-2</v>
      </c>
      <c r="L34" s="343">
        <f>IFERROR(L$29/'7.Grafer'!K$44,0)</f>
        <v>6.5000000000000002E-2</v>
      </c>
      <c r="M34" s="343">
        <f>IFERROR(M$29/'7.Grafer'!L$44,0)</f>
        <v>6.5000000000000002E-2</v>
      </c>
      <c r="N34" s="343">
        <f>IFERROR(N$29/'7.Grafer'!M$44,0)</f>
        <v>6.5000000000000002E-2</v>
      </c>
      <c r="O34" s="343">
        <f>IFERROR(O$29/'7.Grafer'!N$44,0)</f>
        <v>6.5000000000000002E-2</v>
      </c>
      <c r="P34" s="343">
        <f>IFERROR(P$29/'7.Grafer'!O$44,0)</f>
        <v>6.5000000000000002E-2</v>
      </c>
      <c r="Q34" s="343">
        <f>IFERROR(Q$29/'7.Grafer'!P$44,0)</f>
        <v>6.5000000000000002E-2</v>
      </c>
      <c r="R34" s="343">
        <f>IFERROR(R$29/'7.Grafer'!Q$44,0)</f>
        <v>6.5000000000000002E-2</v>
      </c>
      <c r="S34" s="343">
        <f>IFERROR(S$29/'7.Grafer'!R$44,0)</f>
        <v>6.5000000000000002E-2</v>
      </c>
      <c r="T34" s="343">
        <f>IFERROR(T$29/'7.Grafer'!S$44,0)</f>
        <v>6.5000000000000002E-2</v>
      </c>
      <c r="U34" s="343">
        <f>IFERROR(U$29/'7.Grafer'!T$44,0)</f>
        <v>6.5000000000000002E-2</v>
      </c>
      <c r="V34" s="343">
        <f>IFERROR(V$29/'7.Grafer'!U$44,0)</f>
        <v>6.5000000000000002E-2</v>
      </c>
      <c r="W34" s="343">
        <f>IFERROR(W$29/'7.Grafer'!V$44,0)</f>
        <v>6.5000000000000002E-2</v>
      </c>
      <c r="X34" s="343">
        <f>IFERROR(X$29/'7.Grafer'!W$44,0)</f>
        <v>6.5000000000000002E-2</v>
      </c>
      <c r="Y34" s="343">
        <f>IFERROR(Y$29/'7.Grafer'!X$44,0)</f>
        <v>0</v>
      </c>
      <c r="Z34" s="343">
        <f>IFERROR(Z$29/'7.Grafer'!Y$44,0)</f>
        <v>0</v>
      </c>
      <c r="AA34" s="343">
        <f>IFERROR(AA$29/'7.Grafer'!Z$44,0)</f>
        <v>0</v>
      </c>
      <c r="AB34" s="343">
        <f>IFERROR(AB$29/'7.Grafer'!AA$44,0)</f>
        <v>0</v>
      </c>
      <c r="AC34" s="343">
        <f>IFERROR(AC$29/'7.Grafer'!AB$44,0)</f>
        <v>0</v>
      </c>
      <c r="AD34" s="343">
        <f>IFERROR(AD$29/'7.Grafer'!AC$44,0)</f>
        <v>0</v>
      </c>
      <c r="AE34" s="343">
        <f>IFERROR(AE$29/'7.Grafer'!AD$44,0)</f>
        <v>0</v>
      </c>
      <c r="AF34" s="343">
        <f>IFERROR(AF$29/'7.Grafer'!AE$44,0)</f>
        <v>0</v>
      </c>
      <c r="AG34" s="343">
        <f>IFERROR(AG$29/'7.Grafer'!AF$44,0)</f>
        <v>0</v>
      </c>
      <c r="AH34" s="343">
        <f>IFERROR(AH$29/'7.Grafer'!AG$44,0)</f>
        <v>0</v>
      </c>
      <c r="AI34" s="343">
        <f>IFERROR(AI$29/'7.Grafer'!AH$44,0)</f>
        <v>0</v>
      </c>
      <c r="AJ34" s="343">
        <f>IFERROR(AJ$29/'7.Grafer'!AI$44,0)</f>
        <v>0</v>
      </c>
      <c r="AK34" s="343">
        <f>IFERROR(AK$29/'7.Grafer'!AJ$44,0)</f>
        <v>0</v>
      </c>
      <c r="AL34" s="343">
        <f>IFERROR(AL$29/'7.Grafer'!AK$44,0)</f>
        <v>0</v>
      </c>
      <c r="AM34" s="343">
        <f>IFERROR(AM$29/'7.Grafer'!AL$44,0)</f>
        <v>0</v>
      </c>
      <c r="AN34" s="343">
        <f>IFERROR(AN$29/'7.Grafer'!AM$44,0)</f>
        <v>0</v>
      </c>
      <c r="AO34" s="343">
        <f>IFERROR(AO$29/'7.Grafer'!AN$44,0)</f>
        <v>0</v>
      </c>
      <c r="AP34" s="343">
        <f>IFERROR(AP$29/'7.Grafer'!AO$44,0)</f>
        <v>0</v>
      </c>
      <c r="AQ34" s="343">
        <f>IFERROR(AQ$29/'7.Grafer'!AP$44,0)</f>
        <v>0</v>
      </c>
      <c r="AR34" s="343">
        <f>IFERROR(AR$29/'7.Grafer'!AQ$44,0)</f>
        <v>0</v>
      </c>
      <c r="AS34" s="343">
        <f>IFERROR(AS$29/'7.Grafer'!AR$44,0)</f>
        <v>0</v>
      </c>
      <c r="AT34" s="343">
        <f>IFERROR(AT$29/'7.Grafer'!AS$44,0)</f>
        <v>0</v>
      </c>
      <c r="AU34" s="343">
        <f>IFERROR(AU$29/'7.Grafer'!AT$44,0)</f>
        <v>0</v>
      </c>
      <c r="AV34" s="343">
        <f>IFERROR(AV$29/'7.Grafer'!AU$44,0)</f>
        <v>0</v>
      </c>
      <c r="AW34" s="343">
        <f>IFERROR(AW$29/'7.Grafer'!AV$44,0)</f>
        <v>0</v>
      </c>
      <c r="AX34" s="343">
        <f>IFERROR(AX$29/'7.Grafer'!AW$44,0)</f>
        <v>0</v>
      </c>
      <c r="AY34" s="343">
        <f>IFERROR(AY$29/'7.Grafer'!AX$44,0)</f>
        <v>0</v>
      </c>
      <c r="AZ34" s="343">
        <f>IFERROR(AZ$29/'7.Grafer'!AY$44,0)</f>
        <v>0</v>
      </c>
      <c r="BA34" s="343">
        <f>IFERROR(BA$29/'7.Grafer'!AZ$44,0)</f>
        <v>0</v>
      </c>
      <c r="BB34" s="190"/>
    </row>
    <row r="35" spans="2:54" s="191" customFormat="1" ht="12">
      <c r="B35" s="341" t="s">
        <v>244</v>
      </c>
      <c r="C35" s="342"/>
      <c r="D35" s="343">
        <f>IFERROR(D$29/'7.Grafer'!C$48,0)</f>
        <v>5.8843554687500008E-2</v>
      </c>
      <c r="E35" s="343">
        <f>IFERROR(E$29/'7.Grafer'!D$48,0)</f>
        <v>6.1526370967741939E-2</v>
      </c>
      <c r="F35" s="343">
        <f>IFERROR(F$29/'7.Grafer'!E$48,0)</f>
        <v>6.4398033975000005E-2</v>
      </c>
      <c r="G35" s="343">
        <f>IFERROR(G$29/'7.Grafer'!F$48,0)</f>
        <v>6.7478196181189679E-2</v>
      </c>
      <c r="H35" s="343">
        <f>IFERROR(H$29/'7.Grafer'!G$48,0)</f>
        <v>7.078931866263441E-2</v>
      </c>
      <c r="I35" s="343">
        <f>IFERROR(I$29/'7.Grafer'!H$48,0)</f>
        <v>7.4357191216007798E-2</v>
      </c>
      <c r="J35" s="343">
        <f>IFERROR(J$29/'7.Grafer'!I$48,0)</f>
        <v>7.8211572500838822E-2</v>
      </c>
      <c r="K35" s="343">
        <f>IFERROR(K$29/'7.Grafer'!J$48,0)</f>
        <v>8.2386983816010492E-2</v>
      </c>
      <c r="L35" s="343">
        <f>IFERROR(L$29/'7.Grafer'!K$48,0)</f>
        <v>8.6923701320157351E-2</v>
      </c>
      <c r="M35" s="343">
        <f>IFERROR(M$29/'7.Grafer'!L$48,0)</f>
        <v>9.1869007091922472E-2</v>
      </c>
      <c r="N35" s="343">
        <f>IFERROR(N$29/'7.Grafer'!M$48,0)</f>
        <v>9.7278781388200966E-2</v>
      </c>
      <c r="O35" s="343">
        <f>IFERROR(O$29/'7.Grafer'!N$48,0)</f>
        <v>0.10321954983302116</v>
      </c>
      <c r="P35" s="343">
        <f>IFERROR(P$29/'7.Grafer'!O$48,0)</f>
        <v>0.109771144762776</v>
      </c>
      <c r="Q35" s="343">
        <f>IFERROR(Q$29/'7.Grafer'!P$48,0)</f>
        <v>0.11703020699592034</v>
      </c>
      <c r="R35" s="343">
        <f>IFERROR(R$29/'7.Grafer'!Q$48,0)</f>
        <v>0.12511485485885884</v>
      </c>
      <c r="S35" s="343">
        <f>IFERROR(S$29/'7.Grafer'!R$48,0)</f>
        <v>0.13417100110291005</v>
      </c>
      <c r="T35" s="343">
        <f>IFERROR(T$29/'7.Grafer'!S$48,0)</f>
        <v>0.14438103866467838</v>
      </c>
      <c r="U35" s="343">
        <f>IFERROR(U$29/'7.Grafer'!T$48,0)</f>
        <v>0.1559760007300727</v>
      </c>
      <c r="V35" s="343">
        <f>IFERROR(V$29/'7.Grafer'!U$48,0)</f>
        <v>0.1692529322537758</v>
      </c>
      <c r="W35" s="343">
        <f>IFERROR(W$29/'7.Grafer'!V$48,0)</f>
        <v>0.18460027910246352</v>
      </c>
      <c r="X35" s="343">
        <f>IFERROR(X$29/'7.Grafer'!W$48,0)</f>
        <v>0.20253597176893728</v>
      </c>
      <c r="Y35" s="343">
        <f>IFERROR(Y$29/'7.Grafer'!X$48,0)</f>
        <v>0</v>
      </c>
      <c r="Z35" s="343">
        <f>IFERROR(Z$29/'7.Grafer'!Y$48,0)</f>
        <v>0</v>
      </c>
      <c r="AA35" s="343">
        <f>IFERROR(AA$29/'7.Grafer'!Z$48,0)</f>
        <v>0</v>
      </c>
      <c r="AB35" s="343">
        <f>IFERROR(AB$29/'7.Grafer'!AA$48,0)</f>
        <v>0</v>
      </c>
      <c r="AC35" s="343">
        <f>IFERROR(AC$29/'7.Grafer'!AB$48,0)</f>
        <v>0</v>
      </c>
      <c r="AD35" s="343">
        <f>IFERROR(AD$29/'7.Grafer'!AC$48,0)</f>
        <v>0</v>
      </c>
      <c r="AE35" s="343">
        <f>IFERROR(AE$29/'7.Grafer'!AD$48,0)</f>
        <v>0</v>
      </c>
      <c r="AF35" s="343">
        <f>IFERROR(AF$29/'7.Grafer'!AE$48,0)</f>
        <v>0</v>
      </c>
      <c r="AG35" s="343">
        <f>IFERROR(AG$29/'7.Grafer'!AF$48,0)</f>
        <v>0</v>
      </c>
      <c r="AH35" s="343">
        <f>IFERROR(AH$29/'7.Grafer'!AG$48,0)</f>
        <v>0</v>
      </c>
      <c r="AI35" s="343">
        <f>IFERROR(AI$29/'7.Grafer'!AH$48,0)</f>
        <v>0</v>
      </c>
      <c r="AJ35" s="343">
        <f>IFERROR(AJ$29/'7.Grafer'!AI$48,0)</f>
        <v>0</v>
      </c>
      <c r="AK35" s="343">
        <f>IFERROR(AK$29/'7.Grafer'!AJ$48,0)</f>
        <v>0</v>
      </c>
      <c r="AL35" s="343">
        <f>IFERROR(AL$29/'7.Grafer'!AK$48,0)</f>
        <v>0</v>
      </c>
      <c r="AM35" s="343">
        <f>IFERROR(AM$29/'7.Grafer'!AL$48,0)</f>
        <v>0</v>
      </c>
      <c r="AN35" s="343">
        <f>IFERROR(AN$29/'7.Grafer'!AM$48,0)</f>
        <v>0</v>
      </c>
      <c r="AO35" s="343">
        <f>IFERROR(AO$29/'7.Grafer'!AN$48,0)</f>
        <v>0</v>
      </c>
      <c r="AP35" s="343">
        <f>IFERROR(AP$29/'7.Grafer'!AO$48,0)</f>
        <v>0</v>
      </c>
      <c r="AQ35" s="343">
        <f>IFERROR(AQ$29/'7.Grafer'!AP$48,0)</f>
        <v>0</v>
      </c>
      <c r="AR35" s="343">
        <f>IFERROR(AR$29/'7.Grafer'!AQ$48,0)</f>
        <v>0</v>
      </c>
      <c r="AS35" s="343">
        <f>IFERROR(AS$29/'7.Grafer'!AR$48,0)</f>
        <v>0</v>
      </c>
      <c r="AT35" s="343">
        <f>IFERROR(AT$29/'7.Grafer'!AS$48,0)</f>
        <v>0</v>
      </c>
      <c r="AU35" s="343">
        <f>IFERROR(AU$29/'7.Grafer'!AT$48,0)</f>
        <v>0</v>
      </c>
      <c r="AV35" s="343">
        <f>IFERROR(AV$29/'7.Grafer'!AU$48,0)</f>
        <v>0</v>
      </c>
      <c r="AW35" s="343">
        <f>IFERROR(AW$29/'7.Grafer'!AV$48,0)</f>
        <v>0</v>
      </c>
      <c r="AX35" s="343">
        <f>IFERROR(AX$29/'7.Grafer'!AW$48,0)</f>
        <v>0</v>
      </c>
      <c r="AY35" s="343">
        <f>IFERROR(AY$29/'7.Grafer'!AX$48,0)</f>
        <v>0</v>
      </c>
      <c r="AZ35" s="343">
        <f>IFERROR(AZ$29/'7.Grafer'!AY$48,0)</f>
        <v>0</v>
      </c>
      <c r="BA35" s="343">
        <f>IFERROR(BA$29/'7.Grafer'!AZ$48,0)</f>
        <v>0</v>
      </c>
      <c r="BB35" s="190"/>
    </row>
    <row r="36" spans="2:54" hidden="1" outlineLevel="1">
      <c r="B36" s="192" t="s">
        <v>245</v>
      </c>
      <c r="C36" s="530"/>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4"/>
    </row>
    <row r="37" spans="2:54" hidden="1" outlineLevel="1">
      <c r="B37" s="192" t="s">
        <v>246</v>
      </c>
      <c r="C37" s="530"/>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4"/>
    </row>
    <row r="38" spans="2:54" hidden="1" outlineLevel="1">
      <c r="B38" s="192" t="s">
        <v>247</v>
      </c>
      <c r="C38" s="530"/>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4"/>
    </row>
    <row r="39" spans="2:54" hidden="1" outlineLevel="1">
      <c r="B39" s="192" t="s">
        <v>248</v>
      </c>
      <c r="C39" s="530"/>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504"/>
    </row>
    <row r="40" spans="2:54" hidden="1" outlineLevel="1">
      <c r="B40" s="192" t="s">
        <v>249</v>
      </c>
      <c r="C40" s="530"/>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4"/>
    </row>
    <row r="41" spans="2:54" hidden="1" outlineLevel="1">
      <c r="B41" s="192" t="s">
        <v>250</v>
      </c>
      <c r="C41" s="530"/>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4"/>
    </row>
    <row r="42" spans="2:54" hidden="1" outlineLevel="1">
      <c r="B42" s="192" t="s">
        <v>251</v>
      </c>
      <c r="C42" s="530"/>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4"/>
    </row>
    <row r="43" spans="2:54" ht="15" hidden="1" outlineLevel="1">
      <c r="B43" s="193"/>
      <c r="C43" s="194">
        <f>$D$4+(C47-1)</f>
        <v>2035</v>
      </c>
      <c r="D43" s="194">
        <f>$D$4+(E47-1)</f>
        <v>2045</v>
      </c>
      <c r="E43" s="193"/>
      <c r="F43" s="195" t="str">
        <f>IF(OR(C43="",D43=""),"ÅR SAKNAS ovan NPV år!!!","")</f>
        <v/>
      </c>
      <c r="G43" s="196"/>
      <c r="H43" s="738"/>
      <c r="I43" s="738"/>
      <c r="J43" s="637"/>
      <c r="K43" s="637"/>
      <c r="L43" s="637"/>
      <c r="M43" s="637"/>
      <c r="N43" s="637"/>
      <c r="O43" s="637"/>
      <c r="P43" s="637"/>
      <c r="Q43" s="637"/>
      <c r="R43" s="637"/>
      <c r="S43" s="637"/>
      <c r="T43" s="637"/>
      <c r="U43" s="637"/>
      <c r="V43" s="637"/>
      <c r="W43" s="637"/>
      <c r="X43" s="637"/>
      <c r="Y43" s="637"/>
      <c r="Z43" s="637"/>
      <c r="AA43" s="637"/>
      <c r="AB43" s="637"/>
      <c r="AC43" s="637"/>
      <c r="AD43" s="637"/>
      <c r="AE43" s="637"/>
      <c r="AF43" s="637"/>
      <c r="AG43" s="637"/>
      <c r="AH43" s="637"/>
      <c r="AI43" s="637"/>
      <c r="AJ43" s="637"/>
      <c r="AK43" s="637"/>
      <c r="AL43" s="637"/>
      <c r="AM43" s="637"/>
      <c r="AN43" s="637"/>
      <c r="AO43" s="637"/>
      <c r="AP43" s="637"/>
      <c r="AQ43" s="637"/>
      <c r="AR43" s="637"/>
      <c r="AS43" s="637"/>
      <c r="AT43" s="637"/>
      <c r="AU43" s="504"/>
      <c r="AV43" s="504"/>
      <c r="AW43" s="504"/>
      <c r="AX43" s="504"/>
      <c r="AY43" s="504"/>
      <c r="AZ43" s="504"/>
      <c r="BA43" s="504"/>
      <c r="BB43" s="504"/>
    </row>
    <row r="44" spans="2:54" ht="15" hidden="1" outlineLevel="1">
      <c r="B44" s="198"/>
      <c r="C44" s="199" t="str">
        <f>LOOKUP(C43,D4:BA4,D3:BA3)</f>
        <v>&lt;=2035</v>
      </c>
      <c r="D44" s="199" t="str">
        <f>LOOKUP(D43,E4:BB4,E3:BB3)</f>
        <v>&lt;=2045</v>
      </c>
      <c r="E44" s="193"/>
      <c r="F44" s="195" t="str">
        <f>IF(OR(C44="",D44=""),"ÅR SAKNAS ovan NPV år!!!","")</f>
        <v/>
      </c>
      <c r="G44" s="504"/>
      <c r="H44" s="738"/>
      <c r="I44" s="738"/>
      <c r="J44" s="637"/>
      <c r="K44" s="637"/>
      <c r="L44" s="637"/>
      <c r="M44" s="637"/>
      <c r="N44" s="637"/>
      <c r="O44" s="637"/>
      <c r="P44" s="637"/>
      <c r="Q44" s="637"/>
      <c r="R44" s="637"/>
      <c r="S44" s="637"/>
      <c r="T44" s="637"/>
      <c r="U44" s="637"/>
      <c r="V44" s="637"/>
      <c r="W44" s="637"/>
      <c r="X44" s="637"/>
      <c r="Y44" s="637"/>
      <c r="Z44" s="637"/>
      <c r="AA44" s="637"/>
      <c r="AB44" s="637"/>
      <c r="AC44" s="637"/>
      <c r="AD44" s="637"/>
      <c r="AE44" s="637"/>
      <c r="AF44" s="637"/>
      <c r="AG44" s="637"/>
      <c r="AH44" s="637"/>
      <c r="AI44" s="637"/>
      <c r="AJ44" s="637"/>
      <c r="AK44" s="637"/>
      <c r="AL44" s="504"/>
      <c r="AM44" s="504"/>
      <c r="AN44" s="504"/>
      <c r="AO44" s="504"/>
      <c r="AP44" s="504"/>
      <c r="AQ44" s="504"/>
      <c r="AR44" s="504"/>
      <c r="AS44" s="504"/>
      <c r="AT44" s="504"/>
      <c r="AU44" s="504"/>
      <c r="AV44" s="504"/>
      <c r="AW44" s="504"/>
      <c r="AX44" s="504"/>
      <c r="AY44" s="504"/>
      <c r="AZ44" s="504"/>
      <c r="BA44" s="504"/>
      <c r="BB44" s="504"/>
    </row>
    <row r="45" spans="2:54" ht="15" hidden="1" outlineLevel="1">
      <c r="B45" s="198"/>
      <c r="C45" s="199"/>
      <c r="D45" s="199"/>
      <c r="E45" s="193"/>
      <c r="F45" s="195"/>
      <c r="G45" s="504"/>
      <c r="H45" s="197"/>
      <c r="I45" s="197"/>
      <c r="J45" s="637"/>
      <c r="K45" s="637"/>
      <c r="L45" s="637"/>
      <c r="M45" s="637"/>
      <c r="N45" s="637"/>
      <c r="O45" s="637"/>
      <c r="P45" s="637"/>
      <c r="Q45" s="637"/>
      <c r="R45" s="637"/>
      <c r="S45" s="637"/>
      <c r="T45" s="637"/>
      <c r="U45" s="637"/>
      <c r="V45" s="637"/>
      <c r="W45" s="637"/>
      <c r="X45" s="637"/>
      <c r="Y45" s="637"/>
      <c r="Z45" s="637"/>
      <c r="AA45" s="637"/>
      <c r="AB45" s="637"/>
      <c r="AC45" s="637"/>
      <c r="AD45" s="637"/>
      <c r="AE45" s="637"/>
      <c r="AF45" s="637"/>
      <c r="AG45" s="637"/>
      <c r="AH45" s="637"/>
      <c r="AI45" s="637"/>
      <c r="AJ45" s="637"/>
      <c r="AK45" s="637"/>
      <c r="AL45" s="504"/>
      <c r="AM45" s="504"/>
      <c r="AN45" s="504"/>
      <c r="AO45" s="504"/>
      <c r="AP45" s="504"/>
      <c r="AQ45" s="504"/>
      <c r="AR45" s="504"/>
      <c r="AS45" s="504"/>
      <c r="AT45" s="504"/>
      <c r="AU45" s="504"/>
      <c r="AV45" s="504"/>
      <c r="AW45" s="504"/>
      <c r="AX45" s="504"/>
      <c r="AY45" s="504"/>
      <c r="AZ45" s="504"/>
      <c r="BA45" s="504"/>
      <c r="BB45" s="504"/>
    </row>
    <row r="46" spans="2:54" ht="15" collapsed="1">
      <c r="B46" s="69"/>
      <c r="C46" s="200"/>
      <c r="D46" s="200"/>
      <c r="E46" s="76"/>
      <c r="F46" s="195"/>
      <c r="G46" s="504"/>
      <c r="H46" s="197"/>
      <c r="I46" s="197"/>
      <c r="J46" s="637"/>
      <c r="K46" s="637"/>
      <c r="L46" s="637"/>
      <c r="M46" s="637"/>
      <c r="N46" s="637"/>
      <c r="O46" s="637"/>
      <c r="P46" s="637"/>
      <c r="Q46" s="637"/>
      <c r="R46" s="637"/>
      <c r="S46" s="637"/>
      <c r="T46" s="637"/>
      <c r="U46" s="637"/>
      <c r="V46" s="637"/>
      <c r="W46" s="637"/>
      <c r="X46" s="637"/>
      <c r="Y46" s="637"/>
      <c r="Z46" s="637"/>
      <c r="AA46" s="637"/>
      <c r="AB46" s="637"/>
      <c r="AC46" s="637"/>
      <c r="AD46" s="637"/>
      <c r="AE46" s="637"/>
      <c r="AF46" s="637"/>
      <c r="AG46" s="637"/>
      <c r="AH46" s="637"/>
      <c r="AI46" s="637"/>
      <c r="AJ46" s="637"/>
      <c r="AK46" s="637"/>
      <c r="AL46" s="504"/>
      <c r="AM46" s="504"/>
      <c r="AN46" s="504"/>
      <c r="AO46" s="504"/>
      <c r="AP46" s="504"/>
      <c r="AQ46" s="504"/>
      <c r="AR46" s="504"/>
      <c r="AS46" s="504"/>
      <c r="AT46" s="504"/>
      <c r="AU46" s="504"/>
      <c r="AV46" s="504"/>
      <c r="AW46" s="504"/>
      <c r="AX46" s="504"/>
      <c r="AY46" s="504"/>
      <c r="AZ46" s="504"/>
      <c r="BA46" s="504"/>
      <c r="BB46" s="504"/>
    </row>
    <row r="47" spans="2:54" s="201" customFormat="1" ht="30" customHeight="1">
      <c r="B47" s="428" t="s">
        <v>396</v>
      </c>
      <c r="C47" s="429">
        <v>10</v>
      </c>
      <c r="D47" s="429"/>
      <c r="E47" s="429">
        <f>'2. Kalkyldata'!P17</f>
        <v>20</v>
      </c>
      <c r="F47" s="579"/>
      <c r="G47" s="202"/>
      <c r="H47" s="203"/>
      <c r="I47" s="204"/>
      <c r="J47" s="638"/>
      <c r="K47" s="638"/>
      <c r="L47" s="638"/>
      <c r="M47" s="638"/>
      <c r="N47" s="638"/>
      <c r="O47" s="638"/>
      <c r="P47" s="638"/>
      <c r="Q47" s="638"/>
      <c r="R47" s="638"/>
      <c r="S47" s="638"/>
      <c r="T47" s="639"/>
      <c r="U47" s="639"/>
      <c r="V47" s="639"/>
      <c r="W47" s="639"/>
      <c r="X47" s="639"/>
      <c r="Y47" s="639"/>
      <c r="Z47" s="639"/>
      <c r="AA47" s="639"/>
      <c r="AB47" s="639"/>
      <c r="AC47" s="639"/>
      <c r="AD47" s="639"/>
      <c r="AE47" s="639"/>
      <c r="AF47" s="639"/>
      <c r="AG47" s="639"/>
      <c r="AH47" s="639"/>
      <c r="AI47" s="639"/>
      <c r="AJ47" s="639"/>
      <c r="AK47" s="639"/>
      <c r="AL47" s="579"/>
      <c r="AM47" s="579"/>
      <c r="AN47" s="579"/>
      <c r="AO47" s="579"/>
      <c r="AP47" s="579"/>
      <c r="AQ47" s="579"/>
      <c r="AR47" s="579"/>
      <c r="AS47" s="579"/>
      <c r="AT47" s="579"/>
      <c r="AU47" s="579"/>
      <c r="AV47" s="579"/>
      <c r="AW47" s="579"/>
      <c r="AX47" s="579"/>
      <c r="AY47" s="579"/>
      <c r="AZ47" s="579"/>
      <c r="BA47" s="579"/>
      <c r="BB47" s="579"/>
    </row>
    <row r="48" spans="2:54">
      <c r="B48" s="229" t="s">
        <v>252</v>
      </c>
      <c r="C48" s="333">
        <f>ROUND((SUMIFS($D$36:$BA$36,$D$4:$BA$4,$C$44))/10000,0)*10000</f>
        <v>114050000</v>
      </c>
      <c r="D48" s="333"/>
      <c r="E48" s="333">
        <f>ROUND((SUMIFS($D$36:$BA$36,$D$4:$BA$4,$D$44))/10000,0)*10000</f>
        <v>197100000</v>
      </c>
      <c r="F48" s="504"/>
      <c r="G48" s="504"/>
      <c r="H48" s="504"/>
      <c r="I48" s="504"/>
      <c r="J48" s="504"/>
      <c r="K48" s="638"/>
      <c r="L48" s="638"/>
      <c r="M48" s="638"/>
      <c r="N48" s="638"/>
      <c r="O48" s="638"/>
      <c r="P48" s="638"/>
      <c r="Q48" s="638"/>
      <c r="R48" s="638"/>
      <c r="S48" s="638"/>
      <c r="T48" s="504"/>
      <c r="U48" s="504"/>
      <c r="V48" s="504"/>
      <c r="W48" s="504"/>
      <c r="X48" s="556"/>
      <c r="Y48" s="504"/>
      <c r="Z48" s="504"/>
      <c r="AA48" s="504"/>
      <c r="AB48" s="504"/>
      <c r="AC48" s="504"/>
      <c r="AD48" s="504"/>
      <c r="AE48" s="504"/>
      <c r="AF48" s="504"/>
      <c r="AG48" s="504"/>
      <c r="AH48" s="504"/>
      <c r="AI48" s="504"/>
      <c r="AJ48" s="504"/>
      <c r="AK48" s="504"/>
      <c r="AL48" s="504"/>
      <c r="AM48" s="504"/>
      <c r="AN48" s="504"/>
      <c r="AO48" s="504"/>
      <c r="AP48" s="504"/>
      <c r="AQ48" s="504"/>
      <c r="AR48" s="504"/>
      <c r="AS48" s="504"/>
      <c r="AT48" s="504"/>
      <c r="AU48" s="504"/>
      <c r="AV48" s="504"/>
      <c r="AW48" s="504"/>
      <c r="AX48" s="504"/>
      <c r="AY48" s="504"/>
      <c r="AZ48" s="504"/>
      <c r="BA48" s="504"/>
      <c r="BB48" s="504"/>
    </row>
    <row r="49" spans="2:25" ht="15">
      <c r="B49" s="229" t="s">
        <v>247</v>
      </c>
      <c r="C49" s="333">
        <f>-ROUND((SUM($D$38:$BA$38))/10000,0)*10000</f>
        <v>0</v>
      </c>
      <c r="D49" s="333"/>
      <c r="E49" s="333">
        <f>-ROUND((SUM($D$38:$BA$38))/10000,0)*10000</f>
        <v>0</v>
      </c>
      <c r="F49" s="504"/>
      <c r="G49" s="504"/>
      <c r="H49" s="504"/>
      <c r="I49" s="504"/>
      <c r="J49" s="504"/>
      <c r="K49" s="205"/>
      <c r="L49" s="205"/>
      <c r="M49" s="205"/>
      <c r="N49" s="205"/>
      <c r="O49" s="205"/>
      <c r="P49" s="205"/>
      <c r="Q49" s="205"/>
      <c r="R49" s="205"/>
      <c r="S49" s="205"/>
      <c r="T49" s="205"/>
      <c r="U49" s="205"/>
      <c r="V49" s="205"/>
      <c r="W49" s="205"/>
      <c r="X49" s="205"/>
      <c r="Y49" s="504"/>
    </row>
    <row r="50" spans="2:25">
      <c r="B50" s="229" t="s">
        <v>253</v>
      </c>
      <c r="C50" s="333">
        <f>ROUND((HLOOKUP(C$43+1,$D$4:$BA$33,26,FALSE)/'2. Kalkyldata'!$M$11)/10000,0)*10000</f>
        <v>239460000</v>
      </c>
      <c r="D50" s="333"/>
      <c r="E50" s="333">
        <f>ROUND((((HLOOKUP(D$43+1,$D$4:$BA$33,26,FALSE)-HLOOKUP(D$43+1,$D$4:$BA$33,22,FALSE))/'2. Kalkyldata'!$M$11))/10000,0)*10000</f>
        <v>271940000</v>
      </c>
      <c r="F50" s="504"/>
      <c r="G50" s="504"/>
      <c r="H50" s="504"/>
      <c r="I50" s="504"/>
      <c r="J50" s="504"/>
      <c r="K50" s="504"/>
      <c r="L50" s="504"/>
      <c r="M50" s="640"/>
      <c r="N50" s="504"/>
      <c r="O50" s="504"/>
      <c r="P50" s="504"/>
      <c r="Q50" s="504"/>
      <c r="R50" s="504"/>
      <c r="S50" s="504"/>
      <c r="T50" s="504"/>
      <c r="U50" s="504"/>
      <c r="V50" s="504"/>
      <c r="W50" s="504"/>
      <c r="X50" s="504"/>
      <c r="Y50" s="504"/>
    </row>
    <row r="51" spans="2:25" s="201" customFormat="1">
      <c r="B51" s="430" t="s">
        <v>254</v>
      </c>
      <c r="C51" s="333">
        <f>ROUND((C50/((1+'2. Kalkyldata'!$M$8)^(C47)))/10000,0)*10000</f>
        <v>105910000</v>
      </c>
      <c r="D51" s="333"/>
      <c r="E51" s="333">
        <f>ROUND((E50/((1+'2. Kalkyldata'!$M$8)^(E47)))/10000,0)*10000</f>
        <v>53200000</v>
      </c>
      <c r="F51" s="579"/>
      <c r="G51" s="579"/>
      <c r="H51" s="579"/>
      <c r="I51" s="579"/>
      <c r="J51" s="641"/>
      <c r="K51" s="641"/>
      <c r="L51" s="641"/>
      <c r="M51" s="641"/>
      <c r="N51" s="641"/>
      <c r="O51" s="641"/>
      <c r="P51" s="641"/>
      <c r="Q51" s="641"/>
      <c r="R51" s="641"/>
      <c r="S51" s="641"/>
      <c r="T51" s="641"/>
      <c r="U51" s="641"/>
      <c r="V51" s="579"/>
      <c r="W51" s="579"/>
      <c r="X51" s="579"/>
      <c r="Y51" s="579"/>
    </row>
    <row r="52" spans="2:25" ht="15">
      <c r="B52" s="431" t="s">
        <v>255</v>
      </c>
      <c r="C52" s="432">
        <f>IFERROR(C48+C49+C51,0)</f>
        <v>219960000</v>
      </c>
      <c r="D52" s="433"/>
      <c r="E52" s="433">
        <f>IFERROR(E51+E48+E49,0)</f>
        <v>250300000</v>
      </c>
      <c r="F52" s="504"/>
      <c r="G52" s="504"/>
      <c r="H52" s="504"/>
      <c r="I52" s="504"/>
      <c r="J52" s="504"/>
      <c r="K52" s="642"/>
      <c r="L52" s="643"/>
      <c r="M52" s="504"/>
      <c r="N52" s="504"/>
      <c r="O52" s="504"/>
      <c r="P52" s="504"/>
      <c r="Q52" s="504"/>
      <c r="R52" s="504"/>
      <c r="S52" s="504"/>
      <c r="T52" s="504"/>
      <c r="U52" s="504"/>
      <c r="V52" s="504"/>
      <c r="W52" s="504"/>
      <c r="X52" s="504"/>
      <c r="Y52" s="504"/>
    </row>
    <row r="53" spans="2:25">
      <c r="B53" s="434" t="s">
        <v>65</v>
      </c>
      <c r="C53" s="435">
        <f>IFERROR(C52/'2. Kalkyldata'!$H$28,0)</f>
        <v>36059.016393442624</v>
      </c>
      <c r="D53" s="435"/>
      <c r="E53" s="435">
        <f>IFERROR(E52/'2. Kalkyldata'!$H$28,0)</f>
        <v>41032.7868852459</v>
      </c>
      <c r="F53" s="195"/>
      <c r="G53" s="504"/>
      <c r="H53" s="504"/>
      <c r="I53" s="504"/>
      <c r="J53" s="504"/>
      <c r="K53" s="617"/>
      <c r="L53" s="504"/>
      <c r="M53" s="504"/>
      <c r="N53" s="504"/>
      <c r="O53" s="504"/>
      <c r="P53" s="504"/>
      <c r="Q53" s="504"/>
      <c r="R53" s="504"/>
      <c r="S53" s="504"/>
      <c r="T53" s="504"/>
      <c r="U53" s="504"/>
      <c r="V53" s="504"/>
      <c r="W53" s="504"/>
      <c r="X53" s="504"/>
      <c r="Y53" s="504"/>
    </row>
    <row r="54" spans="2:25">
      <c r="B54" s="229"/>
      <c r="C54" s="333"/>
      <c r="D54" s="333"/>
      <c r="E54" s="333"/>
      <c r="F54" s="195"/>
      <c r="G54" s="504"/>
      <c r="H54" s="504"/>
      <c r="I54" s="504"/>
      <c r="J54" s="504"/>
      <c r="K54" s="504"/>
      <c r="L54" s="504"/>
      <c r="M54" s="504"/>
      <c r="N54" s="504"/>
      <c r="O54" s="504"/>
      <c r="P54" s="504"/>
      <c r="Q54" s="504"/>
      <c r="R54" s="504"/>
      <c r="S54" s="504"/>
      <c r="T54" s="504"/>
      <c r="U54" s="504"/>
      <c r="V54" s="504"/>
      <c r="W54" s="504"/>
      <c r="X54" s="504"/>
      <c r="Y54" s="504"/>
    </row>
    <row r="55" spans="2:25">
      <c r="B55" s="229" t="s">
        <v>166</v>
      </c>
      <c r="C55" s="333">
        <f>-'2. Kalkyldata'!$W$28</f>
        <v>-239999999.99999997</v>
      </c>
      <c r="D55" s="230"/>
      <c r="E55" s="230">
        <f>$C$55</f>
        <v>-239999999.99999997</v>
      </c>
      <c r="F55" s="504"/>
      <c r="G55" s="504"/>
      <c r="H55" s="504"/>
      <c r="I55" s="504"/>
      <c r="J55" s="504"/>
      <c r="K55" s="504"/>
      <c r="L55" s="644"/>
      <c r="M55" s="644"/>
      <c r="N55" s="644"/>
      <c r="O55" s="644"/>
      <c r="P55" s="504"/>
      <c r="Q55" s="504"/>
      <c r="R55" s="504"/>
      <c r="S55" s="504"/>
      <c r="T55" s="504"/>
      <c r="U55" s="504"/>
      <c r="V55" s="504"/>
      <c r="W55" s="504"/>
      <c r="X55" s="504"/>
      <c r="Y55" s="504"/>
    </row>
    <row r="56" spans="2:25">
      <c r="B56" s="229" t="s">
        <v>256</v>
      </c>
      <c r="C56" s="333">
        <f>-'2. Kalkyldata'!$X$28</f>
        <v>-239999999.99999997</v>
      </c>
      <c r="D56" s="230"/>
      <c r="E56" s="230">
        <f>$C$56</f>
        <v>-239999999.99999997</v>
      </c>
      <c r="F56" s="504"/>
      <c r="G56" s="504"/>
      <c r="H56" s="504"/>
      <c r="I56" s="504"/>
      <c r="J56" s="504"/>
      <c r="K56" s="504"/>
      <c r="L56" s="504"/>
      <c r="M56" s="504"/>
      <c r="N56" s="640"/>
      <c r="O56" s="556"/>
      <c r="P56" s="504"/>
      <c r="Q56" s="504"/>
      <c r="R56" s="504"/>
      <c r="S56" s="504"/>
      <c r="T56" s="504"/>
      <c r="U56" s="504"/>
      <c r="V56" s="504"/>
      <c r="W56" s="504"/>
      <c r="X56" s="504"/>
      <c r="Y56" s="637"/>
    </row>
    <row r="57" spans="2:25">
      <c r="B57" s="436" t="s">
        <v>27</v>
      </c>
      <c r="C57" s="437">
        <f>IFERROR($C$56/'2. Kalkyldata'!$H$28,0)</f>
        <v>-39344.262295081964</v>
      </c>
      <c r="D57" s="437"/>
      <c r="E57" s="437">
        <f>IFERROR($E$56/'2. Kalkyldata'!$H$28,0)</f>
        <v>-39344.262295081964</v>
      </c>
      <c r="F57" s="504"/>
      <c r="G57" s="504"/>
      <c r="H57" s="504"/>
      <c r="I57" s="504"/>
      <c r="J57" s="504"/>
      <c r="K57" s="504"/>
      <c r="L57" s="504"/>
      <c r="M57" s="504"/>
      <c r="N57" s="640"/>
      <c r="O57" s="556"/>
      <c r="P57" s="504"/>
      <c r="Q57" s="504"/>
      <c r="R57" s="504"/>
      <c r="S57" s="504"/>
      <c r="T57" s="504"/>
      <c r="U57" s="504"/>
      <c r="V57" s="504"/>
      <c r="W57" s="504"/>
      <c r="X57" s="504"/>
      <c r="Y57" s="504"/>
    </row>
    <row r="58" spans="2:25">
      <c r="B58" s="438"/>
      <c r="C58" s="437"/>
      <c r="D58" s="437"/>
      <c r="E58" s="437"/>
      <c r="F58" s="504"/>
      <c r="G58" s="504"/>
      <c r="H58" s="504"/>
      <c r="I58" s="504"/>
      <c r="J58" s="504"/>
      <c r="K58" s="504"/>
      <c r="L58" s="504"/>
      <c r="M58" s="504"/>
      <c r="N58" s="640"/>
      <c r="O58" s="556"/>
      <c r="P58" s="504"/>
      <c r="Q58" s="504"/>
      <c r="R58" s="504"/>
      <c r="S58" s="504"/>
      <c r="T58" s="504"/>
      <c r="U58" s="504"/>
      <c r="V58" s="504"/>
      <c r="W58" s="504"/>
      <c r="X58" s="504"/>
      <c r="Y58" s="504"/>
    </row>
    <row r="59" spans="2:25" s="201" customFormat="1" ht="15.75">
      <c r="B59" s="428" t="s">
        <v>257</v>
      </c>
      <c r="C59" s="439">
        <f>$C$52+$C$56</f>
        <v>-20039999.99999997</v>
      </c>
      <c r="D59" s="439"/>
      <c r="E59" s="439">
        <f>$E$52+$E$56</f>
        <v>10300000.00000003</v>
      </c>
      <c r="F59" s="579"/>
      <c r="G59" s="579"/>
      <c r="H59" s="579"/>
      <c r="I59" s="579"/>
      <c r="J59" s="579"/>
      <c r="K59" s="579"/>
      <c r="L59" s="579"/>
      <c r="M59" s="579"/>
      <c r="N59" s="556"/>
      <c r="O59" s="504"/>
      <c r="P59" s="579"/>
      <c r="Q59" s="579"/>
      <c r="R59" s="579"/>
      <c r="S59" s="579"/>
      <c r="T59" s="579"/>
      <c r="U59" s="579"/>
      <c r="V59" s="579"/>
      <c r="W59" s="579"/>
      <c r="X59" s="579"/>
      <c r="Y59" s="579"/>
    </row>
    <row r="60" spans="2:25" s="201" customFormat="1" ht="15" customHeight="1">
      <c r="B60" s="440" t="s">
        <v>65</v>
      </c>
      <c r="C60" s="441">
        <f>IFERROR($C$59/'2. Kalkyldata'!$H$28,0)</f>
        <v>-3285.2459016393395</v>
      </c>
      <c r="D60" s="441"/>
      <c r="E60" s="441">
        <f>IFERROR($E$59/'2. Kalkyldata'!$H$28,0)</f>
        <v>1688.5245901639394</v>
      </c>
      <c r="F60" s="579"/>
      <c r="G60" s="579"/>
      <c r="H60" s="579"/>
      <c r="I60" s="579"/>
      <c r="J60" s="579"/>
      <c r="K60" s="579"/>
      <c r="L60" s="579"/>
      <c r="M60" s="579"/>
      <c r="N60" s="640"/>
      <c r="O60" s="504"/>
      <c r="P60" s="579"/>
      <c r="Q60" s="579"/>
      <c r="R60" s="579"/>
      <c r="S60" s="579"/>
      <c r="T60" s="579"/>
      <c r="U60" s="579"/>
      <c r="V60" s="579"/>
      <c r="W60" s="579"/>
      <c r="X60" s="579"/>
      <c r="Y60" s="579"/>
    </row>
    <row r="61" spans="2:25" ht="15">
      <c r="B61" s="442"/>
      <c r="C61" s="443"/>
      <c r="D61" s="442"/>
      <c r="E61" s="442"/>
      <c r="F61" s="504"/>
      <c r="G61" s="504"/>
      <c r="H61" s="504"/>
      <c r="I61" s="504"/>
      <c r="J61" s="504"/>
      <c r="K61" s="504"/>
      <c r="L61" s="504"/>
      <c r="M61" s="504"/>
      <c r="N61" s="640"/>
      <c r="O61" s="504"/>
      <c r="P61" s="504"/>
      <c r="Q61" s="504"/>
      <c r="R61" s="504"/>
      <c r="S61" s="504"/>
      <c r="T61" s="504"/>
      <c r="U61" s="504"/>
      <c r="V61" s="504"/>
      <c r="W61" s="504"/>
      <c r="X61" s="504"/>
      <c r="Y61" s="504"/>
    </row>
    <row r="62" spans="2:25" ht="15.75">
      <c r="B62" s="428" t="s">
        <v>150</v>
      </c>
      <c r="C62" s="739">
        <f>IF(COUNT(D39:BA39)=50,"N/A",COUNT(D39:BA39))</f>
        <v>15</v>
      </c>
      <c r="D62" s="739"/>
      <c r="E62" s="739"/>
      <c r="F62" s="504"/>
      <c r="G62" s="504"/>
      <c r="H62" s="504"/>
      <c r="I62" s="504"/>
      <c r="J62" s="504"/>
      <c r="K62" s="504"/>
      <c r="L62" s="504"/>
      <c r="M62" s="504"/>
      <c r="N62" s="504"/>
      <c r="O62" s="504"/>
      <c r="P62" s="504"/>
      <c r="Q62" s="504"/>
      <c r="R62" s="504"/>
      <c r="S62" s="504"/>
      <c r="T62" s="504"/>
      <c r="U62" s="504"/>
      <c r="V62" s="504"/>
      <c r="W62" s="504"/>
      <c r="X62" s="504"/>
      <c r="Y62" s="504"/>
    </row>
    <row r="63" spans="2:25">
      <c r="B63" s="504"/>
      <c r="C63" s="206"/>
      <c r="D63" s="207"/>
      <c r="E63" s="207"/>
      <c r="F63" s="207"/>
      <c r="G63" s="504"/>
      <c r="H63" s="504"/>
      <c r="I63" s="504"/>
      <c r="J63" s="504"/>
      <c r="K63" s="504"/>
      <c r="L63" s="504"/>
      <c r="M63" s="504"/>
      <c r="N63" s="504"/>
      <c r="O63" s="504"/>
      <c r="P63" s="504"/>
      <c r="Q63" s="504"/>
      <c r="R63" s="504"/>
      <c r="S63" s="504"/>
      <c r="T63" s="504"/>
      <c r="U63" s="504"/>
      <c r="V63" s="504"/>
      <c r="W63" s="504"/>
      <c r="X63" s="504"/>
      <c r="Y63" s="504"/>
    </row>
    <row r="64" spans="2:25" ht="15.75">
      <c r="B64" s="428" t="s">
        <v>379</v>
      </c>
      <c r="C64" s="429"/>
      <c r="D64" s="429"/>
      <c r="E64" s="429"/>
      <c r="F64" s="207"/>
      <c r="G64" s="504"/>
      <c r="H64" s="504"/>
      <c r="I64" s="504"/>
      <c r="J64" s="504"/>
      <c r="K64" s="504"/>
      <c r="L64" s="504"/>
      <c r="M64" s="504"/>
      <c r="N64" s="504"/>
      <c r="O64" s="504"/>
      <c r="P64" s="504"/>
      <c r="Q64" s="504"/>
      <c r="R64" s="504"/>
      <c r="S64" s="504"/>
      <c r="T64" s="504"/>
      <c r="U64" s="504"/>
      <c r="V64" s="504"/>
      <c r="W64" s="504"/>
      <c r="X64" s="504"/>
      <c r="Y64" s="504"/>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1" t="s">
        <v>386</v>
      </c>
      <c r="C71" s="97"/>
      <c r="D71" s="423">
        <f>D29-D70</f>
        <v>13694500</v>
      </c>
      <c r="E71" s="423">
        <f>E29-E70</f>
        <v>13871400</v>
      </c>
      <c r="F71" s="423">
        <f>F29-F70</f>
        <v>14050480.140000001</v>
      </c>
      <c r="G71" s="423">
        <f>G29-G70</f>
        <v>14231765.012760002</v>
      </c>
      <c r="H71" s="423">
        <f>H29-H70</f>
        <v>14415279.436754644</v>
      </c>
      <c r="I71" s="423">
        <f>I29-I70</f>
        <v>14601048.456961529</v>
      </c>
      <c r="J71" s="423">
        <f>J29-J70</f>
        <v>14789097.345613157</v>
      </c>
      <c r="K71" s="423">
        <f>K29-K70</f>
        <v>14979451.602910995</v>
      </c>
      <c r="L71" s="423">
        <f>L29-L70</f>
        <v>15172136.957700187</v>
      </c>
      <c r="M71" s="423">
        <f>M29-M70</f>
        <v>15367179.368103392</v>
      </c>
      <c r="N71" s="423">
        <f>N29-N70</f>
        <v>15564605.022112153</v>
      </c>
      <c r="O71" s="423">
        <f>O29-O70</f>
        <v>15764440.33813414</v>
      </c>
      <c r="P71" s="423">
        <f>P29-P70</f>
        <v>15966711.965494689</v>
      </c>
      <c r="Q71" s="423">
        <f>Q29-Q70</f>
        <v>16171446.784890812</v>
      </c>
      <c r="R71" s="423">
        <f>R29-R70</f>
        <v>16378671.908796068</v>
      </c>
      <c r="S71" s="423">
        <f>S29-S70</f>
        <v>16588414.681814335</v>
      </c>
      <c r="T71" s="423">
        <f>T29-T70</f>
        <v>16800702.680980761</v>
      </c>
      <c r="U71" s="423">
        <f>U29-U70</f>
        <v>17015563.716007937</v>
      </c>
      <c r="V71" s="423">
        <f>V29-V70</f>
        <v>17233025.829475358</v>
      </c>
      <c r="W71" s="423">
        <f>W29-W70</f>
        <v>17453117.29696019</v>
      </c>
      <c r="X71" s="423">
        <f>X29-X70</f>
        <v>17675866.627107255</v>
      </c>
      <c r="Y71" s="423">
        <f>Y29-Y70</f>
        <v>0</v>
      </c>
      <c r="Z71" s="423">
        <f>Z29-Z70</f>
        <v>0</v>
      </c>
      <c r="AA71" s="423">
        <f>AA29-AA70</f>
        <v>0</v>
      </c>
      <c r="AB71" s="423">
        <f>AB29-AB70</f>
        <v>0</v>
      </c>
      <c r="AC71" s="423">
        <f>AC29-AC70</f>
        <v>0</v>
      </c>
      <c r="AD71" s="423">
        <f>AD29-AD70</f>
        <v>0</v>
      </c>
      <c r="AE71" s="423">
        <f>AE29-AE70</f>
        <v>0</v>
      </c>
      <c r="AF71" s="423">
        <f>AF29-AF70</f>
        <v>0</v>
      </c>
      <c r="AG71" s="423">
        <f>AG29-AG70</f>
        <v>0</v>
      </c>
      <c r="AH71" s="423">
        <f>AH29-AH70</f>
        <v>0</v>
      </c>
      <c r="AI71" s="423">
        <f>AI29-AI70</f>
        <v>0</v>
      </c>
      <c r="AJ71" s="423">
        <f>AJ29-AJ70</f>
        <v>0</v>
      </c>
      <c r="AK71" s="423">
        <f>AK29-AK70</f>
        <v>0</v>
      </c>
      <c r="AL71" s="423">
        <f>AL29-AL70</f>
        <v>0</v>
      </c>
      <c r="AM71" s="423">
        <f>AM29-AM70</f>
        <v>0</v>
      </c>
      <c r="AN71" s="423">
        <f>AN29-AN70</f>
        <v>0</v>
      </c>
      <c r="AO71" s="423">
        <f>AO29-AO70</f>
        <v>0</v>
      </c>
      <c r="AP71" s="423">
        <f>AP29-AP70</f>
        <v>0</v>
      </c>
      <c r="AQ71" s="423">
        <f>AQ29-AQ70</f>
        <v>0</v>
      </c>
      <c r="AR71" s="423">
        <f>AR29-AR70</f>
        <v>0</v>
      </c>
      <c r="AS71" s="423">
        <f>AS29-AS70</f>
        <v>0</v>
      </c>
      <c r="AT71" s="423">
        <f>AT29-AT70</f>
        <v>0</v>
      </c>
      <c r="AU71" s="423">
        <f>AU29-AU70</f>
        <v>0</v>
      </c>
      <c r="AV71" s="423">
        <f>AV29-AV70</f>
        <v>0</v>
      </c>
      <c r="AW71" s="423">
        <f>AW29-AW70</f>
        <v>0</v>
      </c>
      <c r="AX71" s="423">
        <f>AX29-AX70</f>
        <v>0</v>
      </c>
      <c r="AY71" s="423">
        <f>AY29-AY70</f>
        <v>0</v>
      </c>
      <c r="AZ71" s="423">
        <f>AZ29-AZ70</f>
        <v>0</v>
      </c>
      <c r="BA71" s="423">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(D71-D72)/((1+'2. Kalkyldata'!$M$7)^D$5)</f>
        <v>13098517.455762792</v>
      </c>
      <c r="E73" s="230">
        <f>(E71-E72)/((1+'2. Kalkyldata'!$M$7)^E$5)</f>
        <v>12690309.703333337</v>
      </c>
      <c r="F73" s="230">
        <f>(F71-F72)/((1+'2. Kalkyldata'!$M$7)^F$5)</f>
        <v>12294731.646523232</v>
      </c>
      <c r="G73" s="230">
        <f>(G71-G72)/((1+'2. Kalkyldata'!$M$7)^G$5)</f>
        <v>11911394.696503207</v>
      </c>
      <c r="H73" s="230">
        <f>(H71-H72)/((1+'2. Kalkyldata'!$M$7)^H$5)</f>
        <v>11539922.16904518</v>
      </c>
      <c r="I73" s="230">
        <f>(I71-I72)/((1+'2. Kalkyldata'!$M$7)^I$5)</f>
        <v>11179948.921048013</v>
      </c>
      <c r="J73" s="230">
        <f>(J71-J72)/((1+'2. Kalkyldata'!$M$7)^J$5)</f>
        <v>10831120.998131493</v>
      </c>
      <c r="K73" s="230">
        <f>(K71-K72)/((1+'2. Kalkyldata'!$M$7)^K$5)</f>
        <v>10493095.292962182</v>
      </c>
      <c r="L73" s="230">
        <f>(L71-L72)/((1+'2. Kalkyldata'!$M$7)^L$5)</f>
        <v>10165539.21398502</v>
      </c>
      <c r="M73" s="230">
        <f>(M71-M72)/((1+'2. Kalkyldata'!$M$7)^M$5)</f>
        <v>9848130.3642444499</v>
      </c>
      <c r="N73" s="230">
        <f>(N71-N72)/((1+'2. Kalkyldata'!$M$7)^N$5)</f>
        <v>9540556.229988439</v>
      </c>
      <c r="O73" s="230">
        <f>(O71-O72)/((1+'2. Kalkyldata'!$M$7)^O$5)</f>
        <v>9242513.8787579946</v>
      </c>
      <c r="P73" s="230">
        <f>(P71-P72)/((1+'2. Kalkyldata'!$M$7)^P$5)</f>
        <v>8953709.6666739769</v>
      </c>
      <c r="Q73" s="230">
        <f>(Q71-Q72)/((1+'2. Kalkyldata'!$M$7)^Q$5)</f>
        <v>8673858.9546414968</v>
      </c>
      <c r="R73" s="230">
        <f>(R71-R72)/((1+'2. Kalkyldata'!$M$7)^R$5)</f>
        <v>8402685.83320098</v>
      </c>
      <c r="S73" s="230">
        <f>(S71-S72)/((1+'2. Kalkyldata'!$M$7)^S$5)</f>
        <v>8139922.8557628747</v>
      </c>
      <c r="T73" s="230">
        <f>(T71-T72)/((1+'2. Kalkyldata'!$M$7)^T$5)</f>
        <v>7885310.7799712447</v>
      </c>
      <c r="U73" s="230">
        <f>(U71-U72)/((1+'2. Kalkyldata'!$M$7)^U$5)</f>
        <v>7638598.3169490555</v>
      </c>
      <c r="V73" s="230">
        <f>(V71-V72)/((1+'2. Kalkyldata'!$M$7)^V$5)</f>
        <v>7399541.8881855067</v>
      </c>
      <c r="W73" s="230">
        <f>(W71-W72)/((1+'2. Kalkyldata'!$M$7)^W$5)</f>
        <v>7167905.3898330461</v>
      </c>
      <c r="X73" s="230">
        <f>(X71-X72)/((1+'2.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4" t="s">
        <v>390</v>
      </c>
      <c r="C75" s="207"/>
      <c r="D75" s="207"/>
      <c r="E75" s="207"/>
      <c r="F75" s="207"/>
    </row>
    <row r="76" spans="2:53" ht="15.75">
      <c r="B76" s="428" t="s">
        <v>391</v>
      </c>
      <c r="C76" s="429">
        <f>C47</f>
        <v>10</v>
      </c>
      <c r="D76" s="429"/>
      <c r="E76" s="429">
        <f>E47</f>
        <v>20</v>
      </c>
      <c r="F76" s="207"/>
    </row>
    <row r="77" spans="2:53">
      <c r="B77" s="229" t="s">
        <v>392</v>
      </c>
      <c r="C77" s="333">
        <f>ROUND((SUMIFS($D$73:$BA$73,$D$4:$BA$4,$C$44))/10000,0)*10000</f>
        <v>114050000</v>
      </c>
      <c r="D77" s="333"/>
      <c r="E77" s="333">
        <f>ROUND((SUMIFS($D$73:$BA$73,$D$4:$BA$4,$D$44))/10000,0)*10000</f>
        <v>197100000</v>
      </c>
      <c r="F77" s="504"/>
    </row>
    <row r="78" spans="2:53">
      <c r="B78" s="229" t="s">
        <v>247</v>
      </c>
      <c r="C78" s="333">
        <f>-ROUND((SUM($D$74:$BA$74))/10000,0)*10000</f>
        <v>0</v>
      </c>
      <c r="D78" s="333"/>
      <c r="E78" s="333">
        <f>-ROUND((SUM($D$74:$BA$74))/10000,0)*10000</f>
        <v>0</v>
      </c>
      <c r="F78" s="504"/>
    </row>
    <row r="79" spans="2:53">
      <c r="B79" s="229" t="s">
        <v>393</v>
      </c>
      <c r="C79" s="333">
        <f>ROUND((HLOOKUP(C$43+1,$D$4:$BA$74,68,FALSE)/'2. Kalkyldata'!$M$11)/10000,0)*10000</f>
        <v>239460000</v>
      </c>
      <c r="D79" s="333"/>
      <c r="E79" s="333">
        <f>ROUND(((HLOOKUP(D$43+1,$D$4:$BA$74,68,FALSE)-HLOOKUP(D$43+1,$D$4:$BA$74,69,FALSE))/'2. Kalkyldata'!$M$11)/10000,0)*10000</f>
        <v>271940000</v>
      </c>
      <c r="F79" s="504"/>
    </row>
    <row r="80" spans="2:53">
      <c r="B80" s="229" t="s">
        <v>254</v>
      </c>
      <c r="C80" s="333">
        <f>ROUND((C79/((1+'2. Kalkyldata'!$M$8)^(C47)))/10000,0)*10000</f>
        <v>105910000</v>
      </c>
      <c r="D80" s="333"/>
      <c r="E80" s="333">
        <f>ROUND((E79/((1+'2. Kalkyldata'!$M$8)^(E47)))/10000,0)*10000</f>
        <v>53200000</v>
      </c>
      <c r="F80" s="504"/>
    </row>
    <row r="81" spans="2:5">
      <c r="B81" s="229" t="s">
        <v>394</v>
      </c>
      <c r="C81" s="333">
        <f>IFERROR(C77+C78+C80,0)</f>
        <v>219960000</v>
      </c>
      <c r="D81" s="333"/>
      <c r="E81" s="333">
        <f>IFERROR(E77+E78+E80,0)</f>
        <v>250300000</v>
      </c>
    </row>
    <row r="82" spans="2:5" ht="15.75">
      <c r="B82" s="428" t="s">
        <v>395</v>
      </c>
      <c r="C82" s="439">
        <f>C81+$C$56</f>
        <v>-20039999.99999997</v>
      </c>
      <c r="D82" s="439"/>
      <c r="E82" s="439">
        <f>E81+$E$56</f>
        <v>10300000.00000003</v>
      </c>
    </row>
    <row r="83" spans="2:5">
      <c r="C83" s="504"/>
      <c r="D83" s="504"/>
      <c r="E83" s="504"/>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election activeCell="H55" sqref="H55:H57"/>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4"/>
      <c r="D1" s="617"/>
      <c r="E1" s="617"/>
      <c r="F1" s="617"/>
      <c r="G1" s="617"/>
      <c r="H1" s="617"/>
      <c r="I1" s="617"/>
      <c r="J1" s="617"/>
      <c r="K1" s="617"/>
      <c r="L1" s="617"/>
      <c r="M1" s="617"/>
      <c r="N1" s="617"/>
      <c r="O1" s="617"/>
      <c r="P1" s="617"/>
      <c r="Q1" s="617"/>
      <c r="R1" s="617"/>
      <c r="S1" s="617"/>
      <c r="T1" s="617"/>
      <c r="U1" s="617"/>
      <c r="V1" s="617"/>
      <c r="W1" s="617"/>
      <c r="X1" s="617"/>
      <c r="Y1" s="617"/>
      <c r="Z1" s="617"/>
      <c r="AA1" s="617"/>
      <c r="AB1" s="617"/>
      <c r="AC1" s="617"/>
      <c r="AD1" s="617"/>
      <c r="AE1" s="617"/>
      <c r="AF1" s="617"/>
      <c r="AG1" s="617"/>
      <c r="AH1" s="617"/>
      <c r="AI1" s="617"/>
      <c r="AJ1" s="617"/>
      <c r="AK1" s="617"/>
      <c r="AL1" s="617"/>
      <c r="AM1" s="617"/>
      <c r="AN1" s="617"/>
      <c r="AO1" s="617"/>
      <c r="AP1" s="617"/>
      <c r="AQ1" s="617"/>
      <c r="AR1" s="617"/>
      <c r="AS1" s="617"/>
      <c r="AT1" s="617"/>
      <c r="AU1" s="617"/>
      <c r="AV1" s="617"/>
      <c r="AW1" s="617"/>
      <c r="AX1" s="617"/>
      <c r="AY1" s="617"/>
      <c r="AZ1" s="617"/>
      <c r="BA1" s="617"/>
    </row>
    <row r="2" spans="1:53" ht="42.75" hidden="1" customHeight="1" outlineLevel="1">
      <c r="A2" s="177"/>
      <c r="B2" s="741" t="s">
        <v>259</v>
      </c>
      <c r="C2" s="741"/>
      <c r="D2" s="741"/>
      <c r="E2" s="741"/>
      <c r="F2" s="741"/>
      <c r="G2" s="741"/>
      <c r="H2" s="741"/>
      <c r="I2" s="741"/>
      <c r="J2" s="741"/>
      <c r="K2" s="741"/>
      <c r="L2" s="617"/>
      <c r="M2" s="617"/>
      <c r="N2" s="617"/>
      <c r="O2" s="617"/>
      <c r="P2" s="617"/>
      <c r="Q2" s="617"/>
      <c r="R2" s="617"/>
      <c r="S2" s="617"/>
      <c r="T2" s="617"/>
      <c r="U2" s="617"/>
      <c r="V2" s="617"/>
      <c r="W2" s="617"/>
      <c r="X2" s="617"/>
      <c r="Y2" s="617"/>
      <c r="Z2" s="617"/>
      <c r="AA2" s="617"/>
      <c r="AB2" s="617"/>
      <c r="AC2" s="617"/>
      <c r="AD2" s="617"/>
      <c r="AE2" s="617"/>
      <c r="AF2" s="617"/>
      <c r="AG2" s="617"/>
      <c r="AH2" s="617"/>
      <c r="AI2" s="617"/>
      <c r="AJ2" s="617"/>
      <c r="AK2" s="617"/>
      <c r="AL2" s="617"/>
      <c r="AM2" s="617"/>
      <c r="AN2" s="617"/>
      <c r="AO2" s="617"/>
      <c r="AP2" s="617"/>
      <c r="AQ2" s="617"/>
      <c r="AR2" s="617"/>
      <c r="AS2" s="617"/>
      <c r="AT2" s="617"/>
      <c r="AU2" s="617"/>
      <c r="AV2" s="617"/>
      <c r="AW2" s="617"/>
      <c r="AX2" s="617"/>
      <c r="AY2" s="617"/>
      <c r="AZ2" s="617"/>
      <c r="BA2" s="617"/>
    </row>
    <row r="3" spans="1:53" ht="23.25" hidden="1" outlineLevel="1">
      <c r="A3" s="177"/>
      <c r="B3" s="741"/>
      <c r="C3" s="741"/>
      <c r="D3" s="741"/>
      <c r="E3" s="741"/>
      <c r="F3" s="741"/>
      <c r="G3" s="741"/>
      <c r="H3" s="741"/>
      <c r="I3" s="741"/>
      <c r="J3" s="741"/>
      <c r="K3" s="741"/>
      <c r="L3" s="617"/>
      <c r="M3" s="617"/>
      <c r="N3" s="617"/>
      <c r="O3" s="617"/>
      <c r="P3" s="617"/>
      <c r="Q3" s="617"/>
      <c r="R3" s="617"/>
      <c r="S3" s="617"/>
      <c r="T3" s="617"/>
      <c r="U3" s="617"/>
      <c r="V3" s="617"/>
      <c r="W3" s="617"/>
      <c r="X3" s="617"/>
      <c r="Y3" s="617"/>
      <c r="Z3" s="617"/>
      <c r="AA3" s="617"/>
      <c r="AB3" s="617"/>
      <c r="AC3" s="617"/>
      <c r="AD3" s="617"/>
      <c r="AE3" s="617"/>
      <c r="AF3" s="617"/>
      <c r="AG3" s="617"/>
      <c r="AH3" s="617"/>
      <c r="AI3" s="617"/>
      <c r="AJ3" s="617"/>
      <c r="AK3" s="617"/>
      <c r="AL3" s="617"/>
      <c r="AM3" s="617"/>
      <c r="AN3" s="617"/>
      <c r="AO3" s="617"/>
      <c r="AP3" s="617"/>
      <c r="AQ3" s="617"/>
      <c r="AR3" s="617"/>
      <c r="AS3" s="617"/>
      <c r="AT3" s="617"/>
      <c r="AU3" s="617"/>
      <c r="AV3" s="617"/>
      <c r="AW3" s="617"/>
      <c r="AX3" s="617"/>
      <c r="AY3" s="617"/>
      <c r="AZ3" s="617"/>
      <c r="BA3" s="617"/>
    </row>
    <row r="4" spans="1:53" ht="27.75" hidden="1" customHeight="1" outlineLevel="1">
      <c r="A4" s="177"/>
      <c r="B4" s="741"/>
      <c r="C4" s="741"/>
      <c r="D4" s="741"/>
      <c r="E4" s="741"/>
      <c r="F4" s="741"/>
      <c r="G4" s="741"/>
      <c r="H4" s="741"/>
      <c r="I4" s="741"/>
      <c r="J4" s="741"/>
      <c r="K4" s="741"/>
      <c r="L4" s="617"/>
      <c r="M4" s="617"/>
      <c r="N4" s="617"/>
      <c r="O4" s="617"/>
      <c r="P4" s="617"/>
      <c r="Q4" s="617"/>
      <c r="R4" s="617"/>
      <c r="S4" s="617"/>
      <c r="T4" s="617"/>
      <c r="U4" s="617"/>
      <c r="V4" s="617"/>
      <c r="W4" s="617"/>
      <c r="X4" s="617"/>
      <c r="Y4" s="617"/>
      <c r="Z4" s="617"/>
      <c r="AA4" s="617"/>
      <c r="AB4" s="617"/>
      <c r="AC4" s="617"/>
      <c r="AD4" s="617"/>
      <c r="AE4" s="617"/>
      <c r="AF4" s="617"/>
      <c r="AG4" s="617"/>
      <c r="AH4" s="617"/>
      <c r="AI4" s="617"/>
      <c r="AJ4" s="617"/>
      <c r="AK4" s="617"/>
      <c r="AL4" s="617"/>
      <c r="AM4" s="617"/>
      <c r="AN4" s="617"/>
      <c r="AO4" s="617"/>
      <c r="AP4" s="617"/>
      <c r="AQ4" s="617"/>
      <c r="AR4" s="617"/>
      <c r="AS4" s="617"/>
      <c r="AT4" s="617"/>
      <c r="AU4" s="617"/>
      <c r="AV4" s="617"/>
      <c r="AW4" s="617"/>
      <c r="AX4" s="617"/>
      <c r="AY4" s="617"/>
      <c r="AZ4" s="617"/>
      <c r="BA4" s="617"/>
    </row>
    <row r="5" spans="1:53" ht="45.75" customHeight="1" collapsed="1">
      <c r="A5" s="178" t="s">
        <v>260</v>
      </c>
      <c r="B5" s="402" t="s">
        <v>261</v>
      </c>
      <c r="C5" s="403">
        <f>'2. Kalkyldata'!$P$17</f>
        <v>20</v>
      </c>
      <c r="D5" s="330">
        <f>D15</f>
        <v>2026</v>
      </c>
      <c r="E5" s="330">
        <f t="shared" ref="E5:BA5" si="0">E15</f>
        <v>2027</v>
      </c>
      <c r="F5" s="330">
        <f t="shared" si="0"/>
        <v>2028</v>
      </c>
      <c r="G5" s="330">
        <f t="shared" si="0"/>
        <v>2029</v>
      </c>
      <c r="H5" s="330">
        <f t="shared" si="0"/>
        <v>2030</v>
      </c>
      <c r="I5" s="330">
        <f t="shared" si="0"/>
        <v>2031</v>
      </c>
      <c r="J5" s="330">
        <f t="shared" si="0"/>
        <v>2032</v>
      </c>
      <c r="K5" s="330">
        <f t="shared" si="0"/>
        <v>2033</v>
      </c>
      <c r="L5" s="330">
        <f t="shared" si="0"/>
        <v>2034</v>
      </c>
      <c r="M5" s="330">
        <f t="shared" si="0"/>
        <v>2035</v>
      </c>
      <c r="N5" s="330">
        <f t="shared" si="0"/>
        <v>2036</v>
      </c>
      <c r="O5" s="330">
        <f t="shared" si="0"/>
        <v>2037</v>
      </c>
      <c r="P5" s="330">
        <f t="shared" si="0"/>
        <v>2038</v>
      </c>
      <c r="Q5" s="330">
        <f t="shared" si="0"/>
        <v>2039</v>
      </c>
      <c r="R5" s="330">
        <f t="shared" si="0"/>
        <v>2040</v>
      </c>
      <c r="S5" s="330">
        <f t="shared" si="0"/>
        <v>2041</v>
      </c>
      <c r="T5" s="330">
        <f t="shared" si="0"/>
        <v>2042</v>
      </c>
      <c r="U5" s="330">
        <f t="shared" si="0"/>
        <v>2043</v>
      </c>
      <c r="V5" s="330">
        <f t="shared" si="0"/>
        <v>2044</v>
      </c>
      <c r="W5" s="330">
        <f t="shared" si="0"/>
        <v>2045</v>
      </c>
      <c r="X5" s="330" t="str">
        <f t="shared" si="0"/>
        <v/>
      </c>
      <c r="Y5" s="330" t="str">
        <f t="shared" si="0"/>
        <v/>
      </c>
      <c r="Z5" s="330" t="str">
        <f t="shared" si="0"/>
        <v/>
      </c>
      <c r="AA5" s="330" t="str">
        <f t="shared" si="0"/>
        <v/>
      </c>
      <c r="AB5" s="330" t="str">
        <f t="shared" si="0"/>
        <v/>
      </c>
      <c r="AC5" s="330" t="str">
        <f t="shared" si="0"/>
        <v/>
      </c>
      <c r="AD5" s="330" t="str">
        <f t="shared" si="0"/>
        <v/>
      </c>
      <c r="AE5" s="330" t="str">
        <f t="shared" si="0"/>
        <v/>
      </c>
      <c r="AF5" s="330" t="str">
        <f t="shared" si="0"/>
        <v/>
      </c>
      <c r="AG5" s="330" t="str">
        <f t="shared" si="0"/>
        <v/>
      </c>
      <c r="AH5" s="330" t="str">
        <f t="shared" si="0"/>
        <v/>
      </c>
      <c r="AI5" s="330" t="str">
        <f t="shared" si="0"/>
        <v/>
      </c>
      <c r="AJ5" s="330" t="str">
        <f t="shared" si="0"/>
        <v/>
      </c>
      <c r="AK5" s="330" t="str">
        <f t="shared" si="0"/>
        <v/>
      </c>
      <c r="AL5" s="330" t="str">
        <f t="shared" si="0"/>
        <v/>
      </c>
      <c r="AM5" s="330" t="str">
        <f t="shared" si="0"/>
        <v/>
      </c>
      <c r="AN5" s="330" t="str">
        <f t="shared" si="0"/>
        <v/>
      </c>
      <c r="AO5" s="330" t="str">
        <f t="shared" si="0"/>
        <v/>
      </c>
      <c r="AP5" s="330" t="str">
        <f t="shared" si="0"/>
        <v/>
      </c>
      <c r="AQ5" s="330" t="str">
        <f t="shared" si="0"/>
        <v/>
      </c>
      <c r="AR5" s="330" t="str">
        <f t="shared" si="0"/>
        <v/>
      </c>
      <c r="AS5" s="330" t="str">
        <f t="shared" si="0"/>
        <v/>
      </c>
      <c r="AT5" s="330" t="str">
        <f t="shared" si="0"/>
        <v/>
      </c>
      <c r="AU5" s="330" t="str">
        <f t="shared" si="0"/>
        <v/>
      </c>
      <c r="AV5" s="330" t="str">
        <f t="shared" si="0"/>
        <v/>
      </c>
      <c r="AW5" s="330" t="str">
        <f t="shared" si="0"/>
        <v/>
      </c>
      <c r="AX5" s="330" t="str">
        <f t="shared" si="0"/>
        <v/>
      </c>
      <c r="AY5" s="330" t="str">
        <f t="shared" si="0"/>
        <v/>
      </c>
      <c r="AZ5" s="330" t="str">
        <f t="shared" si="0"/>
        <v/>
      </c>
      <c r="BA5" s="330" t="str">
        <f t="shared" si="0"/>
        <v/>
      </c>
    </row>
    <row r="6" spans="1:53" s="180" customFormat="1" ht="15" customHeight="1">
      <c r="A6" s="179">
        <v>0</v>
      </c>
      <c r="B6" s="455" t="s">
        <v>262</v>
      </c>
      <c r="C6" s="454">
        <f>ROUND((LOOKUP('2. Kalkyldata'!$P$17,'5. IRR'!$D$14:$BA$14,'5. IRR'!$D$6:BA6))/100000,0)*100000</f>
        <v>104500000</v>
      </c>
      <c r="D6" s="456">
        <f>IFERROR(IF('6. Ack.kapitalutlägg'!C$13&gt;'2. Kalkyldata'!$U$17*((1+'2. Kalkyldata'!$M$9)^('5. IRR'!D$15-'5. IRR'!$D$15)),'6. Ack.kapitalutlägg'!C$13,('2. Kalkyldata'!$U$17*((1+'2. Kalkyldata'!$M$9)^('5. IRR'!D$15-'5. IRR'!$D$15)))),"")</f>
        <v>237225499.99999997</v>
      </c>
      <c r="E6" s="456">
        <f>IFERROR(IF('6. Ack.kapitalutlägg'!D$13&gt;'2. Kalkyldata'!$U$17*((1+'2. Kalkyldata'!$M$9)^('5. IRR'!E$15-'5. IRR'!$D$15)),'6. Ack.kapitalutlägg'!D$13,('2. Kalkyldata'!$U$17*((1+'2. Kalkyldata'!$M$9)^('5. IRR'!E$15-'5. IRR'!$D$15)))),"")</f>
        <v>234147860.24999997</v>
      </c>
      <c r="F6" s="456">
        <f>IFERROR(IF('6. Ack.kapitalutlägg'!E$13&gt;'2. Kalkyldata'!$U$17*((1+'2. Kalkyldata'!$M$9)^('5. IRR'!F$15-'5. IRR'!$D$15)),'6. Ack.kapitalutlägg'!E$13,('2. Kalkyldata'!$U$17*((1+'2. Kalkyldata'!$M$9)^('5. IRR'!F$15-'5. IRR'!$D$15)))),"")</f>
        <v>230751107.75137496</v>
      </c>
      <c r="G6" s="456">
        <f>IFERROR(IF('6. Ack.kapitalutlägg'!F$13&gt;'2. Kalkyldata'!$U$17*((1+'2. Kalkyldata'!$M$9)^('5. IRR'!G$15-'5. IRR'!$D$15)),'6. Ack.kapitalutlägg'!F$13,('2. Kalkyldata'!$U$17*((1+'2. Kalkyldata'!$M$9)^('5. IRR'!G$15-'5. IRR'!$D$15)))),"")</f>
        <v>227018518.1413025</v>
      </c>
      <c r="H6" s="456">
        <f>IFERROR(IF('6. Ack.kapitalutlägg'!G$13&gt;'2. Kalkyldata'!$U$17*((1+'2. Kalkyldata'!$M$9)^('5. IRR'!H$15-'5. IRR'!$D$15)),'6. Ack.kapitalutlägg'!G$13,('2. Kalkyldata'!$U$17*((1+'2. Kalkyldata'!$M$9)^('5. IRR'!H$15-'5. IRR'!$D$15)))),"")</f>
        <v>222932581.27997711</v>
      </c>
      <c r="I6" s="456">
        <f>IFERROR(IF('6. Ack.kapitalutlägg'!H$13&gt;'2. Kalkyldata'!$U$17*((1+'2. Kalkyldata'!$M$9)^('5. IRR'!I$15-'5. IRR'!$D$15)),'6. Ack.kapitalutlägg'!H$13,('2. Kalkyldata'!$U$17*((1+'2. Kalkyldata'!$M$9)^('5. IRR'!I$15-'5. IRR'!$D$15)))),"")</f>
        <v>218474965.27125454</v>
      </c>
      <c r="J6" s="456">
        <f>IFERROR(IF('6. Ack.kapitalutlägg'!I$13&gt;'2. Kalkyldata'!$U$17*((1+'2. Kalkyldata'!$M$9)^('5. IRR'!J$15-'5. IRR'!$D$15)),'6. Ack.kapitalutlägg'!I$13,('2. Kalkyldata'!$U$17*((1+'2. Kalkyldata'!$M$9)^('5. IRR'!J$15-'5. IRR'!$D$15)))),"")</f>
        <v>213626478.84548348</v>
      </c>
      <c r="K6" s="456">
        <f>IFERROR(IF('6. Ack.kapitalutlägg'!J$13&gt;'2. Kalkyldata'!$U$17*((1+'2. Kalkyldata'!$M$9)^('5. IRR'!K$15-'5. IRR'!$D$15)),'6. Ack.kapitalutlägg'!J$13,('2. Kalkyldata'!$U$17*((1+'2. Kalkyldata'!$M$9)^('5. IRR'!K$15-'5. IRR'!$D$15)))),"")</f>
        <v>208367032.03004199</v>
      </c>
      <c r="L6" s="456">
        <f>IFERROR(IF('6. Ack.kapitalutlägg'!K$13&gt;'2. Kalkyldata'!$U$17*((1+'2. Kalkyldata'!$M$9)^('5. IRR'!L$15-'5. IRR'!$D$15)),'6. Ack.kapitalutlägg'!K$13,('2. Kalkyldata'!$U$17*((1+'2. Kalkyldata'!$M$9)^('5. IRR'!L$15-'5. IRR'!$D$15)))),"")</f>
        <v>202675595.02970871</v>
      </c>
      <c r="M6" s="456">
        <f>IFERROR(IF('6. Ack.kapitalutlägg'!L$13&gt;'2. Kalkyldata'!$U$17*((1+'2. Kalkyldata'!$M$9)^('5. IRR'!M$15-'5. IRR'!$D$15)),'6. Ack.kapitalutlägg'!L$13,('2. Kalkyldata'!$U$17*((1+'2. Kalkyldata'!$M$9)^('5. IRR'!M$15-'5. IRR'!$D$15)))),"")</f>
        <v>196530155.23545706</v>
      </c>
      <c r="N6" s="456">
        <f>IFERROR(IF('6. Ack.kapitalutlägg'!M$13&gt;'2. Kalkyldata'!$U$17*((1+'2. Kalkyldata'!$M$9)^('5. IRR'!N$15-'5. IRR'!$D$15)),'6. Ack.kapitalutlägg'!M$13,('2. Kalkyldata'!$U$17*((1+'2. Kalkyldata'!$M$9)^('5. IRR'!N$15-'5. IRR'!$D$15)))),"")</f>
        <v>189907672.27655819</v>
      </c>
      <c r="O6" s="456">
        <f>IFERROR(IF('6. Ack.kapitalutlägg'!N$13&gt;'2. Kalkyldata'!$U$17*((1+'2. Kalkyldata'!$M$9)^('5. IRR'!O$15-'5. IRR'!$D$15)),'6. Ack.kapitalutlägg'!N$13,('2. Kalkyldata'!$U$17*((1+'2. Kalkyldata'!$M$9)^('5. IRR'!O$15-'5. IRR'!$D$15)))),"")</f>
        <v>182784031.02700746</v>
      </c>
      <c r="P6" s="456">
        <f>IFERROR(IF('6. Ack.kapitalutlägg'!O$13&gt;'2. Kalkyldata'!$U$17*((1+'2. Kalkyldata'!$M$9)^('5. IRR'!P$15-'5. IRR'!$D$15)),'6. Ack.kapitalutlägg'!O$13,('2. Kalkyldata'!$U$17*((1+'2. Kalkyldata'!$M$9)^('5. IRR'!P$15-'5. IRR'!$D$15)))),"")</f>
        <v>175133992.4732416</v>
      </c>
      <c r="Q6" s="456">
        <f>IFERROR(IF('6. Ack.kapitalutlägg'!P$13&gt;'2. Kalkyldata'!$U$17*((1+'2. Kalkyldata'!$M$9)^('5. IRR'!Q$15-'5. IRR'!$D$15)),'6. Ack.kapitalutlägg'!P$13,('2. Kalkyldata'!$U$17*((1+'2. Kalkyldata'!$M$9)^('5. IRR'!Q$15-'5. IRR'!$D$15)))),"")</f>
        <v>166931142.34588328</v>
      </c>
      <c r="R6" s="456">
        <f>IFERROR(IF('6. Ack.kapitalutlägg'!Q$13&gt;'2. Kalkyldata'!$U$17*((1+'2. Kalkyldata'!$M$9)^('5. IRR'!R$15-'5. IRR'!$D$15)),'6. Ack.kapitalutlägg'!Q$13,('2. Kalkyldata'!$U$17*((1+'2. Kalkyldata'!$M$9)^('5. IRR'!R$15-'5. IRR'!$D$15)))),"")</f>
        <v>158147837.41382489</v>
      </c>
      <c r="S6" s="456">
        <f>IFERROR(IF('6. Ack.kapitalutlägg'!R$13&gt;'2. Kalkyldata'!$U$17*((1+'2. Kalkyldata'!$M$9)^('5. IRR'!S$15-'5. IRR'!$D$15)),'6. Ack.kapitalutlägg'!R$13,('2. Kalkyldata'!$U$17*((1+'2. Kalkyldata'!$M$9)^('5. IRR'!S$15-'5. IRR'!$D$15)))),"")</f>
        <v>148755149.33433959</v>
      </c>
      <c r="T6" s="456">
        <f>IFERROR(IF('6. Ack.kapitalutlägg'!S$13&gt;'2. Kalkyldata'!$U$17*((1+'2. Kalkyldata'!$M$9)^('5. IRR'!T$15-'5. IRR'!$D$15)),'6. Ack.kapitalutlägg'!S$13,('2. Kalkyldata'!$U$17*((1+'2. Kalkyldata'!$M$9)^('5. IRR'!T$15-'5. IRR'!$D$15)))),"")</f>
        <v>138722805.94807127</v>
      </c>
      <c r="U6" s="456">
        <f>IFERROR(IF('6. Ack.kapitalutlägg'!T$13&gt;'2. Kalkyldata'!$U$17*((1+'2. Kalkyldata'!$M$9)^('5. IRR'!U$15-'5. IRR'!$D$15)),'6. Ack.kapitalutlägg'!T$13,('2. Kalkyldata'!$U$17*((1+'2. Kalkyldata'!$M$9)^('5. IRR'!U$15-'5. IRR'!$D$15)))),"")</f>
        <v>128019129.90270057</v>
      </c>
      <c r="V6" s="456">
        <f>IFERROR(IF('6. Ack.kapitalutlägg'!U$13&gt;'2. Kalkyldata'!$U$17*((1+'2. Kalkyldata'!$M$9)^('5. IRR'!V$15-'5. IRR'!$D$15)),'6. Ack.kapitalutlägg'!U$13,('2. Kalkyldata'!$U$17*((1+'2. Kalkyldata'!$M$9)^('5. IRR'!V$15-'5. IRR'!$D$15)))),"")</f>
        <v>116610974.48379809</v>
      </c>
      <c r="W6" s="456">
        <f>IFERROR(IF('6. Ack.kapitalutlägg'!V$13&gt;'2. Kalkyldata'!$U$17*((1+'2. Kalkyldata'!$M$9)^('5. IRR'!W$15-'5. IRR'!$D$15)),'6. Ack.kapitalutlägg'!V$13,('2. Kalkyldata'!$U$17*((1+'2. Kalkyldata'!$M$9)^('5. IRR'!W$15-'5. IRR'!$D$15)))),"")</f>
        <v>104463656.52585071</v>
      </c>
      <c r="X6" s="456" t="str">
        <f>IFERROR(IF('6. Ack.kapitalutlägg'!W$13&gt;'2. Kalkyldata'!$U$17*((1+'2. Kalkyldata'!$M$9)^('5. IRR'!X$15-'5. IRR'!$D$15)),'6. Ack.kapitalutlägg'!W$13,('2. Kalkyldata'!$U$17*((1+'2. Kalkyldata'!$M$9)^('5. IRR'!X$15-'5. IRR'!$D$15)))),"")</f>
        <v/>
      </c>
      <c r="Y6" s="456" t="str">
        <f>IFERROR(IF('6. Ack.kapitalutlägg'!X$13&gt;'2. Kalkyldata'!$U$17*((1+'2. Kalkyldata'!$M$9)^('5. IRR'!Y$15-'5. IRR'!$D$15)),'6. Ack.kapitalutlägg'!X$13,('2. Kalkyldata'!$U$17*((1+'2. Kalkyldata'!$M$9)^('5. IRR'!Y$15-'5. IRR'!$D$15)))),"")</f>
        <v/>
      </c>
      <c r="Z6" s="456" t="str">
        <f>IFERROR(IF('6. Ack.kapitalutlägg'!Y$13&gt;'2. Kalkyldata'!$U$17*((1+'2. Kalkyldata'!$M$9)^('5. IRR'!Z$15-'5. IRR'!$D$15)),'6. Ack.kapitalutlägg'!Y$13,('2. Kalkyldata'!$U$17*((1+'2. Kalkyldata'!$M$9)^('5. IRR'!Z$15-'5. IRR'!$D$15)))),"")</f>
        <v/>
      </c>
      <c r="AA6" s="456" t="str">
        <f>IFERROR(IF('6. Ack.kapitalutlägg'!Z$13&gt;'2. Kalkyldata'!$U$17*((1+'2. Kalkyldata'!$M$9)^('5. IRR'!AA$15-'5. IRR'!$D$15)),'6. Ack.kapitalutlägg'!Z$13,('2. Kalkyldata'!$U$17*((1+'2. Kalkyldata'!$M$9)^('5. IRR'!AA$15-'5. IRR'!$D$15)))),"")</f>
        <v/>
      </c>
      <c r="AB6" s="456" t="str">
        <f>IFERROR(IF('6. Ack.kapitalutlägg'!AA$13&gt;'2. Kalkyldata'!$U$17*((1+'2. Kalkyldata'!$M$9)^('5. IRR'!AB$15-'5. IRR'!$D$15)),'6. Ack.kapitalutlägg'!AA$13,('2. Kalkyldata'!$U$17*((1+'2. Kalkyldata'!$M$9)^('5. IRR'!AB$15-'5. IRR'!$D$15)))),"")</f>
        <v/>
      </c>
      <c r="AC6" s="456" t="str">
        <f>IFERROR(IF('6. Ack.kapitalutlägg'!AB$13&gt;'2. Kalkyldata'!$U$17*((1+'2. Kalkyldata'!$M$9)^('5. IRR'!AC$15-'5. IRR'!$D$15)),'6. Ack.kapitalutlägg'!AB$13,('2. Kalkyldata'!$U$17*((1+'2. Kalkyldata'!$M$9)^('5. IRR'!AC$15-'5. IRR'!$D$15)))),"")</f>
        <v/>
      </c>
      <c r="AD6" s="456" t="str">
        <f>IFERROR(IF('6. Ack.kapitalutlägg'!AC$13&gt;'2. Kalkyldata'!$U$17*((1+'2. Kalkyldata'!$M$9)^('5. IRR'!AD$15-'5. IRR'!$D$15)),'6. Ack.kapitalutlägg'!AC$13,('2. Kalkyldata'!$U$17*((1+'2. Kalkyldata'!$M$9)^('5. IRR'!AD$15-'5. IRR'!$D$15)))),"")</f>
        <v/>
      </c>
      <c r="AE6" s="456" t="str">
        <f>IFERROR(IF('6. Ack.kapitalutlägg'!AD$13&gt;'2. Kalkyldata'!$U$17*((1+'2. Kalkyldata'!$M$9)^('5. IRR'!AE$15-'5. IRR'!$D$15)),'6. Ack.kapitalutlägg'!AD$13,('2. Kalkyldata'!$U$17*((1+'2. Kalkyldata'!$M$9)^('5. IRR'!AE$15-'5. IRR'!$D$15)))),"")</f>
        <v/>
      </c>
      <c r="AF6" s="456" t="str">
        <f>IFERROR(IF('6. Ack.kapitalutlägg'!AE$13&gt;'2. Kalkyldata'!$U$17*((1+'2. Kalkyldata'!$M$9)^('5. IRR'!AF$15-'5. IRR'!$D$15)),'6. Ack.kapitalutlägg'!AE$13,('2. Kalkyldata'!$U$17*((1+'2. Kalkyldata'!$M$9)^('5. IRR'!AF$15-'5. IRR'!$D$15)))),"")</f>
        <v/>
      </c>
      <c r="AG6" s="456" t="str">
        <f>IFERROR(IF('6. Ack.kapitalutlägg'!AF$13&gt;'2. Kalkyldata'!$U$17*((1+'2. Kalkyldata'!$M$9)^('5. IRR'!AG$15-'5. IRR'!$D$15)),'6. Ack.kapitalutlägg'!AF$13,('2. Kalkyldata'!$U$17*((1+'2. Kalkyldata'!$M$9)^('5. IRR'!AG$15-'5. IRR'!$D$15)))),"")</f>
        <v/>
      </c>
      <c r="AH6" s="456" t="str">
        <f>IFERROR(IF('6. Ack.kapitalutlägg'!AG$13&gt;'2. Kalkyldata'!$U$17*((1+'2. Kalkyldata'!$M$9)^('5. IRR'!AH$15-'5. IRR'!$D$15)),'6. Ack.kapitalutlägg'!AG$13,('2. Kalkyldata'!$U$17*((1+'2. Kalkyldata'!$M$9)^('5. IRR'!AH$15-'5. IRR'!$D$15)))),"")</f>
        <v/>
      </c>
      <c r="AI6" s="456" t="str">
        <f>IFERROR(IF('6. Ack.kapitalutlägg'!AH$13&gt;'2. Kalkyldata'!$U$17*((1+'2. Kalkyldata'!$M$9)^('5. IRR'!AI$15-'5. IRR'!$D$15)),'6. Ack.kapitalutlägg'!AH$13,('2. Kalkyldata'!$U$17*((1+'2. Kalkyldata'!$M$9)^('5. IRR'!AI$15-'5. IRR'!$D$15)))),"")</f>
        <v/>
      </c>
      <c r="AJ6" s="456" t="str">
        <f>IFERROR(IF('6. Ack.kapitalutlägg'!AI$13&gt;'2. Kalkyldata'!$U$17*((1+'2. Kalkyldata'!$M$9)^('5. IRR'!AJ$15-'5. IRR'!$D$15)),'6. Ack.kapitalutlägg'!AI$13,('2. Kalkyldata'!$U$17*((1+'2. Kalkyldata'!$M$9)^('5. IRR'!AJ$15-'5. IRR'!$D$15)))),"")</f>
        <v/>
      </c>
      <c r="AK6" s="456" t="str">
        <f>IFERROR(IF('6. Ack.kapitalutlägg'!AJ$13&gt;'2. Kalkyldata'!$U$17*((1+'2. Kalkyldata'!$M$9)^('5. IRR'!AK$15-'5. IRR'!$D$15)),'6. Ack.kapitalutlägg'!AJ$13,('2. Kalkyldata'!$U$17*((1+'2. Kalkyldata'!$M$9)^('5. IRR'!AK$15-'5. IRR'!$D$15)))),"")</f>
        <v/>
      </c>
      <c r="AL6" s="456" t="str">
        <f>IFERROR(IF('6. Ack.kapitalutlägg'!AK$13&gt;'2. Kalkyldata'!$U$17*((1+'2. Kalkyldata'!$M$9)^('5. IRR'!AL$15-'5. IRR'!$D$15)),'6. Ack.kapitalutlägg'!AK$13,('2. Kalkyldata'!$U$17*((1+'2. Kalkyldata'!$M$9)^('5. IRR'!AL$15-'5. IRR'!$D$15)))),"")</f>
        <v/>
      </c>
      <c r="AM6" s="456" t="str">
        <f>IFERROR(IF('6. Ack.kapitalutlägg'!AL$13&gt;'2. Kalkyldata'!$U$17*((1+'2. Kalkyldata'!$M$9)^('5. IRR'!AM$15-'5. IRR'!$D$15)),'6. Ack.kapitalutlägg'!AL$13,('2. Kalkyldata'!$U$17*((1+'2. Kalkyldata'!$M$9)^('5. IRR'!AM$15-'5. IRR'!$D$15)))),"")</f>
        <v/>
      </c>
      <c r="AN6" s="456" t="str">
        <f>IFERROR(IF('6. Ack.kapitalutlägg'!AM$13&gt;'2. Kalkyldata'!$U$17*((1+'2. Kalkyldata'!$M$9)^('5. IRR'!AN$15-'5. IRR'!$D$15)),'6. Ack.kapitalutlägg'!AM$13,('2. Kalkyldata'!$U$17*((1+'2. Kalkyldata'!$M$9)^('5. IRR'!AN$15-'5. IRR'!$D$15)))),"")</f>
        <v/>
      </c>
      <c r="AO6" s="456" t="str">
        <f>IFERROR(IF('6. Ack.kapitalutlägg'!AN$13&gt;'2. Kalkyldata'!$U$17*((1+'2. Kalkyldata'!$M$9)^('5. IRR'!AO$15-'5. IRR'!$D$15)),'6. Ack.kapitalutlägg'!AN$13,('2. Kalkyldata'!$U$17*((1+'2. Kalkyldata'!$M$9)^('5. IRR'!AO$15-'5. IRR'!$D$15)))),"")</f>
        <v/>
      </c>
      <c r="AP6" s="456" t="str">
        <f>IFERROR(IF('6. Ack.kapitalutlägg'!AO$13&gt;'2. Kalkyldata'!$U$17*((1+'2. Kalkyldata'!$M$9)^('5. IRR'!AP$15-'5. IRR'!$D$15)),'6. Ack.kapitalutlägg'!AO$13,('2. Kalkyldata'!$U$17*((1+'2. Kalkyldata'!$M$9)^('5. IRR'!AP$15-'5. IRR'!$D$15)))),"")</f>
        <v/>
      </c>
      <c r="AQ6" s="456" t="str">
        <f>IFERROR(IF('6. Ack.kapitalutlägg'!AP$13&gt;'2. Kalkyldata'!$U$17*((1+'2. Kalkyldata'!$M$9)^('5. IRR'!AQ$15-'5. IRR'!$D$15)),'6. Ack.kapitalutlägg'!AP$13,('2. Kalkyldata'!$U$17*((1+'2. Kalkyldata'!$M$9)^('5. IRR'!AQ$15-'5. IRR'!$D$15)))),"")</f>
        <v/>
      </c>
      <c r="AR6" s="456" t="str">
        <f>IFERROR(IF('6. Ack.kapitalutlägg'!AQ$13&gt;'2. Kalkyldata'!$U$17*((1+'2. Kalkyldata'!$M$9)^('5. IRR'!AR$15-'5. IRR'!$D$15)),'6. Ack.kapitalutlägg'!AQ$13,('2. Kalkyldata'!$U$17*((1+'2. Kalkyldata'!$M$9)^('5. IRR'!AR$15-'5. IRR'!$D$15)))),"")</f>
        <v/>
      </c>
      <c r="AS6" s="456" t="str">
        <f>IFERROR(IF('6. Ack.kapitalutlägg'!AR$13&gt;'2. Kalkyldata'!$U$17*((1+'2. Kalkyldata'!$M$9)^('5. IRR'!AS$15-'5. IRR'!$D$15)),'6. Ack.kapitalutlägg'!AR$13,('2. Kalkyldata'!$U$17*((1+'2. Kalkyldata'!$M$9)^('5. IRR'!AS$15-'5. IRR'!$D$15)))),"")</f>
        <v/>
      </c>
      <c r="AT6" s="456" t="str">
        <f>IFERROR(IF('6. Ack.kapitalutlägg'!AS$13&gt;'2. Kalkyldata'!$U$17*((1+'2. Kalkyldata'!$M$9)^('5. IRR'!AT$15-'5. IRR'!$D$15)),'6. Ack.kapitalutlägg'!AS$13,('2. Kalkyldata'!$U$17*((1+'2. Kalkyldata'!$M$9)^('5. IRR'!AT$15-'5. IRR'!$D$15)))),"")</f>
        <v/>
      </c>
      <c r="AU6" s="456" t="str">
        <f>IFERROR(IF('6. Ack.kapitalutlägg'!AT$13&gt;'2. Kalkyldata'!$U$17*((1+'2. Kalkyldata'!$M$9)^('5. IRR'!AU$15-'5. IRR'!$D$15)),'6. Ack.kapitalutlägg'!AT$13,('2. Kalkyldata'!$U$17*((1+'2. Kalkyldata'!$M$9)^('5. IRR'!AU$15-'5. IRR'!$D$15)))),"")</f>
        <v/>
      </c>
      <c r="AV6" s="456" t="str">
        <f>IFERROR(IF('6. Ack.kapitalutlägg'!AU$13&gt;'2. Kalkyldata'!$U$17*((1+'2. Kalkyldata'!$M$9)^('5. IRR'!AV$15-'5. IRR'!$D$15)),'6. Ack.kapitalutlägg'!AU$13,('2. Kalkyldata'!$U$17*((1+'2. Kalkyldata'!$M$9)^('5. IRR'!AV$15-'5. IRR'!$D$15)))),"")</f>
        <v/>
      </c>
      <c r="AW6" s="456" t="str">
        <f>IFERROR(IF('6. Ack.kapitalutlägg'!AV$13&gt;'2. Kalkyldata'!$U$17*((1+'2. Kalkyldata'!$M$9)^('5. IRR'!AW$15-'5. IRR'!$D$15)),'6. Ack.kapitalutlägg'!AV$13,('2. Kalkyldata'!$U$17*((1+'2. Kalkyldata'!$M$9)^('5. IRR'!AW$15-'5. IRR'!$D$15)))),"")</f>
        <v/>
      </c>
      <c r="AX6" s="456" t="str">
        <f>IFERROR(IF('6. Ack.kapitalutlägg'!AW$13&gt;'2. Kalkyldata'!$U$17*((1+'2. Kalkyldata'!$M$9)^('5. IRR'!AX$15-'5. IRR'!$D$15)),'6. Ack.kapitalutlägg'!AW$13,('2. Kalkyldata'!$U$17*((1+'2. Kalkyldata'!$M$9)^('5. IRR'!AX$15-'5. IRR'!$D$15)))),"")</f>
        <v/>
      </c>
      <c r="AY6" s="456" t="str">
        <f>IFERROR(IF('6. Ack.kapitalutlägg'!AX$13&gt;'2. Kalkyldata'!$U$17*((1+'2. Kalkyldata'!$M$9)^('5. IRR'!AY$15-'5. IRR'!$D$15)),'6. Ack.kapitalutlägg'!AX$13,('2. Kalkyldata'!$U$17*((1+'2. Kalkyldata'!$M$9)^('5. IRR'!AY$15-'5. IRR'!$D$15)))),"")</f>
        <v/>
      </c>
      <c r="AZ6" s="456" t="str">
        <f>IFERROR(IF('6. Ack.kapitalutlägg'!AY$13&gt;'2. Kalkyldata'!$U$17*((1+'2. Kalkyldata'!$M$9)^('5. IRR'!AZ$15-'5. IRR'!$D$15)),'6. Ack.kapitalutlägg'!AY$13,('2. Kalkyldata'!$U$17*((1+'2. Kalkyldata'!$M$9)^('5. IRR'!AZ$15-'5. IRR'!$D$15)))),"")</f>
        <v/>
      </c>
      <c r="BA6" s="456" t="str">
        <f>IFERROR(IF('6. Ack.kapitalutlägg'!AZ$13&gt;'2. Kalkyldata'!$U$17*((1+'2. Kalkyldata'!$M$9)^('5. IRR'!BA$15-'5. IRR'!$D$15)),'6. Ack.kapitalutlägg'!AZ$13,('2. Kalkyldata'!$U$17*((1+'2. Kalkyldata'!$M$9)^('5. IRR'!BA$15-'5. IRR'!$D$15)))),"")</f>
        <v/>
      </c>
    </row>
    <row r="7" spans="1:53" ht="15" customHeight="1">
      <c r="A7" s="179">
        <v>1</v>
      </c>
      <c r="B7" s="404" t="str">
        <f>"Nettokap marknadsvärde, yield "&amp;ROUND('2. Kalkyldata'!$M$11*100,2)&amp;" %"</f>
        <v>Nettokap marknadsvärde, yield 6,5 %</v>
      </c>
      <c r="C7" s="457">
        <f>ROUND((LOOKUP('2. Kalkyldata'!$P$17,'5. IRR'!$D$14:$BA$14,'5. IRR'!$D$7:BA7))/100000,0)*100000</f>
        <v>268500000</v>
      </c>
      <c r="D7" s="405">
        <f>IF(D$5="","",'7.Grafer'!C$44)</f>
        <v>210684615.38461539</v>
      </c>
      <c r="E7" s="405">
        <f>IF(E$5="","",'7.Grafer'!D$44)</f>
        <v>213406153.84615383</v>
      </c>
      <c r="F7" s="405">
        <f>IF(F$5="","",'7.Grafer'!E$44)</f>
        <v>216161232.92307693</v>
      </c>
      <c r="G7" s="405">
        <f>IF(G$5="","",'7.Grafer'!F$44)</f>
        <v>218950230.9655385</v>
      </c>
      <c r="H7" s="405">
        <f>IF(H$5="","",'7.Grafer'!G$44)</f>
        <v>221773529.79622528</v>
      </c>
      <c r="I7" s="405">
        <f>IF(I$5="","",'7.Grafer'!H$44)</f>
        <v>224631514.72248507</v>
      </c>
      <c r="J7" s="405">
        <f>IF(J$5="","",'7.Grafer'!I$44)</f>
        <v>227524574.54789472</v>
      </c>
      <c r="K7" s="405">
        <f>IF(K$5="","",'7.Grafer'!J$44)</f>
        <v>230453101.58324608</v>
      </c>
      <c r="L7" s="405">
        <f>IF(L$5="","",'7.Grafer'!K$44)</f>
        <v>233417491.65692595</v>
      </c>
      <c r="M7" s="405">
        <f>IF(M$5="","",'7.Grafer'!L$44)</f>
        <v>236418144.12466756</v>
      </c>
      <c r="N7" s="405">
        <f>IF(N$5="","",'7.Grafer'!M$44)</f>
        <v>239455461.87864852</v>
      </c>
      <c r="O7" s="405">
        <f>IF(O$5="","",'7.Grafer'!N$44)</f>
        <v>242529851.35590982</v>
      </c>
      <c r="P7" s="405">
        <f>IF(P$5="","",'7.Grafer'!O$44)</f>
        <v>245641722.54607213</v>
      </c>
      <c r="Q7" s="405">
        <f>IF(Q$5="","",'7.Grafer'!P$44)</f>
        <v>248791488.99832016</v>
      </c>
      <c r="R7" s="405">
        <f>IF(R$5="","",'7.Grafer'!Q$44)</f>
        <v>251979567.8276318</v>
      </c>
      <c r="S7" s="405">
        <f>IF(S$5="","",'7.Grafer'!R$44)</f>
        <v>255206379.72022054</v>
      </c>
      <c r="T7" s="405">
        <f>IF(T$5="","",'7.Grafer'!S$44)</f>
        <v>258472348.93816555</v>
      </c>
      <c r="U7" s="405">
        <f>IF(U$5="","",'7.Grafer'!T$44)</f>
        <v>261777903.323199</v>
      </c>
      <c r="V7" s="405">
        <f>IF(V$5="","",'7.Grafer'!U$44)</f>
        <v>265123474.2996209</v>
      </c>
      <c r="W7" s="405">
        <f>IF(W$5="","",'7.Grafer'!V$44)</f>
        <v>268509496.87631059</v>
      </c>
      <c r="X7" s="405" t="str">
        <f>IF(X$5="","",'7.Grafer'!W$44)</f>
        <v/>
      </c>
      <c r="Y7" s="405" t="str">
        <f>IF(Y$5="","",'7.Grafer'!X$44)</f>
        <v/>
      </c>
      <c r="Z7" s="405" t="str">
        <f>IF(Z$5="","",'7.Grafer'!Y$44)</f>
        <v/>
      </c>
      <c r="AA7" s="405" t="str">
        <f>IF(AA$5="","",'7.Grafer'!Z$44)</f>
        <v/>
      </c>
      <c r="AB7" s="405" t="str">
        <f>IF(AB$5="","",'7.Grafer'!AA$44)</f>
        <v/>
      </c>
      <c r="AC7" s="405" t="str">
        <f>IF(AC$5="","",'7.Grafer'!AB$44)</f>
        <v/>
      </c>
      <c r="AD7" s="405" t="str">
        <f>IF(AD$5="","",'7.Grafer'!AC$44)</f>
        <v/>
      </c>
      <c r="AE7" s="405" t="str">
        <f>IF(AE$5="","",'7.Grafer'!AD$44)</f>
        <v/>
      </c>
      <c r="AF7" s="405" t="str">
        <f>IF(AF$5="","",'7.Grafer'!AE$44)</f>
        <v/>
      </c>
      <c r="AG7" s="405" t="str">
        <f>IF(AG$5="","",'7.Grafer'!AF$44)</f>
        <v/>
      </c>
      <c r="AH7" s="405" t="str">
        <f>IF(AH$5="","",'7.Grafer'!AG$44)</f>
        <v/>
      </c>
      <c r="AI7" s="405" t="str">
        <f>IF(AI$5="","",'7.Grafer'!AH$44)</f>
        <v/>
      </c>
      <c r="AJ7" s="405" t="str">
        <f>IF(AJ$5="","",'7.Grafer'!AI$44)</f>
        <v/>
      </c>
      <c r="AK7" s="405" t="str">
        <f>IF(AK$5="","",'7.Grafer'!AJ$44)</f>
        <v/>
      </c>
      <c r="AL7" s="405" t="str">
        <f>IF(AL$5="","",'7.Grafer'!AK$44)</f>
        <v/>
      </c>
      <c r="AM7" s="405" t="str">
        <f>IF(AM$5="","",'7.Grafer'!AL$44)</f>
        <v/>
      </c>
      <c r="AN7" s="405" t="str">
        <f>IF(AN$5="","",'7.Grafer'!AM$44)</f>
        <v/>
      </c>
      <c r="AO7" s="405" t="str">
        <f>IF(AO$5="","",'7.Grafer'!AN$44)</f>
        <v/>
      </c>
      <c r="AP7" s="405" t="str">
        <f>IF(AP$5="","",'7.Grafer'!AO$44)</f>
        <v/>
      </c>
      <c r="AQ7" s="405" t="str">
        <f>IF(AQ$5="","",'7.Grafer'!AP$44)</f>
        <v/>
      </c>
      <c r="AR7" s="405" t="str">
        <f>IF(AR$5="","",'7.Grafer'!AQ$44)</f>
        <v/>
      </c>
      <c r="AS7" s="405" t="str">
        <f>IF(AS$5="","",'7.Grafer'!AR$44)</f>
        <v/>
      </c>
      <c r="AT7" s="405" t="str">
        <f>IF(AT$5="","",'7.Grafer'!AS$44)</f>
        <v/>
      </c>
      <c r="AU7" s="405" t="str">
        <f>IF(AU$5="","",'7.Grafer'!AT$44)</f>
        <v/>
      </c>
      <c r="AV7" s="405" t="str">
        <f>IF(AV$5="","",'7.Grafer'!AU$44)</f>
        <v/>
      </c>
      <c r="AW7" s="405" t="str">
        <f>IF(AW$5="","",'7.Grafer'!AV$44)</f>
        <v/>
      </c>
      <c r="AX7" s="405" t="str">
        <f>IF(AX$5="","",'7.Grafer'!AW$44)</f>
        <v/>
      </c>
      <c r="AY7" s="405" t="str">
        <f>IF(AY$5="","",'7.Grafer'!AX$44)</f>
        <v/>
      </c>
      <c r="AZ7" s="405" t="str">
        <f>IF(AZ$5="","",'7.Grafer'!AY$44)</f>
        <v/>
      </c>
      <c r="BA7" s="405" t="str">
        <f>IF(BA$5="","",'7.Grafer'!AZ$44)</f>
        <v/>
      </c>
    </row>
    <row r="8" spans="1:53" ht="15" customHeight="1">
      <c r="A8" s="179">
        <v>0</v>
      </c>
      <c r="B8" s="458" t="s">
        <v>83</v>
      </c>
      <c r="C8" s="460">
        <f>ROUND((LOOKUP('2. Kalkyldata'!$P$17,'5. IRR'!$D$14:$BA$14,'5. IRR'!$D$8:BA8))/100000,0)*100000</f>
        <v>94500000</v>
      </c>
      <c r="D8" s="459">
        <f>IF(D$5="","",'3. Finansiering'!D$57)</f>
        <v>232727272.72727269</v>
      </c>
      <c r="E8" s="459">
        <f>IF(E$5="","",'3. Finansiering'!E$57)</f>
        <v>225454545.45454544</v>
      </c>
      <c r="F8" s="459">
        <f>IF(F$5="","",'3. Finansiering'!F$57)</f>
        <v>218181818.18181816</v>
      </c>
      <c r="G8" s="459">
        <f>IF(G$5="","",'3. Finansiering'!G$57)</f>
        <v>210909090.90909088</v>
      </c>
      <c r="H8" s="459">
        <f>IF(H$5="","",'3. Finansiering'!H$57)</f>
        <v>203636363.63636363</v>
      </c>
      <c r="I8" s="459">
        <f>IF(I$5="","",'3. Finansiering'!I$57)</f>
        <v>196363636.36363634</v>
      </c>
      <c r="J8" s="459">
        <f>IF(J$5="","",'3. Finansiering'!J$57)</f>
        <v>189090909.09090906</v>
      </c>
      <c r="K8" s="459">
        <f>IF(K$5="","",'3. Finansiering'!K$57)</f>
        <v>181818181.81818178</v>
      </c>
      <c r="L8" s="459">
        <f>IF(L$5="","",'3. Finansiering'!L$57)</f>
        <v>174545454.5454545</v>
      </c>
      <c r="M8" s="459">
        <f>IF(M$5="","",'3. Finansiering'!M$57)</f>
        <v>167272727.27272725</v>
      </c>
      <c r="N8" s="459">
        <f>IF(N$5="","",'3. Finansiering'!N$57)</f>
        <v>160000000</v>
      </c>
      <c r="O8" s="459">
        <f>IF(O$5="","",'3. Finansiering'!O$57)</f>
        <v>152727272.72727272</v>
      </c>
      <c r="P8" s="459">
        <f>IF(P$5="","",'3. Finansiering'!P$57)</f>
        <v>145454545.45454544</v>
      </c>
      <c r="Q8" s="459">
        <f>IF(Q$5="","",'3. Finansiering'!Q$57)</f>
        <v>138181818.18181819</v>
      </c>
      <c r="R8" s="459">
        <f>IF(R$5="","",'3. Finansiering'!R$57)</f>
        <v>130909090.90909092</v>
      </c>
      <c r="S8" s="459">
        <f>IF(S$5="","",'3. Finansiering'!S$57)</f>
        <v>123636363.63636366</v>
      </c>
      <c r="T8" s="459">
        <f>IF(T$5="","",'3. Finansiering'!T$57)</f>
        <v>116363636.36363639</v>
      </c>
      <c r="U8" s="459">
        <f>IF(U$5="","",'3. Finansiering'!U$57)</f>
        <v>109090909.09090912</v>
      </c>
      <c r="V8" s="459">
        <f>IF(V$5="","",'3. Finansiering'!V$57)</f>
        <v>101818181.81818184</v>
      </c>
      <c r="W8" s="459">
        <f>IF(W$5="","",'3. Finansiering'!W$57)</f>
        <v>94545454.545454562</v>
      </c>
      <c r="X8" s="459" t="str">
        <f>IF(X$5="","",'3. Finansiering'!X$57)</f>
        <v/>
      </c>
      <c r="Y8" s="459" t="str">
        <f>IF(Y$5="","",'3. Finansiering'!Y$57)</f>
        <v/>
      </c>
      <c r="Z8" s="459" t="str">
        <f>IF(Z$5="","",'3. Finansiering'!Z$57)</f>
        <v/>
      </c>
      <c r="AA8" s="459" t="str">
        <f>IF(AA$5="","",'3. Finansiering'!AA$57)</f>
        <v/>
      </c>
      <c r="AB8" s="459" t="str">
        <f>IF(AB$5="","",'3. Finansiering'!AB$57)</f>
        <v/>
      </c>
      <c r="AC8" s="459" t="str">
        <f>IF(AC$5="","",'3. Finansiering'!AC$57)</f>
        <v/>
      </c>
      <c r="AD8" s="459" t="str">
        <f>IF(AD$5="","",'3. Finansiering'!AD$57)</f>
        <v/>
      </c>
      <c r="AE8" s="459" t="str">
        <f>IF(AE$5="","",'3. Finansiering'!AE$57)</f>
        <v/>
      </c>
      <c r="AF8" s="459" t="str">
        <f>IF(AF$5="","",'3. Finansiering'!AF$57)</f>
        <v/>
      </c>
      <c r="AG8" s="459" t="str">
        <f>IF(AG$5="","",'3. Finansiering'!AG$57)</f>
        <v/>
      </c>
      <c r="AH8" s="459" t="str">
        <f>IF(AH$5="","",'3. Finansiering'!AH$57)</f>
        <v/>
      </c>
      <c r="AI8" s="459" t="str">
        <f>IF(AI$5="","",'3. Finansiering'!AI$57)</f>
        <v/>
      </c>
      <c r="AJ8" s="459" t="str">
        <f>IF(AJ$5="","",'3. Finansiering'!AJ$57)</f>
        <v/>
      </c>
      <c r="AK8" s="459" t="str">
        <f>IF(AK$5="","",'3. Finansiering'!AK$57)</f>
        <v/>
      </c>
      <c r="AL8" s="459" t="str">
        <f>IF(AL$5="","",'3. Finansiering'!AL$57)</f>
        <v/>
      </c>
      <c r="AM8" s="459" t="str">
        <f>IF(AM$5="","",'3. Finansiering'!AM$57)</f>
        <v/>
      </c>
      <c r="AN8" s="459" t="str">
        <f>IF(AN$5="","",'3. Finansiering'!AN$57)</f>
        <v/>
      </c>
      <c r="AO8" s="459" t="str">
        <f>IF(AO$5="","",'3. Finansiering'!AO$57)</f>
        <v/>
      </c>
      <c r="AP8" s="459" t="str">
        <f>IF(AP$5="","",'3. Finansiering'!AP$57)</f>
        <v/>
      </c>
      <c r="AQ8" s="459" t="str">
        <f>IF(AQ$5="","",'3. Finansiering'!AQ$57)</f>
        <v/>
      </c>
      <c r="AR8" s="459" t="str">
        <f>IF(AR$5="","",'3. Finansiering'!AR$57)</f>
        <v/>
      </c>
      <c r="AS8" s="459" t="str">
        <f>IF(AS$5="","",'3. Finansiering'!AS$57)</f>
        <v/>
      </c>
      <c r="AT8" s="459" t="str">
        <f>IF(AT$5="","",'3. Finansiering'!AT$57)</f>
        <v/>
      </c>
      <c r="AU8" s="459" t="str">
        <f>IF(AU$5="","",'3. Finansiering'!AU$57)</f>
        <v/>
      </c>
      <c r="AV8" s="459" t="str">
        <f>IF(AV$5="","",'3. Finansiering'!AV$57)</f>
        <v/>
      </c>
      <c r="AW8" s="459" t="str">
        <f>IF(AW$5="","",'3. Finansiering'!AW$57)</f>
        <v/>
      </c>
      <c r="AX8" s="459" t="str">
        <f>IF(AX$5="","",'3. Finansiering'!AX$57)</f>
        <v/>
      </c>
      <c r="AY8" s="459" t="str">
        <f>IF(AY$5="","",'3. Finansiering'!AY$57)</f>
        <v/>
      </c>
      <c r="AZ8" s="459" t="str">
        <f>IF(AZ$5="","",'3. Finansiering'!AZ$57)</f>
        <v/>
      </c>
      <c r="BA8" s="459" t="str">
        <f>IF(BA$5="","",'3. Finansiering'!BA$57)</f>
        <v/>
      </c>
    </row>
    <row r="9" spans="1:53" ht="15" customHeight="1">
      <c r="A9" s="181"/>
      <c r="B9" s="461" t="s">
        <v>263</v>
      </c>
      <c r="C9" s="462">
        <f>ROUND((LOOKUP('2. Kalkyldata'!$P$17,'5. IRR'!$D$14:$BA$14,'5. IRR'!$D$9:BA9))/100000,0)*100000</f>
        <v>35500000</v>
      </c>
      <c r="D9" s="463">
        <f>IF(D$5="","",'3. Finansiering'!D$22)</f>
        <v>86135999.999999985</v>
      </c>
      <c r="E9" s="463">
        <f>IF(E$5="","",'3. Finansiering'!E$22)</f>
        <v>83471999.999999985</v>
      </c>
      <c r="F9" s="463">
        <f>IF(F$5="","",'3. Finansiering'!F$22)</f>
        <v>80807999.999999985</v>
      </c>
      <c r="G9" s="463">
        <f>IF(G$5="","",'3. Finansiering'!G$22)</f>
        <v>78143999.999999985</v>
      </c>
      <c r="H9" s="463">
        <f>IF(H$5="","",'3. Finansiering'!H$22)</f>
        <v>75479999.999999985</v>
      </c>
      <c r="I9" s="463">
        <f>IF(I$5="","",'3. Finansiering'!I$22)</f>
        <v>72815999.999999985</v>
      </c>
      <c r="J9" s="463">
        <f>IF(J$5="","",'3. Finansiering'!J$22)</f>
        <v>70151999.999999985</v>
      </c>
      <c r="K9" s="463">
        <f>IF(K$5="","",'3. Finansiering'!K$22)</f>
        <v>67487999.999999985</v>
      </c>
      <c r="L9" s="463">
        <f>IF(L$5="","",'3. Finansiering'!L$22)</f>
        <v>64823999.999999985</v>
      </c>
      <c r="M9" s="463">
        <f>IF(M$5="","",'3. Finansiering'!M$22)</f>
        <v>62159999.999999985</v>
      </c>
      <c r="N9" s="463">
        <f>IF(N$5="","",'3. Finansiering'!N$22)</f>
        <v>59495999.999999985</v>
      </c>
      <c r="O9" s="463">
        <f>IF(O$5="","",'3. Finansiering'!O$22)</f>
        <v>56831999.999999985</v>
      </c>
      <c r="P9" s="463">
        <f>IF(P$5="","",'3. Finansiering'!P$22)</f>
        <v>54167999.999999993</v>
      </c>
      <c r="Q9" s="463">
        <f>IF(Q$5="","",'3. Finansiering'!Q$22)</f>
        <v>51503999.999999993</v>
      </c>
      <c r="R9" s="463">
        <f>IF(R$5="","",'3. Finansiering'!R$22)</f>
        <v>48839999.999999993</v>
      </c>
      <c r="S9" s="463">
        <f>IF(S$5="","",'3. Finansiering'!S$22)</f>
        <v>46175999.999999993</v>
      </c>
      <c r="T9" s="463">
        <f>IF(T$5="","",'3. Finansiering'!T$22)</f>
        <v>43511999.999999993</v>
      </c>
      <c r="U9" s="463">
        <f>IF(U$5="","",'3. Finansiering'!U$22)</f>
        <v>40847999.999999993</v>
      </c>
      <c r="V9" s="463">
        <f>IF(V$5="","",'3. Finansiering'!V$22)</f>
        <v>38183999.999999993</v>
      </c>
      <c r="W9" s="463">
        <f>IF(W$5="","",'3. Finansiering'!W$22)</f>
        <v>35519999.999999993</v>
      </c>
      <c r="X9" s="463" t="str">
        <f>IF(X$5="","",'3. Finansiering'!X$22)</f>
        <v/>
      </c>
      <c r="Y9" s="463" t="str">
        <f>IF(Y$5="","",'3. Finansiering'!Y$22)</f>
        <v/>
      </c>
      <c r="Z9" s="463" t="str">
        <f>IF(Z$5="","",'3. Finansiering'!Z$22)</f>
        <v/>
      </c>
      <c r="AA9" s="463" t="str">
        <f>IF(AA$5="","",'3. Finansiering'!AA$22)</f>
        <v/>
      </c>
      <c r="AB9" s="463" t="str">
        <f>IF(AB$5="","",'3. Finansiering'!AB$22)</f>
        <v/>
      </c>
      <c r="AC9" s="463" t="str">
        <f>IF(AC$5="","",'3. Finansiering'!AC$22)</f>
        <v/>
      </c>
      <c r="AD9" s="463" t="str">
        <f>IF(AD$5="","",'3. Finansiering'!AD$22)</f>
        <v/>
      </c>
      <c r="AE9" s="463" t="str">
        <f>IF(AE$5="","",'3. Finansiering'!AE$22)</f>
        <v/>
      </c>
      <c r="AF9" s="463" t="str">
        <f>IF(AF$5="","",'3. Finansiering'!AF$22)</f>
        <v/>
      </c>
      <c r="AG9" s="463" t="str">
        <f>IF(AG$5="","",'3. Finansiering'!AG$22)</f>
        <v/>
      </c>
      <c r="AH9" s="463" t="str">
        <f>IF(AH$5="","",'3. Finansiering'!AH$22)</f>
        <v/>
      </c>
      <c r="AI9" s="463" t="str">
        <f>IF(AI$5="","",'3. Finansiering'!AI$22)</f>
        <v/>
      </c>
      <c r="AJ9" s="463" t="str">
        <f>IF(AJ$5="","",'3. Finansiering'!AJ$22)</f>
        <v/>
      </c>
      <c r="AK9" s="463" t="str">
        <f>IF(AK$5="","",'3. Finansiering'!AK$22)</f>
        <v/>
      </c>
      <c r="AL9" s="463" t="str">
        <f>IF(AL$5="","",'3. Finansiering'!AL$22)</f>
        <v/>
      </c>
      <c r="AM9" s="463" t="str">
        <f>IF(AM$5="","",'3. Finansiering'!AM$22)</f>
        <v/>
      </c>
      <c r="AN9" s="463" t="str">
        <f>IF(AN$5="","",'3. Finansiering'!AN$22)</f>
        <v/>
      </c>
      <c r="AO9" s="463" t="str">
        <f>IF(AO$5="","",'3. Finansiering'!AO$22)</f>
        <v/>
      </c>
      <c r="AP9" s="463" t="str">
        <f>IF(AP$5="","",'3. Finansiering'!AP$22)</f>
        <v/>
      </c>
      <c r="AQ9" s="463" t="str">
        <f>IF(AQ$5="","",'3. Finansiering'!AQ$22)</f>
        <v/>
      </c>
      <c r="AR9" s="463" t="str">
        <f>IF(AR$5="","",'3. Finansiering'!AR$22)</f>
        <v/>
      </c>
      <c r="AS9" s="463" t="str">
        <f>IF(AS$5="","",'3. Finansiering'!AS$22)</f>
        <v/>
      </c>
      <c r="AT9" s="463" t="str">
        <f>IF(AT$5="","",'3. Finansiering'!AT$22)</f>
        <v/>
      </c>
      <c r="AU9" s="463" t="str">
        <f>IF(AU$5="","",'3. Finansiering'!AU$22)</f>
        <v/>
      </c>
      <c r="AV9" s="463" t="str">
        <f>IF(AV$5="","",'3. Finansiering'!AV$22)</f>
        <v/>
      </c>
      <c r="AW9" s="463" t="str">
        <f>IF(AW$5="","",'3. Finansiering'!AW$22)</f>
        <v/>
      </c>
      <c r="AX9" s="463" t="str">
        <f>IF(AX$5="","",'3. Finansiering'!AX$22)</f>
        <v/>
      </c>
      <c r="AY9" s="463" t="str">
        <f>IF(AY$5="","",'3. Finansiering'!AY$22)</f>
        <v/>
      </c>
      <c r="AZ9" s="463" t="str">
        <f>IF(AZ$5="","",'3. Finansiering'!AZ$22)</f>
        <v/>
      </c>
      <c r="BA9" s="463" t="str">
        <f>IF(BA$5="","",'3. Finansiering'!BA$22)</f>
        <v/>
      </c>
    </row>
    <row r="10" spans="1:53" ht="15" customHeight="1">
      <c r="A10" s="182"/>
      <c r="B10" s="464" t="s">
        <v>264</v>
      </c>
      <c r="C10" s="492">
        <f>IF($C$11=0,($C$6*$A$6+$C$7*$A$7+$C$8*$A$8),C11)</f>
        <v>268500000</v>
      </c>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row>
    <row r="11" spans="1:53" ht="15" customHeight="1">
      <c r="A11" s="182"/>
      <c r="B11" s="406" t="s">
        <v>265</v>
      </c>
      <c r="C11" s="370"/>
      <c r="D11" s="491"/>
      <c r="E11" s="491"/>
      <c r="F11" s="491"/>
      <c r="G11" s="491"/>
      <c r="H11" s="491"/>
      <c r="I11" s="491"/>
      <c r="J11" s="491"/>
      <c r="K11" s="491"/>
      <c r="L11" s="491"/>
      <c r="M11" s="491"/>
      <c r="N11" s="491"/>
      <c r="O11" s="491"/>
      <c r="P11" s="491"/>
      <c r="Q11" s="491"/>
      <c r="R11" s="491"/>
      <c r="S11" s="491"/>
      <c r="T11" s="491"/>
      <c r="U11" s="491"/>
      <c r="V11" s="491"/>
      <c r="W11" s="491"/>
      <c r="X11" s="491"/>
      <c r="Y11" s="491"/>
      <c r="Z11" s="491"/>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row>
    <row r="12" spans="1:53" ht="15" customHeight="1">
      <c r="A12" s="182"/>
      <c r="B12" s="407" t="s">
        <v>266</v>
      </c>
      <c r="C12" s="493">
        <f>C10/(1+'2. Kalkyldata'!$M$7)^($C$5)</f>
        <v>110271567.21770142</v>
      </c>
      <c r="D12" s="491"/>
      <c r="E12" s="491"/>
      <c r="F12" s="491"/>
      <c r="G12" s="491"/>
      <c r="H12" s="491"/>
      <c r="I12" s="491"/>
      <c r="J12" s="491"/>
      <c r="K12" s="491"/>
      <c r="L12" s="491"/>
      <c r="M12" s="491"/>
      <c r="N12" s="491"/>
      <c r="O12" s="491"/>
      <c r="P12" s="491"/>
      <c r="Q12" s="491"/>
      <c r="R12" s="491"/>
      <c r="S12" s="491"/>
      <c r="T12" s="491"/>
      <c r="U12" s="491"/>
      <c r="V12" s="491"/>
      <c r="W12" s="491"/>
      <c r="X12" s="491"/>
      <c r="Y12" s="491"/>
      <c r="Z12" s="491"/>
      <c r="AA12" s="491"/>
      <c r="AB12" s="491"/>
      <c r="AC12" s="491"/>
      <c r="AD12" s="491"/>
      <c r="AE12" s="491"/>
      <c r="AF12" s="491"/>
      <c r="AG12" s="491"/>
      <c r="AH12" s="491"/>
      <c r="AI12" s="491"/>
      <c r="AJ12" s="491"/>
      <c r="AK12" s="491"/>
      <c r="AL12" s="491"/>
      <c r="AM12" s="491"/>
      <c r="AN12" s="491"/>
      <c r="AO12" s="491"/>
      <c r="AP12" s="491"/>
      <c r="AQ12" s="491"/>
      <c r="AR12" s="491"/>
      <c r="AS12" s="491"/>
      <c r="AT12" s="491"/>
      <c r="AU12" s="491"/>
      <c r="AV12" s="491"/>
      <c r="AW12" s="491"/>
      <c r="AX12" s="491"/>
      <c r="AY12" s="491"/>
      <c r="AZ12" s="491"/>
      <c r="BA12" s="491"/>
    </row>
    <row r="13" spans="1:53" ht="15" customHeight="1">
      <c r="A13" s="182"/>
      <c r="B13" s="751" t="s">
        <v>373</v>
      </c>
      <c r="C13" s="504"/>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4"/>
      <c r="AL13" s="504"/>
      <c r="AM13" s="504"/>
      <c r="AN13" s="504"/>
      <c r="AO13" s="504"/>
      <c r="AP13" s="504"/>
      <c r="AQ13" s="504"/>
      <c r="AR13" s="504"/>
      <c r="AS13" s="504"/>
      <c r="AT13" s="504"/>
      <c r="AU13" s="504"/>
      <c r="AV13" s="504"/>
      <c r="AW13" s="504"/>
      <c r="AX13" s="504"/>
      <c r="AY13" s="504"/>
      <c r="AZ13" s="504"/>
      <c r="BA13" s="504"/>
    </row>
    <row r="14" spans="1:53" ht="15">
      <c r="A14" s="184"/>
      <c r="B14" s="327" t="s">
        <v>267</v>
      </c>
      <c r="C14" s="327"/>
      <c r="D14" s="330">
        <f>'4. NPV'!D5</f>
        <v>1</v>
      </c>
      <c r="E14" s="330">
        <f>'4. NPV'!E5</f>
        <v>2</v>
      </c>
      <c r="F14" s="330">
        <v>3</v>
      </c>
      <c r="G14" s="330">
        <f>'4. NPV'!G5</f>
        <v>4</v>
      </c>
      <c r="H14" s="330">
        <f>'4. NPV'!H5</f>
        <v>5</v>
      </c>
      <c r="I14" s="330">
        <f>'4. NPV'!I5</f>
        <v>6</v>
      </c>
      <c r="J14" s="330">
        <f>'4. NPV'!J5</f>
        <v>7</v>
      </c>
      <c r="K14" s="330">
        <f>'4. NPV'!K5</f>
        <v>8</v>
      </c>
      <c r="L14" s="330">
        <f>'4. NPV'!L5</f>
        <v>9</v>
      </c>
      <c r="M14" s="330">
        <f>'4. NPV'!M5</f>
        <v>10</v>
      </c>
      <c r="N14" s="330">
        <f>'4. NPV'!N5</f>
        <v>11</v>
      </c>
      <c r="O14" s="330">
        <f>'4. NPV'!O5</f>
        <v>12</v>
      </c>
      <c r="P14" s="330">
        <f>'4. NPV'!P5</f>
        <v>13</v>
      </c>
      <c r="Q14" s="330">
        <f>'4. NPV'!Q5</f>
        <v>14</v>
      </c>
      <c r="R14" s="330">
        <f>'4. NPV'!R5</f>
        <v>15</v>
      </c>
      <c r="S14" s="330">
        <f>'4. NPV'!S5</f>
        <v>16</v>
      </c>
      <c r="T14" s="330">
        <f>'4. NPV'!T5</f>
        <v>17</v>
      </c>
      <c r="U14" s="330">
        <f>'4. NPV'!U5</f>
        <v>18</v>
      </c>
      <c r="V14" s="330">
        <f>'4. NPV'!V5</f>
        <v>19</v>
      </c>
      <c r="W14" s="330">
        <f>'4. NPV'!W5</f>
        <v>20</v>
      </c>
      <c r="X14" s="330">
        <f>'4. NPV'!X5</f>
        <v>21</v>
      </c>
      <c r="Y14" s="330">
        <f>'4. NPV'!Y5</f>
        <v>22</v>
      </c>
      <c r="Z14" s="330">
        <f>'4. NPV'!Z5</f>
        <v>23</v>
      </c>
      <c r="AA14" s="330">
        <f>'4. NPV'!AA5</f>
        <v>24</v>
      </c>
      <c r="AB14" s="330">
        <f>'4. NPV'!AB5</f>
        <v>25</v>
      </c>
      <c r="AC14" s="330">
        <f>'4. NPV'!AC5</f>
        <v>26</v>
      </c>
      <c r="AD14" s="330">
        <f>'4. NPV'!AD5</f>
        <v>27</v>
      </c>
      <c r="AE14" s="330">
        <f>'4. NPV'!AE5</f>
        <v>28</v>
      </c>
      <c r="AF14" s="330">
        <f>'4. NPV'!AF5</f>
        <v>29</v>
      </c>
      <c r="AG14" s="330">
        <f>'4. NPV'!AG5</f>
        <v>30</v>
      </c>
      <c r="AH14" s="330">
        <f>'4. NPV'!AH5</f>
        <v>31</v>
      </c>
      <c r="AI14" s="330">
        <f>'4. NPV'!AI5</f>
        <v>32</v>
      </c>
      <c r="AJ14" s="330">
        <f>'4. NPV'!AJ5</f>
        <v>33</v>
      </c>
      <c r="AK14" s="330">
        <f>'4. NPV'!AK5</f>
        <v>34</v>
      </c>
      <c r="AL14" s="330">
        <f>'4. NPV'!AL5</f>
        <v>35</v>
      </c>
      <c r="AM14" s="330">
        <f>'4. NPV'!AM5</f>
        <v>36</v>
      </c>
      <c r="AN14" s="330">
        <f>'4. NPV'!AN5</f>
        <v>37</v>
      </c>
      <c r="AO14" s="330">
        <f>'4. NPV'!AO5</f>
        <v>38</v>
      </c>
      <c r="AP14" s="330">
        <f>'4. NPV'!AP5</f>
        <v>39</v>
      </c>
      <c r="AQ14" s="330">
        <f>'4. NPV'!AQ5</f>
        <v>40</v>
      </c>
      <c r="AR14" s="330">
        <f>'4. NPV'!AR5</f>
        <v>41</v>
      </c>
      <c r="AS14" s="330">
        <f>'4. NPV'!AS5</f>
        <v>42</v>
      </c>
      <c r="AT14" s="330">
        <f>'4. NPV'!AT5</f>
        <v>43</v>
      </c>
      <c r="AU14" s="330">
        <f>'4. NPV'!AU5</f>
        <v>44</v>
      </c>
      <c r="AV14" s="330">
        <f>'4. NPV'!AV5</f>
        <v>45</v>
      </c>
      <c r="AW14" s="330">
        <f>'4. NPV'!AW5</f>
        <v>46</v>
      </c>
      <c r="AX14" s="330">
        <f>'4. NPV'!AX5</f>
        <v>47</v>
      </c>
      <c r="AY14" s="330">
        <f>'4. NPV'!AY5</f>
        <v>48</v>
      </c>
      <c r="AZ14" s="330">
        <f>'4. NPV'!AZ5</f>
        <v>49</v>
      </c>
      <c r="BA14" s="330">
        <f>'4. NPV'!BA5</f>
        <v>50</v>
      </c>
    </row>
    <row r="15" spans="1:53" ht="15">
      <c r="A15" s="19"/>
      <c r="B15" s="327" t="s">
        <v>192</v>
      </c>
      <c r="C15" s="327"/>
      <c r="D15" s="327">
        <f>IF(D$14&lt;='2. Kalkyldata'!$P$17,'3. Finansiering'!D$13,"")</f>
        <v>2026</v>
      </c>
      <c r="E15" s="327">
        <f>IF(E$14&lt;='2. Kalkyldata'!$P$17,'3. Finansiering'!E$13,"")</f>
        <v>2027</v>
      </c>
      <c r="F15" s="327">
        <f>IF(F$14&lt;='2. Kalkyldata'!$P$17,'3. Finansiering'!F$13,"")</f>
        <v>2028</v>
      </c>
      <c r="G15" s="327">
        <f>IF(G$14&lt;='2. Kalkyldata'!$P$17,'3. Finansiering'!G$13,"")</f>
        <v>2029</v>
      </c>
      <c r="H15" s="327">
        <f>IF(H$14&lt;='2. Kalkyldata'!$P$17,'3. Finansiering'!H$13,"")</f>
        <v>2030</v>
      </c>
      <c r="I15" s="327">
        <f>IF(I$14&lt;='2. Kalkyldata'!$P$17,'3. Finansiering'!I$13,"")</f>
        <v>2031</v>
      </c>
      <c r="J15" s="327">
        <f>IF(J$14&lt;='2. Kalkyldata'!$P$17,'3. Finansiering'!J$13,"")</f>
        <v>2032</v>
      </c>
      <c r="K15" s="327">
        <f>IF(K$14&lt;='2. Kalkyldata'!$P$17,'3. Finansiering'!K$13,"")</f>
        <v>2033</v>
      </c>
      <c r="L15" s="327">
        <f>IF(L$14&lt;='2. Kalkyldata'!$P$17,'3. Finansiering'!L$13,"")</f>
        <v>2034</v>
      </c>
      <c r="M15" s="327">
        <f>IF(M$14&lt;='2. Kalkyldata'!$P$17,'3. Finansiering'!M$13,"")</f>
        <v>2035</v>
      </c>
      <c r="N15" s="327">
        <f>IF(N$14&lt;='2. Kalkyldata'!$P$17,'3. Finansiering'!N$13,"")</f>
        <v>2036</v>
      </c>
      <c r="O15" s="327">
        <f>IF(O$14&lt;='2. Kalkyldata'!$P$17,'3. Finansiering'!O$13,"")</f>
        <v>2037</v>
      </c>
      <c r="P15" s="327">
        <f>IF(P$14&lt;='2. Kalkyldata'!$P$17,'3. Finansiering'!P$13,"")</f>
        <v>2038</v>
      </c>
      <c r="Q15" s="327">
        <f>IF(Q$14&lt;='2. Kalkyldata'!$P$17,'3. Finansiering'!Q$13,"")</f>
        <v>2039</v>
      </c>
      <c r="R15" s="327">
        <f>IF(R$14&lt;='2. Kalkyldata'!$P$17,'3. Finansiering'!R$13,"")</f>
        <v>2040</v>
      </c>
      <c r="S15" s="327">
        <f>IF(S$14&lt;='2. Kalkyldata'!$P$17,'3. Finansiering'!S$13,"")</f>
        <v>2041</v>
      </c>
      <c r="T15" s="327">
        <f>IF(T$14&lt;='2. Kalkyldata'!$P$17,'3. Finansiering'!T$13,"")</f>
        <v>2042</v>
      </c>
      <c r="U15" s="327">
        <f>IF(U$14&lt;='2. Kalkyldata'!$P$17,'3. Finansiering'!U$13,"")</f>
        <v>2043</v>
      </c>
      <c r="V15" s="327">
        <f>IF(V$14&lt;='2. Kalkyldata'!$P$17,'3. Finansiering'!V$13,"")</f>
        <v>2044</v>
      </c>
      <c r="W15" s="327">
        <f>IF(W$14&lt;='2. Kalkyldata'!$P$17,'3. Finansiering'!W$13,"")</f>
        <v>2045</v>
      </c>
      <c r="X15" s="327" t="str">
        <f>IF(X$14&lt;='2. Kalkyldata'!$P$17,'3. Finansiering'!X$13,"")</f>
        <v/>
      </c>
      <c r="Y15" s="327" t="str">
        <f>IF(Y$14&lt;='2. Kalkyldata'!$P$17,'3. Finansiering'!Y$13,"")</f>
        <v/>
      </c>
      <c r="Z15" s="327" t="str">
        <f>IF(Z$14&lt;='2. Kalkyldata'!$P$17,'3. Finansiering'!Z$13,"")</f>
        <v/>
      </c>
      <c r="AA15" s="327" t="str">
        <f>IF(AA$14&lt;='2. Kalkyldata'!$P$17,'3. Finansiering'!AA$13,"")</f>
        <v/>
      </c>
      <c r="AB15" s="327" t="str">
        <f>IF(AB$14&lt;='2. Kalkyldata'!$P$17,'3. Finansiering'!AB$13,"")</f>
        <v/>
      </c>
      <c r="AC15" s="327" t="str">
        <f>IF(AC$14&lt;='2. Kalkyldata'!$P$17,'3. Finansiering'!AC$13,"")</f>
        <v/>
      </c>
      <c r="AD15" s="327" t="str">
        <f>IF(AD$14&lt;='2. Kalkyldata'!$P$17,'3. Finansiering'!AD$13,"")</f>
        <v/>
      </c>
      <c r="AE15" s="327" t="str">
        <f>IF(AE$14&lt;='2. Kalkyldata'!$P$17,'3. Finansiering'!AE$13,"")</f>
        <v/>
      </c>
      <c r="AF15" s="327" t="str">
        <f>IF(AF$14&lt;='2. Kalkyldata'!$P$17,'3. Finansiering'!AF$13,"")</f>
        <v/>
      </c>
      <c r="AG15" s="327" t="str">
        <f>IF(AG$14&lt;='2. Kalkyldata'!$P$17,'3. Finansiering'!AG$13,"")</f>
        <v/>
      </c>
      <c r="AH15" s="327" t="str">
        <f>IF(AH$14&lt;='2. Kalkyldata'!$P$17,'3. Finansiering'!AH$13,"")</f>
        <v/>
      </c>
      <c r="AI15" s="327" t="str">
        <f>IF(AI$14&lt;='2. Kalkyldata'!$P$17,'3. Finansiering'!AI$13,"")</f>
        <v/>
      </c>
      <c r="AJ15" s="327" t="str">
        <f>IF(AJ$14&lt;='2. Kalkyldata'!$P$17,'3. Finansiering'!AJ$13,"")</f>
        <v/>
      </c>
      <c r="AK15" s="327" t="str">
        <f>IF(AK$14&lt;='2. Kalkyldata'!$P$17,'3. Finansiering'!AK$13,"")</f>
        <v/>
      </c>
      <c r="AL15" s="327" t="str">
        <f>IF(AL$14&lt;='2. Kalkyldata'!$P$17,'3. Finansiering'!AL$13,"")</f>
        <v/>
      </c>
      <c r="AM15" s="327" t="str">
        <f>IF(AM$14&lt;='2. Kalkyldata'!$P$17,'3. Finansiering'!AM$13,"")</f>
        <v/>
      </c>
      <c r="AN15" s="327" t="str">
        <f>IF(AN$14&lt;='2. Kalkyldata'!$P$17,'3. Finansiering'!AN$13,"")</f>
        <v/>
      </c>
      <c r="AO15" s="327" t="str">
        <f>IF(AO$14&lt;='2. Kalkyldata'!$P$17,'3. Finansiering'!AO$13,"")</f>
        <v/>
      </c>
      <c r="AP15" s="327" t="str">
        <f>IF(AP$14&lt;='2. Kalkyldata'!$P$17,'3. Finansiering'!AP$13,"")</f>
        <v/>
      </c>
      <c r="AQ15" s="327" t="str">
        <f>IF(AQ$14&lt;='2. Kalkyldata'!$P$17,'3. Finansiering'!AQ$13,"")</f>
        <v/>
      </c>
      <c r="AR15" s="327" t="str">
        <f>IF(AR$14&lt;='2. Kalkyldata'!$P$17,'3. Finansiering'!AR$13,"")</f>
        <v/>
      </c>
      <c r="AS15" s="327" t="str">
        <f>IF(AS$14&lt;='2. Kalkyldata'!$P$17,'3. Finansiering'!AS$13,"")</f>
        <v/>
      </c>
      <c r="AT15" s="327" t="str">
        <f>IF(AT$14&lt;='2. Kalkyldata'!$P$17,'3. Finansiering'!AT$13,"")</f>
        <v/>
      </c>
      <c r="AU15" s="327" t="str">
        <f>IF(AU$14&lt;='2. Kalkyldata'!$P$17,'3. Finansiering'!AU$13,"")</f>
        <v/>
      </c>
      <c r="AV15" s="327" t="str">
        <f>IF(AV$14&lt;='2. Kalkyldata'!$P$17,'3. Finansiering'!AV$13,"")</f>
        <v/>
      </c>
      <c r="AW15" s="327" t="str">
        <f>IF(AW$14&lt;='2. Kalkyldata'!$P$17,'3. Finansiering'!AW$13,"")</f>
        <v/>
      </c>
      <c r="AX15" s="327" t="str">
        <f>IF(AX$14&lt;='2. Kalkyldata'!$P$17,'3. Finansiering'!AX$13,"")</f>
        <v/>
      </c>
      <c r="AY15" s="327" t="str">
        <f>IF(AY$14&lt;='2. Kalkyldata'!$P$17,'3. Finansiering'!AY$13,"")</f>
        <v/>
      </c>
      <c r="AZ15" s="327" t="str">
        <f>IF(AZ$14&lt;='2. Kalkyldata'!$P$17,'3. Finansiering'!AZ$13,"")</f>
        <v/>
      </c>
      <c r="BA15" s="327" t="str">
        <f>IF(BA$14&lt;='2. Kalkyldata'!$P$17,'3. Finansiering'!BA$13,"")</f>
        <v/>
      </c>
    </row>
    <row r="16" spans="1:53">
      <c r="A16" s="504"/>
      <c r="B16" s="349" t="s">
        <v>80</v>
      </c>
      <c r="C16" s="349"/>
      <c r="D16" s="350">
        <f>'4. NPV'!D9</f>
        <v>-239999999.99999997</v>
      </c>
      <c r="E16" s="350">
        <f>'4. NPV'!E9</f>
        <v>0</v>
      </c>
      <c r="F16" s="350">
        <f>'4. NPV'!F9</f>
        <v>0</v>
      </c>
      <c r="G16" s="350">
        <f>'4. NPV'!G9</f>
        <v>0</v>
      </c>
      <c r="H16" s="350">
        <f>'4. NPV'!H9</f>
        <v>0</v>
      </c>
      <c r="I16" s="350">
        <f>'4. NPV'!I9</f>
        <v>0</v>
      </c>
      <c r="J16" s="350">
        <f>'4. NPV'!J9</f>
        <v>0</v>
      </c>
      <c r="K16" s="350">
        <f>'4. NPV'!K9</f>
        <v>0</v>
      </c>
      <c r="L16" s="350">
        <f>'4. NPV'!L9</f>
        <v>0</v>
      </c>
      <c r="M16" s="350">
        <f>'4. NPV'!M9</f>
        <v>0</v>
      </c>
      <c r="N16" s="350">
        <f>'4. NPV'!N9</f>
        <v>0</v>
      </c>
      <c r="O16" s="350">
        <f>'4. NPV'!O9</f>
        <v>0</v>
      </c>
      <c r="P16" s="350">
        <f>'4. NPV'!P9</f>
        <v>0</v>
      </c>
      <c r="Q16" s="350">
        <f>'4. NPV'!Q9</f>
        <v>0</v>
      </c>
      <c r="R16" s="350">
        <f>'4. NPV'!R9</f>
        <v>0</v>
      </c>
      <c r="S16" s="350">
        <f>'4. NPV'!S9</f>
        <v>0</v>
      </c>
      <c r="T16" s="350">
        <f>'4. NPV'!T9</f>
        <v>0</v>
      </c>
      <c r="U16" s="350">
        <f>'4. NPV'!U9</f>
        <v>0</v>
      </c>
      <c r="V16" s="350">
        <f>'4. NPV'!V9</f>
        <v>0</v>
      </c>
      <c r="W16" s="350">
        <f>'4. NPV'!W9</f>
        <v>0</v>
      </c>
      <c r="X16" s="350">
        <f>'4. NPV'!X9</f>
        <v>0</v>
      </c>
      <c r="Y16" s="350">
        <f>'4. NPV'!Y9</f>
        <v>0</v>
      </c>
      <c r="Z16" s="350">
        <f>'4. NPV'!Z9</f>
        <v>0</v>
      </c>
      <c r="AA16" s="350">
        <f>'4. NPV'!AA9</f>
        <v>0</v>
      </c>
      <c r="AB16" s="350">
        <f>'4. NPV'!AB9</f>
        <v>0</v>
      </c>
      <c r="AC16" s="350">
        <f>'4. NPV'!AC9</f>
        <v>0</v>
      </c>
      <c r="AD16" s="350">
        <f>'4. NPV'!AD9</f>
        <v>0</v>
      </c>
      <c r="AE16" s="350">
        <f>'4. NPV'!AE9</f>
        <v>0</v>
      </c>
      <c r="AF16" s="350">
        <f>'4. NPV'!AF9</f>
        <v>0</v>
      </c>
      <c r="AG16" s="350">
        <f>'4. NPV'!AG9</f>
        <v>0</v>
      </c>
      <c r="AH16" s="350">
        <f>'4. NPV'!AH9</f>
        <v>0</v>
      </c>
      <c r="AI16" s="350">
        <f>'4. NPV'!AI9</f>
        <v>0</v>
      </c>
      <c r="AJ16" s="350">
        <f>'4. NPV'!AJ9</f>
        <v>0</v>
      </c>
      <c r="AK16" s="350">
        <f>'4. NPV'!AK9</f>
        <v>0</v>
      </c>
      <c r="AL16" s="350">
        <f>'4. NPV'!AL9</f>
        <v>0</v>
      </c>
      <c r="AM16" s="350">
        <f>'4. NPV'!AM9</f>
        <v>0</v>
      </c>
      <c r="AN16" s="350">
        <f>'4. NPV'!AN9</f>
        <v>0</v>
      </c>
      <c r="AO16" s="350">
        <f>'4. NPV'!AO9</f>
        <v>0</v>
      </c>
      <c r="AP16" s="350">
        <f>'4. NPV'!AP9</f>
        <v>0</v>
      </c>
      <c r="AQ16" s="350">
        <f>'4. NPV'!AQ9</f>
        <v>0</v>
      </c>
      <c r="AR16" s="350">
        <f>'4. NPV'!AR9</f>
        <v>0</v>
      </c>
      <c r="AS16" s="350">
        <f>'4. NPV'!AS9</f>
        <v>0</v>
      </c>
      <c r="AT16" s="350">
        <f>'4. NPV'!AT9</f>
        <v>0</v>
      </c>
      <c r="AU16" s="350">
        <f>'4. NPV'!AU9</f>
        <v>0</v>
      </c>
      <c r="AV16" s="350">
        <f>'4. NPV'!AV9</f>
        <v>0</v>
      </c>
      <c r="AW16" s="350">
        <f>'4. NPV'!AW9</f>
        <v>0</v>
      </c>
      <c r="AX16" s="350">
        <f>'4. NPV'!AX9</f>
        <v>0</v>
      </c>
      <c r="AY16" s="350">
        <f>'4. NPV'!AY9</f>
        <v>0</v>
      </c>
      <c r="AZ16" s="350">
        <f>'4. NPV'!AZ9</f>
        <v>0</v>
      </c>
      <c r="BA16" s="350">
        <f>'4. NPV'!BA9</f>
        <v>0</v>
      </c>
    </row>
    <row r="17" spans="1:53">
      <c r="A17" s="504"/>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4"/>
      <c r="B18" s="424" t="s">
        <v>85</v>
      </c>
      <c r="C18" s="424"/>
      <c r="D18" s="426">
        <f t="shared" ref="D18:AI18" si="1">IF(D$14=$C$5,$C$10,0)</f>
        <v>0</v>
      </c>
      <c r="E18" s="426">
        <f t="shared" si="1"/>
        <v>0</v>
      </c>
      <c r="F18" s="426">
        <f t="shared" si="1"/>
        <v>0</v>
      </c>
      <c r="G18" s="426">
        <f t="shared" si="1"/>
        <v>0</v>
      </c>
      <c r="H18" s="426">
        <f t="shared" si="1"/>
        <v>0</v>
      </c>
      <c r="I18" s="426">
        <f t="shared" si="1"/>
        <v>0</v>
      </c>
      <c r="J18" s="426">
        <f t="shared" si="1"/>
        <v>0</v>
      </c>
      <c r="K18" s="426">
        <f t="shared" si="1"/>
        <v>0</v>
      </c>
      <c r="L18" s="426">
        <f t="shared" si="1"/>
        <v>0</v>
      </c>
      <c r="M18" s="426">
        <f t="shared" si="1"/>
        <v>0</v>
      </c>
      <c r="N18" s="426">
        <f t="shared" si="1"/>
        <v>0</v>
      </c>
      <c r="O18" s="426">
        <f t="shared" si="1"/>
        <v>0</v>
      </c>
      <c r="P18" s="426">
        <f t="shared" si="1"/>
        <v>0</v>
      </c>
      <c r="Q18" s="426">
        <f t="shared" si="1"/>
        <v>0</v>
      </c>
      <c r="R18" s="426">
        <f t="shared" si="1"/>
        <v>0</v>
      </c>
      <c r="S18" s="426">
        <f t="shared" si="1"/>
        <v>0</v>
      </c>
      <c r="T18" s="426">
        <f t="shared" si="1"/>
        <v>0</v>
      </c>
      <c r="U18" s="426">
        <f t="shared" si="1"/>
        <v>0</v>
      </c>
      <c r="V18" s="426">
        <f t="shared" si="1"/>
        <v>0</v>
      </c>
      <c r="W18" s="426">
        <f t="shared" si="1"/>
        <v>268500000</v>
      </c>
      <c r="X18" s="426">
        <f t="shared" si="1"/>
        <v>0</v>
      </c>
      <c r="Y18" s="426">
        <f t="shared" si="1"/>
        <v>0</v>
      </c>
      <c r="Z18" s="426">
        <f t="shared" si="1"/>
        <v>0</v>
      </c>
      <c r="AA18" s="426">
        <f t="shared" si="1"/>
        <v>0</v>
      </c>
      <c r="AB18" s="426">
        <f t="shared" si="1"/>
        <v>0</v>
      </c>
      <c r="AC18" s="426">
        <f t="shared" si="1"/>
        <v>0</v>
      </c>
      <c r="AD18" s="426">
        <f t="shared" si="1"/>
        <v>0</v>
      </c>
      <c r="AE18" s="426">
        <f t="shared" si="1"/>
        <v>0</v>
      </c>
      <c r="AF18" s="426">
        <f t="shared" si="1"/>
        <v>0</v>
      </c>
      <c r="AG18" s="426">
        <f t="shared" si="1"/>
        <v>0</v>
      </c>
      <c r="AH18" s="426">
        <f t="shared" si="1"/>
        <v>0</v>
      </c>
      <c r="AI18" s="426">
        <f t="shared" si="1"/>
        <v>0</v>
      </c>
      <c r="AJ18" s="426">
        <f t="shared" ref="AJ18:BA18" si="2">IF(AJ$14=$C$5,$C$10,0)</f>
        <v>0</v>
      </c>
      <c r="AK18" s="426">
        <f t="shared" si="2"/>
        <v>0</v>
      </c>
      <c r="AL18" s="426">
        <f t="shared" si="2"/>
        <v>0</v>
      </c>
      <c r="AM18" s="426">
        <f t="shared" si="2"/>
        <v>0</v>
      </c>
      <c r="AN18" s="426">
        <f t="shared" si="2"/>
        <v>0</v>
      </c>
      <c r="AO18" s="426">
        <f t="shared" si="2"/>
        <v>0</v>
      </c>
      <c r="AP18" s="426">
        <f t="shared" si="2"/>
        <v>0</v>
      </c>
      <c r="AQ18" s="426">
        <f t="shared" si="2"/>
        <v>0</v>
      </c>
      <c r="AR18" s="426">
        <f t="shared" si="2"/>
        <v>0</v>
      </c>
      <c r="AS18" s="426">
        <f t="shared" si="2"/>
        <v>0</v>
      </c>
      <c r="AT18" s="426">
        <f t="shared" si="2"/>
        <v>0</v>
      </c>
      <c r="AU18" s="426">
        <f t="shared" si="2"/>
        <v>0</v>
      </c>
      <c r="AV18" s="426">
        <f t="shared" si="2"/>
        <v>0</v>
      </c>
      <c r="AW18" s="426">
        <f t="shared" si="2"/>
        <v>0</v>
      </c>
      <c r="AX18" s="426">
        <f t="shared" si="2"/>
        <v>0</v>
      </c>
      <c r="AY18" s="426">
        <f t="shared" si="2"/>
        <v>0</v>
      </c>
      <c r="AZ18" s="426">
        <f t="shared" si="2"/>
        <v>0</v>
      </c>
      <c r="BA18" s="426">
        <f t="shared" si="2"/>
        <v>0</v>
      </c>
    </row>
    <row r="19" spans="1:53" ht="8.1" customHeight="1">
      <c r="A19" s="504"/>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4"/>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4"/>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4"/>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1" t="s">
        <v>386</v>
      </c>
      <c r="C23" s="421"/>
      <c r="D23" s="423">
        <f>IFERROR(IF(D15="","",'4. NPV'!D$71),0)</f>
        <v>13694500</v>
      </c>
      <c r="E23" s="423">
        <f>IFERROR(IF(E15="","",'4. NPV'!E$71),0)</f>
        <v>13871400</v>
      </c>
      <c r="F23" s="423">
        <f>IFERROR(IF(F15="","",'4. NPV'!F$71),0)</f>
        <v>14050480.140000001</v>
      </c>
      <c r="G23" s="423">
        <f>IFERROR(IF(G15="","",'4. NPV'!G$71),0)</f>
        <v>14231765.012760002</v>
      </c>
      <c r="H23" s="423">
        <f>IFERROR(IF(H15="","",'4. NPV'!H$71),0)</f>
        <v>14415279.436754644</v>
      </c>
      <c r="I23" s="423">
        <f>IFERROR(IF(I15="","",'4. NPV'!I$71),0)</f>
        <v>14601048.456961529</v>
      </c>
      <c r="J23" s="423">
        <f>IFERROR(IF(J15="","",'4. NPV'!J$71),0)</f>
        <v>14789097.345613157</v>
      </c>
      <c r="K23" s="423">
        <f>IFERROR(IF(K15="","",'4. NPV'!K$71),0)</f>
        <v>14979451.602910995</v>
      </c>
      <c r="L23" s="423">
        <f>IFERROR(IF(L15="","",'4. NPV'!L$71),0)</f>
        <v>15172136.957700187</v>
      </c>
      <c r="M23" s="423">
        <f>IFERROR(IF(M15="","",'4. NPV'!M$71),0)</f>
        <v>15367179.368103392</v>
      </c>
      <c r="N23" s="423">
        <f>IFERROR(IF(N15="","",'4. NPV'!N$71),0)</f>
        <v>15564605.022112153</v>
      </c>
      <c r="O23" s="423">
        <f>IFERROR(IF(O15="","",'4. NPV'!O$71),0)</f>
        <v>15764440.33813414</v>
      </c>
      <c r="P23" s="423">
        <f>IFERROR(IF(P15="","",'4. NPV'!P$71),0)</f>
        <v>15966711.965494689</v>
      </c>
      <c r="Q23" s="423">
        <f>IFERROR(IF(Q15="","",'4. NPV'!Q$71),0)</f>
        <v>16171446.784890812</v>
      </c>
      <c r="R23" s="423">
        <f>IFERROR(IF(R15="","",'4. NPV'!R$71),0)</f>
        <v>16378671.908796068</v>
      </c>
      <c r="S23" s="423">
        <f>IFERROR(IF(S15="","",'4. NPV'!S$71),0)</f>
        <v>16588414.681814335</v>
      </c>
      <c r="T23" s="423">
        <f>IFERROR(IF(T15="","",'4. NPV'!T$71),0)</f>
        <v>16800702.680980761</v>
      </c>
      <c r="U23" s="423">
        <f>IFERROR(IF(U15="","",'4. NPV'!U$71),0)</f>
        <v>17015563.716007937</v>
      </c>
      <c r="V23" s="423">
        <f>IFERROR(IF(V15="","",'4. NPV'!V$71),0)</f>
        <v>17233025.829475358</v>
      </c>
      <c r="W23" s="423">
        <f>IFERROR(IF(W15="","",'4. NPV'!W$71),0)</f>
        <v>17453117.29696019</v>
      </c>
      <c r="X23" s="423" t="str">
        <f>IFERROR(IF(X15="","",'4. NPV'!X$71),0)</f>
        <v/>
      </c>
      <c r="Y23" s="423" t="str">
        <f>IFERROR(IF(Y15="","",'4. NPV'!Y$71),0)</f>
        <v/>
      </c>
      <c r="Z23" s="423" t="str">
        <f>IFERROR(IF(Z15="","",'4. NPV'!Z$71),0)</f>
        <v/>
      </c>
      <c r="AA23" s="423" t="str">
        <f>IFERROR(IF(AA15="","",'4. NPV'!AA$71),0)</f>
        <v/>
      </c>
      <c r="AB23" s="423" t="str">
        <f>IFERROR(IF(AB15="","",'4. NPV'!AB$71),0)</f>
        <v/>
      </c>
      <c r="AC23" s="423" t="str">
        <f>IFERROR(IF(AC15="","",'4. NPV'!AC$71),0)</f>
        <v/>
      </c>
      <c r="AD23" s="423" t="str">
        <f>IFERROR(IF(AD15="","",'4. NPV'!AD$71),0)</f>
        <v/>
      </c>
      <c r="AE23" s="423" t="str">
        <f>IFERROR(IF(AE15="","",'4. NPV'!AE$71),0)</f>
        <v/>
      </c>
      <c r="AF23" s="423" t="str">
        <f>IFERROR(IF(AF15="","",'4. NPV'!AF$71),0)</f>
        <v/>
      </c>
      <c r="AG23" s="423" t="str">
        <f>IFERROR(IF(AG15="","",'4. NPV'!AG$71),0)</f>
        <v/>
      </c>
      <c r="AH23" s="423" t="str">
        <f>IFERROR(IF(AH15="","",'4. NPV'!AH$71),0)</f>
        <v/>
      </c>
      <c r="AI23" s="423" t="str">
        <f>IFERROR(IF(AI15="","",'4. NPV'!AI$71),0)</f>
        <v/>
      </c>
      <c r="AJ23" s="423" t="str">
        <f>IFERROR(IF(AJ15="","",'4. NPV'!AJ$71),0)</f>
        <v/>
      </c>
      <c r="AK23" s="423" t="str">
        <f>IFERROR(IF(AK15="","",'4. NPV'!AK$71),0)</f>
        <v/>
      </c>
      <c r="AL23" s="423" t="str">
        <f>IFERROR(IF(AL15="","",'4. NPV'!AL$71),0)</f>
        <v/>
      </c>
      <c r="AM23" s="423" t="str">
        <f>IFERROR(IF(AM15="","",'4. NPV'!AM$71),0)</f>
        <v/>
      </c>
      <c r="AN23" s="423" t="str">
        <f>IFERROR(IF(AN15="","",'4. NPV'!AN$71),0)</f>
        <v/>
      </c>
      <c r="AO23" s="423" t="str">
        <f>IFERROR(IF(AO15="","",'4. NPV'!AO$71),0)</f>
        <v/>
      </c>
      <c r="AP23" s="423" t="str">
        <f>IFERROR(IF(AP15="","",'4. NPV'!AP$71),0)</f>
        <v/>
      </c>
      <c r="AQ23" s="423" t="str">
        <f>IFERROR(IF(AQ15="","",'4. NPV'!AQ$71),0)</f>
        <v/>
      </c>
      <c r="AR23" s="423" t="str">
        <f>IFERROR(IF(AR15="","",'4. NPV'!AR$71),0)</f>
        <v/>
      </c>
      <c r="AS23" s="423" t="str">
        <f>IFERROR(IF(AS15="","",'4. NPV'!AS$71),0)</f>
        <v/>
      </c>
      <c r="AT23" s="423" t="str">
        <f>IFERROR(IF(AT15="","",'4. NPV'!AT$71),0)</f>
        <v/>
      </c>
      <c r="AU23" s="423" t="str">
        <f>IFERROR(IF(AU15="","",'4. NPV'!AU$71),0)</f>
        <v/>
      </c>
      <c r="AV23" s="423" t="str">
        <f>IFERROR(IF(AV15="","",'4. NPV'!AV$71),0)</f>
        <v/>
      </c>
      <c r="AW23" s="423" t="str">
        <f>IFERROR(IF(AW15="","",'4. NPV'!AW$71),0)</f>
        <v/>
      </c>
      <c r="AX23" s="423" t="str">
        <f>IFERROR(IF(AX15="","",'4. NPV'!AX$71),0)</f>
        <v/>
      </c>
      <c r="AY23" s="423" t="str">
        <f>IFERROR(IF(AY15="","",'4. NPV'!AY$71),0)</f>
        <v/>
      </c>
      <c r="AZ23" s="423" t="str">
        <f>IFERROR(IF(AZ15="","",'4. NPV'!AZ$71),0)</f>
        <v/>
      </c>
      <c r="BA23" s="423"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4"/>
      <c r="B26" s="229" t="s">
        <v>143</v>
      </c>
      <c r="C26" s="229"/>
      <c r="D26" s="230">
        <f>IF(D15="",0,-'2. Kalkyldata'!$P$14*('4. NPV'!D$8-'4. NPV'!D$65))</f>
        <v>-488000</v>
      </c>
      <c r="E26" s="230">
        <f>IF(E15="",0,-'2. Kalkyldata'!$P$14*('4. NPV'!E$8-'4. NPV'!E$65))*(1+'2. Kalkyldata'!$M$9)^('5. IRR'!E14-1)</f>
        <v>-497760</v>
      </c>
      <c r="F26" s="230">
        <f>IF(F15="",0,-'2. Kalkyldata'!$P$14*('4. NPV'!F$8-'4. NPV'!F$65))*(1+'2. Kalkyldata'!$M$9)^('5. IRR'!F14-1)</f>
        <v>-507715.2</v>
      </c>
      <c r="G26" s="230">
        <f>IF(G15="",0,-'2. Kalkyldata'!$P$14*('4. NPV'!G$8-'4. NPV'!G$65))*(1+'2. Kalkyldata'!$M$9)^('5. IRR'!G14-1)</f>
        <v>-517869.50399999996</v>
      </c>
      <c r="H26" s="230">
        <f>IF(H15="",0,-'2. Kalkyldata'!$P$14*('4. NPV'!H$8-'4. NPV'!H$65))*(1+'2. Kalkyldata'!$M$9)^('5. IRR'!H14-1)</f>
        <v>-528226.89408</v>
      </c>
      <c r="I26" s="230">
        <f>IF(I15="",0,-'2. Kalkyldata'!$P$14*('4. NPV'!I$8-'4. NPV'!I$65))*(1+'2. Kalkyldata'!$M$9)^('5. IRR'!I14-1)</f>
        <v>-538791.43196159997</v>
      </c>
      <c r="J26" s="230">
        <f>IF(J15="",0,-'2. Kalkyldata'!$P$14*('4. NPV'!J$8-'4. NPV'!J$65))*(1+'2. Kalkyldata'!$M$9)^('5. IRR'!J14-1)</f>
        <v>-549567.26060083206</v>
      </c>
      <c r="K26" s="230">
        <f>IF(K15="",0,-'2. Kalkyldata'!$P$14*('4. NPV'!K$8-'4. NPV'!K$65))*(1+'2. Kalkyldata'!$M$9)^('5. IRR'!K14-1)</f>
        <v>-560558.60581284855</v>
      </c>
      <c r="L26" s="230">
        <f>IF(L15="",0,-'2. Kalkyldata'!$P$14*('4. NPV'!L$8-'4. NPV'!L$65))*(1+'2. Kalkyldata'!$M$9)^('5. IRR'!L14-1)</f>
        <v>-571769.77792910556</v>
      </c>
      <c r="M26" s="230">
        <f>IF(M15="",0,-'2. Kalkyldata'!$P$14*('4. NPV'!M$8-'4. NPV'!M$65))*(1+'2. Kalkyldata'!$M$9)^('5. IRR'!M14-1)</f>
        <v>-583205.17348768772</v>
      </c>
      <c r="N26" s="230">
        <f>IF(N15="",0,-'2. Kalkyldata'!$P$14*('4. NPV'!N$8-'4. NPV'!N$65))*(1+'2. Kalkyldata'!$M$9)^('5. IRR'!N14-1)</f>
        <v>-594869.27695744147</v>
      </c>
      <c r="O26" s="230">
        <f>IF(O15="",0,-'2. Kalkyldata'!$P$14*('4. NPV'!O$8-'4. NPV'!O$65))*(1+'2. Kalkyldata'!$M$9)^('5. IRR'!O14-1)</f>
        <v>-606766.66249659017</v>
      </c>
      <c r="P26" s="230">
        <f>IF(P15="",0,-'2. Kalkyldata'!$P$14*('4. NPV'!P$8-'4. NPV'!P$65))*(1+'2. Kalkyldata'!$M$9)^('5. IRR'!P14-1)</f>
        <v>-618901.99574652209</v>
      </c>
      <c r="Q26" s="230">
        <f>IF(Q15="",0,-'2. Kalkyldata'!$P$14*('4. NPV'!Q$8-'4. NPV'!Q$65))*(1+'2. Kalkyldata'!$M$9)^('5. IRR'!Q14-1)</f>
        <v>-631280.03566145245</v>
      </c>
      <c r="R26" s="230">
        <f>IF(R15="",0,-'2. Kalkyldata'!$P$14*('4. NPV'!R$8-'4. NPV'!R$65))*(1+'2. Kalkyldata'!$M$9)^('5. IRR'!R14-1)</f>
        <v>-643905.63637468161</v>
      </c>
      <c r="S26" s="230">
        <f>IF(S15="",0,-'2. Kalkyldata'!$P$14*('4. NPV'!S$8-'4. NPV'!S$65))*(1+'2. Kalkyldata'!$M$9)^('5. IRR'!S14-1)</f>
        <v>-656783.749102175</v>
      </c>
      <c r="T26" s="230">
        <f>IF(T15="",0,-'2. Kalkyldata'!$P$14*('4. NPV'!T$8-'4. NPV'!T$65))*(1+'2. Kalkyldata'!$M$9)^('5. IRR'!T14-1)</f>
        <v>-669919.42408421868</v>
      </c>
      <c r="U26" s="230">
        <f>IF(U15="",0,-'2. Kalkyldata'!$P$14*('4. NPV'!U$8-'4. NPV'!U$65))*(1+'2. Kalkyldata'!$M$9)^('5. IRR'!U14-1)</f>
        <v>-683317.81256590306</v>
      </c>
      <c r="V26" s="230">
        <f>IF(V15="",0,-'2. Kalkyldata'!$P$14*('4. NPV'!V$8-'4. NPV'!V$65))*(1+'2. Kalkyldata'!$M$9)^('5. IRR'!V14-1)</f>
        <v>-696984.16881722107</v>
      </c>
      <c r="W26" s="230">
        <f>IF(W15="",0,-'2. Kalkyldata'!$P$14*('4. NPV'!W$8-'4. NPV'!W$65))*(1+'2. Kalkyldata'!$M$9)^('5. IRR'!W14-1)</f>
        <v>-710923.85219356546</v>
      </c>
      <c r="X26" s="230">
        <f>IF(X15="",0,-'2. Kalkyldata'!$P$14*('4. NPV'!X$8-'4. NPV'!X$65))*(1+'2. Kalkyldata'!$M$9)^('5. IRR'!X14-1)</f>
        <v>0</v>
      </c>
      <c r="Y26" s="230">
        <f>IF(Y15="",0,-'2. Kalkyldata'!$P$14*('4. NPV'!Y$8-'4. NPV'!Y$65))*(1+'2. Kalkyldata'!$M$9)^('5. IRR'!Y14-1)</f>
        <v>0</v>
      </c>
      <c r="Z26" s="230">
        <f>IF(Z15="",0,-'2. Kalkyldata'!$P$14*('4. NPV'!Z$8-'4. NPV'!Z$65))*(1+'2. Kalkyldata'!$M$9)^('5. IRR'!Z14-1)</f>
        <v>0</v>
      </c>
      <c r="AA26" s="230">
        <f>IF(AA15="",0,-'2. Kalkyldata'!$P$14*('4. NPV'!AA$8-'4. NPV'!AA$65))*(1+'2. Kalkyldata'!$M$9)^('5. IRR'!AA14-1)</f>
        <v>0</v>
      </c>
      <c r="AB26" s="230">
        <f>IF(AB15="",0,-'2. Kalkyldata'!$P$14*('4. NPV'!AB$8-'4. NPV'!AB$65))*(1+'2. Kalkyldata'!$M$9)^('5. IRR'!AB14-1)</f>
        <v>0</v>
      </c>
      <c r="AC26" s="230">
        <f>IF(AC15="",0,-'2. Kalkyldata'!$P$14*('4. NPV'!AC$8-'4. NPV'!AC$65))*(1+'2. Kalkyldata'!$M$9)^('5. IRR'!AC14-1)</f>
        <v>0</v>
      </c>
      <c r="AD26" s="230">
        <f>IF(AD15="",0,-'2. Kalkyldata'!$P$14*('4. NPV'!AD$8-'4. NPV'!AD$65))*(1+'2. Kalkyldata'!$M$9)^('5. IRR'!AD14-1)</f>
        <v>0</v>
      </c>
      <c r="AE26" s="230">
        <f>IF(AE15="",0,-'2. Kalkyldata'!$P$14*('4. NPV'!AE$8-'4. NPV'!AE$65))*(1+'2. Kalkyldata'!$M$9)^('5. IRR'!AE14-1)</f>
        <v>0</v>
      </c>
      <c r="AF26" s="230">
        <f>IF(AF15="",0,-'2. Kalkyldata'!$P$14*('4. NPV'!AF$8-'4. NPV'!AF$65))*(1+'2. Kalkyldata'!$M$9)^('5. IRR'!AF14-1)</f>
        <v>0</v>
      </c>
      <c r="AG26" s="230">
        <f>IF(AG15="",0,-'2. Kalkyldata'!$P$14*('4. NPV'!AG$8-'4. NPV'!AG$65))*(1+'2. Kalkyldata'!$M$9)^('5. IRR'!AG14-1)</f>
        <v>0</v>
      </c>
      <c r="AH26" s="230">
        <f>IF(AH15="",0,-'2. Kalkyldata'!$P$14*('4. NPV'!AH$8-'4. NPV'!AH$65))*(1+'2. Kalkyldata'!$M$9)^('5. IRR'!AH14-1)</f>
        <v>0</v>
      </c>
      <c r="AI26" s="230">
        <f>IF(AI15="",0,-'2. Kalkyldata'!$P$14*('4. NPV'!AI$8-'4. NPV'!AI$65))*(1+'2. Kalkyldata'!$M$9)^('5. IRR'!AI14-1)</f>
        <v>0</v>
      </c>
      <c r="AJ26" s="230">
        <f>IF(AJ15="",0,-'2. Kalkyldata'!$P$14*('4. NPV'!AJ$8-'4. NPV'!AJ$65))*(1+'2. Kalkyldata'!$M$9)^('5. IRR'!AJ14-1)</f>
        <v>0</v>
      </c>
      <c r="AK26" s="230">
        <f>IF(AK15="",0,-'2. Kalkyldata'!$P$14*('4. NPV'!AK$8-'4. NPV'!AK$65))*(1+'2. Kalkyldata'!$M$9)^('5. IRR'!AK14-1)</f>
        <v>0</v>
      </c>
      <c r="AL26" s="230">
        <f>IF(AL15="",0,-'2. Kalkyldata'!$P$14*('4. NPV'!AL$8-'4. NPV'!AL$65))*(1+'2. Kalkyldata'!$M$9)^('5. IRR'!AL14-1)</f>
        <v>0</v>
      </c>
      <c r="AM26" s="230">
        <f>IF(AM15="",0,-'2. Kalkyldata'!$P$14*('4. NPV'!AM$8-'4. NPV'!AM$65))*(1+'2. Kalkyldata'!$M$9)^('5. IRR'!AM14-1)</f>
        <v>0</v>
      </c>
      <c r="AN26" s="230">
        <f>IF(AN15="",0,-'2. Kalkyldata'!$P$14*('4. NPV'!AN$8-'4. NPV'!AN$65))*(1+'2. Kalkyldata'!$M$9)^('5. IRR'!AN14-1)</f>
        <v>0</v>
      </c>
      <c r="AO26" s="230">
        <f>IF(AO15="",0,-'2. Kalkyldata'!$P$14*('4. NPV'!AO$8-'4. NPV'!AO$65))*(1+'2. Kalkyldata'!$M$9)^('5. IRR'!AO14-1)</f>
        <v>0</v>
      </c>
      <c r="AP26" s="230">
        <f>IF(AP15="",0,-'2. Kalkyldata'!$P$14*('4. NPV'!AP$8-'4. NPV'!AP$65))*(1+'2. Kalkyldata'!$M$9)^('5. IRR'!AP14-1)</f>
        <v>0</v>
      </c>
      <c r="AQ26" s="230">
        <f>IF(AQ15="",0,-'2. Kalkyldata'!$P$14*('4. NPV'!AQ$8-'4. NPV'!AQ$65))*(1+'2. Kalkyldata'!$M$9)^('5. IRR'!AQ14-1)</f>
        <v>0</v>
      </c>
      <c r="AR26" s="230">
        <f>IF(AR15="",0,-'2. Kalkyldata'!$P$14*('4. NPV'!AR$8-'4. NPV'!AR$65))*(1+'2. Kalkyldata'!$M$9)^('5. IRR'!AR14-1)</f>
        <v>0</v>
      </c>
      <c r="AS26" s="230">
        <f>IF(AS15="",0,-'2. Kalkyldata'!$P$14*('4. NPV'!AS$8-'4. NPV'!AS$65))*(1+'2. Kalkyldata'!$M$9)^('5. IRR'!AS14-1)</f>
        <v>0</v>
      </c>
      <c r="AT26" s="230">
        <f>IF(AT15="",0,-'2. Kalkyldata'!$P$14*('4. NPV'!AT$8-'4. NPV'!AT$65))*(1+'2. Kalkyldata'!$M$9)^('5. IRR'!AT14-1)</f>
        <v>0</v>
      </c>
      <c r="AU26" s="230">
        <f>IF(AU15="",0,-'2. Kalkyldata'!$P$14*('4. NPV'!AU$8-'4. NPV'!AU$65))*(1+'2. Kalkyldata'!$M$9)^('5. IRR'!AU14-1)</f>
        <v>0</v>
      </c>
      <c r="AV26" s="230">
        <f>IF(AV15="",0,-'2. Kalkyldata'!$P$14*('4. NPV'!AV$8-'4. NPV'!AV$65))*(1+'2. Kalkyldata'!$M$9)^('5. IRR'!AV14-1)</f>
        <v>0</v>
      </c>
      <c r="AW26" s="230">
        <f>IF(AW15="",0,-'2. Kalkyldata'!$P$14*('4. NPV'!AW$8-'4. NPV'!AW$65))*(1+'2. Kalkyldata'!$M$9)^('5. IRR'!AW14-1)</f>
        <v>0</v>
      </c>
      <c r="AX26" s="230">
        <f>IF(AX15="",0,-'2. Kalkyldata'!$P$14*('4. NPV'!AX$8-'4. NPV'!AX$65))*(1+'2. Kalkyldata'!$M$9)^('5. IRR'!AX14-1)</f>
        <v>0</v>
      </c>
      <c r="AY26" s="230">
        <f>IF(AY15="",0,-'2. Kalkyldata'!$P$14*('4. NPV'!AY$8-'4. NPV'!AY$65))*(1+'2. Kalkyldata'!$M$9)^('5. IRR'!AY14-1)</f>
        <v>0</v>
      </c>
      <c r="AZ26" s="230">
        <f>IF(AZ15="",0,-'2. Kalkyldata'!$P$14*('4. NPV'!AZ$8-'4. NPV'!AZ$65))*(1+'2. Kalkyldata'!$M$9)^('5. IRR'!AZ14-1)</f>
        <v>0</v>
      </c>
      <c r="BA26" s="230">
        <f>IF(BA15="",0,-'2. Kalkyldata'!$P$14*('4. NPV'!BA$8-'4. NPV'!BA$65))*(1+'2. Kalkyldata'!$M$9)^('5. IRR'!BA14-1)</f>
        <v>0</v>
      </c>
    </row>
    <row r="27" spans="1:53">
      <c r="A27" s="504"/>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1" t="s">
        <v>272</v>
      </c>
      <c r="C28" s="421"/>
      <c r="D28" s="423">
        <f t="shared" ref="D28:AI28" si="5">IFERROR(D23+SUM(D24:D27),0)</f>
        <v>13206500</v>
      </c>
      <c r="E28" s="423">
        <f t="shared" si="5"/>
        <v>13373640</v>
      </c>
      <c r="F28" s="423">
        <f t="shared" si="5"/>
        <v>13542764.940000001</v>
      </c>
      <c r="G28" s="423">
        <f t="shared" si="5"/>
        <v>13713895.508760002</v>
      </c>
      <c r="H28" s="423">
        <f t="shared" si="5"/>
        <v>13887052.542674644</v>
      </c>
      <c r="I28" s="423">
        <f t="shared" si="5"/>
        <v>14062257.02499993</v>
      </c>
      <c r="J28" s="423">
        <f t="shared" si="5"/>
        <v>14239530.085012326</v>
      </c>
      <c r="K28" s="423">
        <f t="shared" si="5"/>
        <v>14418892.997098148</v>
      </c>
      <c r="L28" s="423">
        <f t="shared" si="5"/>
        <v>14600367.179771082</v>
      </c>
      <c r="M28" s="423">
        <f t="shared" si="5"/>
        <v>14783974.194615705</v>
      </c>
      <c r="N28" s="423">
        <f t="shared" si="5"/>
        <v>14969735.745154712</v>
      </c>
      <c r="O28" s="423">
        <f t="shared" si="5"/>
        <v>15157673.675637549</v>
      </c>
      <c r="P28" s="423">
        <f t="shared" si="5"/>
        <v>15347809.969748167</v>
      </c>
      <c r="Q28" s="423">
        <f t="shared" si="5"/>
        <v>15540166.74922936</v>
      </c>
      <c r="R28" s="423">
        <f t="shared" si="5"/>
        <v>15734766.272421386</v>
      </c>
      <c r="S28" s="423">
        <f t="shared" si="5"/>
        <v>15931630.93271216</v>
      </c>
      <c r="T28" s="423">
        <f t="shared" si="5"/>
        <v>16130783.256896542</v>
      </c>
      <c r="U28" s="423">
        <f t="shared" si="5"/>
        <v>16332245.903442034</v>
      </c>
      <c r="V28" s="423">
        <f t="shared" si="5"/>
        <v>16536041.660658138</v>
      </c>
      <c r="W28" s="423">
        <f t="shared" si="5"/>
        <v>190696738.89931208</v>
      </c>
      <c r="X28" s="423">
        <f t="shared" si="5"/>
        <v>0</v>
      </c>
      <c r="Y28" s="423">
        <f t="shared" si="5"/>
        <v>0</v>
      </c>
      <c r="Z28" s="423">
        <f t="shared" si="5"/>
        <v>0</v>
      </c>
      <c r="AA28" s="423">
        <f t="shared" si="5"/>
        <v>0</v>
      </c>
      <c r="AB28" s="423">
        <f t="shared" si="5"/>
        <v>0</v>
      </c>
      <c r="AC28" s="423">
        <f t="shared" si="5"/>
        <v>0</v>
      </c>
      <c r="AD28" s="423">
        <f t="shared" si="5"/>
        <v>0</v>
      </c>
      <c r="AE28" s="423">
        <f t="shared" si="5"/>
        <v>0</v>
      </c>
      <c r="AF28" s="423">
        <f t="shared" si="5"/>
        <v>0</v>
      </c>
      <c r="AG28" s="423">
        <f t="shared" si="5"/>
        <v>0</v>
      </c>
      <c r="AH28" s="423">
        <f t="shared" si="5"/>
        <v>0</v>
      </c>
      <c r="AI28" s="423">
        <f t="shared" si="5"/>
        <v>0</v>
      </c>
      <c r="AJ28" s="423">
        <f t="shared" ref="AJ28:BA28" si="6">IFERROR(AJ23+SUM(AJ24:AJ27),0)</f>
        <v>0</v>
      </c>
      <c r="AK28" s="423">
        <f t="shared" si="6"/>
        <v>0</v>
      </c>
      <c r="AL28" s="423">
        <f t="shared" si="6"/>
        <v>0</v>
      </c>
      <c r="AM28" s="423">
        <f t="shared" si="6"/>
        <v>0</v>
      </c>
      <c r="AN28" s="423">
        <f t="shared" si="6"/>
        <v>0</v>
      </c>
      <c r="AO28" s="423">
        <f t="shared" si="6"/>
        <v>0</v>
      </c>
      <c r="AP28" s="423">
        <f t="shared" si="6"/>
        <v>0</v>
      </c>
      <c r="AQ28" s="423">
        <f t="shared" si="6"/>
        <v>0</v>
      </c>
      <c r="AR28" s="423">
        <f t="shared" si="6"/>
        <v>0</v>
      </c>
      <c r="AS28" s="423">
        <f t="shared" si="6"/>
        <v>0</v>
      </c>
      <c r="AT28" s="423">
        <f t="shared" si="6"/>
        <v>0</v>
      </c>
      <c r="AU28" s="423">
        <f t="shared" si="6"/>
        <v>0</v>
      </c>
      <c r="AV28" s="423">
        <f t="shared" si="6"/>
        <v>0</v>
      </c>
      <c r="AW28" s="423">
        <f t="shared" si="6"/>
        <v>0</v>
      </c>
      <c r="AX28" s="423">
        <f t="shared" si="6"/>
        <v>0</v>
      </c>
      <c r="AY28" s="423">
        <f t="shared" si="6"/>
        <v>0</v>
      </c>
      <c r="AZ28" s="423">
        <f t="shared" si="6"/>
        <v>0</v>
      </c>
      <c r="BA28" s="423">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49" t="str">
        <f>IF(X15="","",'3. Finansiering'!X$47)</f>
        <v/>
      </c>
      <c r="Y29" s="449" t="str">
        <f>IF(Y15="","",'3. Finansiering'!Y$47)</f>
        <v/>
      </c>
      <c r="Z29" s="449" t="str">
        <f>IF(Z15="","",'3. Finansiering'!Z$47)</f>
        <v/>
      </c>
      <c r="AA29" s="449" t="str">
        <f>IF(AA15="","",'3. Finansiering'!AA$47)</f>
        <v/>
      </c>
      <c r="AB29" s="449" t="str">
        <f>IF(AB15="","",'3. Finansiering'!AB$47)</f>
        <v/>
      </c>
      <c r="AC29" s="449" t="str">
        <f>IF(AC15="","",'3. Finansiering'!AC$47)</f>
        <v/>
      </c>
      <c r="AD29" s="449" t="str">
        <f>IF(AD15="","",'3. Finansiering'!AD$47)</f>
        <v/>
      </c>
      <c r="AE29" s="449" t="str">
        <f>IF(AE15="","",'3. Finansiering'!AE$47)</f>
        <v/>
      </c>
      <c r="AF29" s="449" t="str">
        <f>IF(AF15="","",'3. Finansiering'!AF$47)</f>
        <v/>
      </c>
      <c r="AG29" s="449" t="str">
        <f>IF(AG15="","",'3. Finansiering'!AG$47)</f>
        <v/>
      </c>
      <c r="AH29" s="449" t="str">
        <f>IF(AH15="","",'3. Finansiering'!AH$47)</f>
        <v/>
      </c>
      <c r="AI29" s="449" t="str">
        <f>IF(AI15="","",'3. Finansiering'!AI$47)</f>
        <v/>
      </c>
      <c r="AJ29" s="449" t="str">
        <f>IF(AJ15="","",'3. Finansiering'!AJ$47)</f>
        <v/>
      </c>
      <c r="AK29" s="449" t="str">
        <f>IF(AK15="","",'3. Finansiering'!AK$47)</f>
        <v/>
      </c>
      <c r="AL29" s="449" t="str">
        <f>IF(AL15="","",'3. Finansiering'!AL$47)</f>
        <v/>
      </c>
      <c r="AM29" s="449" t="str">
        <f>IF(AM15="","",'3. Finansiering'!AM$47)</f>
        <v/>
      </c>
      <c r="AN29" s="449" t="str">
        <f>IF(AN15="","",'3. Finansiering'!AN$47)</f>
        <v/>
      </c>
      <c r="AO29" s="449" t="str">
        <f>IF(AO15="","",'3. Finansiering'!AO$47)</f>
        <v/>
      </c>
      <c r="AP29" s="449" t="str">
        <f>IF(AP15="","",'3. Finansiering'!AP$47)</f>
        <v/>
      </c>
      <c r="AQ29" s="449" t="str">
        <f>IF(AQ15="","",'3. Finansiering'!AQ$47)</f>
        <v/>
      </c>
      <c r="AR29" s="449" t="str">
        <f>IF(AR15="","",'3. Finansiering'!AR$47)</f>
        <v/>
      </c>
      <c r="AS29" s="449" t="str">
        <f>IF(AS15="","",'3. Finansiering'!AS$47)</f>
        <v/>
      </c>
      <c r="AT29" s="449" t="str">
        <f>IF(AT15="","",'3. Finansiering'!AT$47)</f>
        <v/>
      </c>
      <c r="AU29" s="449" t="str">
        <f>IF(AU15="","",'3. Finansiering'!AU$47)</f>
        <v/>
      </c>
      <c r="AV29" s="449" t="str">
        <f>IF(AV15="","",'3. Finansiering'!AV$47)</f>
        <v/>
      </c>
      <c r="AW29" s="449" t="str">
        <f>IF(AW15="","",'3. Finansiering'!AW$47)</f>
        <v/>
      </c>
      <c r="AX29" s="449" t="str">
        <f>IF(AX15="","",'3. Finansiering'!AX$47)</f>
        <v/>
      </c>
      <c r="AY29" s="449" t="str">
        <f>IF(AY15="","",'3. Finansiering'!AY$47)</f>
        <v/>
      </c>
      <c r="AZ29" s="449" t="str">
        <f>IF(AZ15="","",'3. Finansiering'!AZ$47)</f>
        <v/>
      </c>
      <c r="BA29" s="449" t="str">
        <f>IF(BA15="","",'3. Finansiering'!BA$47)</f>
        <v/>
      </c>
    </row>
    <row r="30" spans="1:53">
      <c r="A30" s="504"/>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4" t="s">
        <v>274</v>
      </c>
      <c r="C31" s="334"/>
      <c r="D31" s="335">
        <f>D28+SUM(D29:D30)</f>
        <v>3289397.5272727292</v>
      </c>
      <c r="E31" s="335">
        <f t="shared" ref="E31:BA31" si="7">E28+SUM(E29:E30)</f>
        <v>3414783.7672727294</v>
      </c>
      <c r="F31" s="335">
        <f t="shared" si="7"/>
        <v>3550040.3872727305</v>
      </c>
      <c r="G31" s="335">
        <f t="shared" si="7"/>
        <v>3695188.0760327317</v>
      </c>
      <c r="H31" s="335">
        <f t="shared" si="7"/>
        <v>3850247.6699473727</v>
      </c>
      <c r="I31" s="335">
        <f t="shared" si="7"/>
        <v>4015240.1522726584</v>
      </c>
      <c r="J31" s="335">
        <f t="shared" si="7"/>
        <v>4190186.6522850562</v>
      </c>
      <c r="K31" s="335">
        <f t="shared" si="7"/>
        <v>4375108.444370877</v>
      </c>
      <c r="L31" s="335">
        <f t="shared" si="7"/>
        <v>4570026.9470438119</v>
      </c>
      <c r="M31" s="335">
        <f t="shared" si="7"/>
        <v>4774963.7218884341</v>
      </c>
      <c r="N31" s="335">
        <f t="shared" si="7"/>
        <v>4989940.4724274427</v>
      </c>
      <c r="O31" s="335">
        <f t="shared" si="7"/>
        <v>5299090.4029102791</v>
      </c>
      <c r="P31" s="335">
        <f t="shared" si="7"/>
        <v>5610438.6970208958</v>
      </c>
      <c r="Q31" s="335">
        <f t="shared" si="7"/>
        <v>5924007.4765020888</v>
      </c>
      <c r="R31" s="335">
        <f t="shared" si="7"/>
        <v>6239818.9996941146</v>
      </c>
      <c r="S31" s="335">
        <f t="shared" si="7"/>
        <v>6557895.6599848885</v>
      </c>
      <c r="T31" s="335">
        <f t="shared" si="7"/>
        <v>6878259.9841692708</v>
      </c>
      <c r="U31" s="335">
        <f t="shared" si="7"/>
        <v>7200934.630714763</v>
      </c>
      <c r="V31" s="335">
        <f t="shared" si="7"/>
        <v>7525942.3879308663</v>
      </c>
      <c r="W31" s="335">
        <f t="shared" si="7"/>
        <v>181807851.6265848</v>
      </c>
      <c r="X31" s="335">
        <f t="shared" si="7"/>
        <v>0</v>
      </c>
      <c r="Y31" s="335">
        <f t="shared" si="7"/>
        <v>0</v>
      </c>
      <c r="Z31" s="335">
        <f t="shared" si="7"/>
        <v>0</v>
      </c>
      <c r="AA31" s="335">
        <f t="shared" si="7"/>
        <v>0</v>
      </c>
      <c r="AB31" s="335">
        <f t="shared" si="7"/>
        <v>0</v>
      </c>
      <c r="AC31" s="335">
        <f t="shared" si="7"/>
        <v>0</v>
      </c>
      <c r="AD31" s="335">
        <f t="shared" si="7"/>
        <v>0</v>
      </c>
      <c r="AE31" s="335">
        <f t="shared" si="7"/>
        <v>0</v>
      </c>
      <c r="AF31" s="335">
        <f t="shared" si="7"/>
        <v>0</v>
      </c>
      <c r="AG31" s="335">
        <f t="shared" si="7"/>
        <v>0</v>
      </c>
      <c r="AH31" s="335">
        <f t="shared" si="7"/>
        <v>0</v>
      </c>
      <c r="AI31" s="335">
        <f t="shared" si="7"/>
        <v>0</v>
      </c>
      <c r="AJ31" s="335">
        <f t="shared" si="7"/>
        <v>0</v>
      </c>
      <c r="AK31" s="335">
        <f t="shared" si="7"/>
        <v>0</v>
      </c>
      <c r="AL31" s="335">
        <f t="shared" si="7"/>
        <v>0</v>
      </c>
      <c r="AM31" s="335">
        <f t="shared" si="7"/>
        <v>0</v>
      </c>
      <c r="AN31" s="335">
        <f t="shared" si="7"/>
        <v>0</v>
      </c>
      <c r="AO31" s="335">
        <f t="shared" si="7"/>
        <v>0</v>
      </c>
      <c r="AP31" s="335">
        <f t="shared" si="7"/>
        <v>0</v>
      </c>
      <c r="AQ31" s="335">
        <f t="shared" si="7"/>
        <v>0</v>
      </c>
      <c r="AR31" s="335">
        <f t="shared" si="7"/>
        <v>0</v>
      </c>
      <c r="AS31" s="335">
        <f t="shared" si="7"/>
        <v>0</v>
      </c>
      <c r="AT31" s="335">
        <f t="shared" si="7"/>
        <v>0</v>
      </c>
      <c r="AU31" s="335">
        <f t="shared" si="7"/>
        <v>0</v>
      </c>
      <c r="AV31" s="335">
        <f t="shared" si="7"/>
        <v>0</v>
      </c>
      <c r="AW31" s="335">
        <f t="shared" si="7"/>
        <v>0</v>
      </c>
      <c r="AX31" s="335">
        <f t="shared" si="7"/>
        <v>0</v>
      </c>
      <c r="AY31" s="335">
        <f t="shared" si="7"/>
        <v>0</v>
      </c>
      <c r="AZ31" s="335">
        <f t="shared" si="7"/>
        <v>0</v>
      </c>
      <c r="BA31" s="335">
        <f t="shared" si="7"/>
        <v>0</v>
      </c>
    </row>
    <row r="32" spans="1:53">
      <c r="A32" s="504"/>
      <c r="B32" s="465" t="str">
        <f>CONCATENATE("Bolagsskatt, ",'2. Kalkyldata'!M16*100,"%")</f>
        <v>Bolagsskatt, 20,6%</v>
      </c>
      <c r="C32" s="465"/>
      <c r="D32" s="466">
        <f>IF(D15="","",IF(D$31&lt;=0,0,(-(D$31)*'2. Kalkyldata'!$M$16)))</f>
        <v>-677615.89061818214</v>
      </c>
      <c r="E32" s="466">
        <f>IF(E15="","",IF(E$31&lt;=0,0,(-(E$31)*'2. Kalkyldata'!$M$16)))</f>
        <v>-703445.45605818217</v>
      </c>
      <c r="F32" s="466">
        <f>IF(F15="","",IF(F$31&lt;=0,0,(-(F$31)*'2. Kalkyldata'!$M$16)))</f>
        <v>-731308.31977818243</v>
      </c>
      <c r="G32" s="466">
        <f>IF(G15="","",IF(G$31&lt;=0,0,(-(G$31)*'2. Kalkyldata'!$M$16)))</f>
        <v>-761208.74366274267</v>
      </c>
      <c r="H32" s="466">
        <f>IF(H15="","",IF(H$31&lt;=0,0,(-(H$31)*'2. Kalkyldata'!$M$16)))</f>
        <v>-793151.02000915876</v>
      </c>
      <c r="I32" s="466">
        <f>IF(I15="","",IF(I$31&lt;=0,0,(-(I$31)*'2. Kalkyldata'!$M$16)))</f>
        <v>-827139.47136816755</v>
      </c>
      <c r="J32" s="466">
        <f>IF(J15="","",IF(J$31&lt;=0,0,(-(J$31)*'2. Kalkyldata'!$M$16)))</f>
        <v>-863178.45037072152</v>
      </c>
      <c r="K32" s="466">
        <f>IF(K15="","",IF(K$31&lt;=0,0,(-(K$31)*'2. Kalkyldata'!$M$16)))</f>
        <v>-901272.33954040066</v>
      </c>
      <c r="L32" s="466">
        <f>IF(L15="","",IF(L$31&lt;=0,0,(-(L$31)*'2. Kalkyldata'!$M$16)))</f>
        <v>-941425.55109102523</v>
      </c>
      <c r="M32" s="466">
        <f>IF(M15="","",IF(M$31&lt;=0,0,(-(M$31)*'2. Kalkyldata'!$M$16)))</f>
        <v>-983642.52670901734</v>
      </c>
      <c r="N32" s="466">
        <f>IF(N15="","",IF(N$31&lt;=0,0,(-(N$31)*'2. Kalkyldata'!$M$16)))</f>
        <v>-1027927.7373200532</v>
      </c>
      <c r="O32" s="466">
        <f>IF(O15="","",IF(O$31&lt;=0,0,(-(O$31)*'2. Kalkyldata'!$M$16)))</f>
        <v>-1091612.6229995175</v>
      </c>
      <c r="P32" s="466">
        <f>IF(P15="","",IF(P$31&lt;=0,0,(-(P$31)*'2. Kalkyldata'!$M$16)))</f>
        <v>-1155750.3715863044</v>
      </c>
      <c r="Q32" s="466">
        <f>IF(Q15="","",IF(Q$31&lt;=0,0,(-(Q$31)*'2. Kalkyldata'!$M$16)))</f>
        <v>-1220345.5401594301</v>
      </c>
      <c r="R32" s="466">
        <f>IF(R15="","",IF(R$31&lt;=0,0,(-(R$31)*'2. Kalkyldata'!$M$16)))</f>
        <v>-1285402.7139369876</v>
      </c>
      <c r="S32" s="466">
        <f>IF(S15="","",IF(S$31&lt;=0,0,(-(S$31)*'2. Kalkyldata'!$M$16)))</f>
        <v>-1350926.505956887</v>
      </c>
      <c r="T32" s="466">
        <f>IF(T15="","",IF(T$31&lt;=0,0,(-(T$31)*'2. Kalkyldata'!$M$16)))</f>
        <v>-1416921.5567388698</v>
      </c>
      <c r="U32" s="466">
        <f>IF(U15="","",IF(U$31&lt;=0,0,(-(U$31)*'2. Kalkyldata'!$M$16)))</f>
        <v>-1483392.5339272411</v>
      </c>
      <c r="V32" s="466">
        <f>IF(V15="","",IF(V$31&lt;=0,0,(-(V$31)*'2. Kalkyldata'!$M$16)))</f>
        <v>-1550344.1319137583</v>
      </c>
      <c r="W32" s="466">
        <f>IF(W15="","",IF(W$31&lt;=0,0,(-(W$31)*'2. Kalkyldata'!$M$16)))</f>
        <v>-37452417.435076468</v>
      </c>
      <c r="X32" s="466" t="str">
        <f>IF(X15="","",IF(X$31&lt;=0,0,(-(X$31)*'2. Kalkyldata'!$M$16)))</f>
        <v/>
      </c>
      <c r="Y32" s="466" t="str">
        <f>IF(Y15="","",IF(Y$31&lt;=0,0,(-(Y$31)*'2. Kalkyldata'!$M$16)))</f>
        <v/>
      </c>
      <c r="Z32" s="466" t="str">
        <f>IF(Z15="","",IF(Z$31&lt;=0,0,(-(Z$31)*'2. Kalkyldata'!$M$16)))</f>
        <v/>
      </c>
      <c r="AA32" s="466" t="str">
        <f>IF(AA15="","",IF(AA$31&lt;=0,0,(-(AA$31)*'2. Kalkyldata'!$M$16)))</f>
        <v/>
      </c>
      <c r="AB32" s="466" t="str">
        <f>IF(AB15="","",IF(AB$31&lt;=0,0,(-(AB$31)*'2. Kalkyldata'!$M$16)))</f>
        <v/>
      </c>
      <c r="AC32" s="466" t="str">
        <f>IF(AC15="","",IF(AC$31&lt;=0,0,(-(AC$31)*'2. Kalkyldata'!$M$16)))</f>
        <v/>
      </c>
      <c r="AD32" s="466" t="str">
        <f>IF(AD15="","",IF(AD$31&lt;=0,0,(-(AD$31)*'2. Kalkyldata'!$M$16)))</f>
        <v/>
      </c>
      <c r="AE32" s="466" t="str">
        <f>IF(AE15="","",IF(AE$31&lt;=0,0,(-(AE$31)*'2. Kalkyldata'!$M$16)))</f>
        <v/>
      </c>
      <c r="AF32" s="466" t="str">
        <f>IF(AF15="","",IF(AF$31&lt;=0,0,(-(AF$31)*'2. Kalkyldata'!$M$16)))</f>
        <v/>
      </c>
      <c r="AG32" s="466" t="str">
        <f>IF(AG15="","",IF(AG$31&lt;=0,0,(-(AG$31)*'2. Kalkyldata'!$M$16)))</f>
        <v/>
      </c>
      <c r="AH32" s="466" t="str">
        <f>IF(AH15="","",IF(AH$31&lt;=0,0,(-(AH$31)*'2. Kalkyldata'!$M$16)))</f>
        <v/>
      </c>
      <c r="AI32" s="466" t="str">
        <f>IF(AI15="","",IF(AI$31&lt;=0,0,(-(AI$31)*'2. Kalkyldata'!$M$16)))</f>
        <v/>
      </c>
      <c r="AJ32" s="466" t="str">
        <f>IF(AJ15="","",IF(AJ$31&lt;=0,0,(-(AJ$31)*'2. Kalkyldata'!$M$16)))</f>
        <v/>
      </c>
      <c r="AK32" s="466" t="str">
        <f>IF(AK15="","",IF(AK$31&lt;=0,0,(-(AK$31)*'2. Kalkyldata'!$M$16)))</f>
        <v/>
      </c>
      <c r="AL32" s="466" t="str">
        <f>IF(AL15="","",IF(AL$31&lt;=0,0,(-(AL$31)*'2. Kalkyldata'!$M$16)))</f>
        <v/>
      </c>
      <c r="AM32" s="466" t="str">
        <f>IF(AM15="","",IF(AM$31&lt;=0,0,(-(AM$31)*'2. Kalkyldata'!$M$16)))</f>
        <v/>
      </c>
      <c r="AN32" s="466" t="str">
        <f>IF(AN15="","",IF(AN$31&lt;=0,0,(-(AN$31)*'2. Kalkyldata'!$M$16)))</f>
        <v/>
      </c>
      <c r="AO32" s="466" t="str">
        <f>IF(AO15="","",IF(AO$31&lt;=0,0,(-(AO$31)*'2. Kalkyldata'!$M$16)))</f>
        <v/>
      </c>
      <c r="AP32" s="466" t="str">
        <f>IF(AP15="","",IF(AP$31&lt;=0,0,(-(AP$31)*'2. Kalkyldata'!$M$16)))</f>
        <v/>
      </c>
      <c r="AQ32" s="466" t="str">
        <f>IF(AQ15="","",IF(AQ$31&lt;=0,0,(-(AQ$31)*'2. Kalkyldata'!$M$16)))</f>
        <v/>
      </c>
      <c r="AR32" s="466" t="str">
        <f>IF(AR15="","",IF(AR$31&lt;=0,0,(-(AR$31)*'2. Kalkyldata'!$M$16)))</f>
        <v/>
      </c>
      <c r="AS32" s="466" t="str">
        <f>IF(AS15="","",IF(AS$31&lt;=0,0,(-(AS$31)*'2. Kalkyldata'!$M$16)))</f>
        <v/>
      </c>
      <c r="AT32" s="466" t="str">
        <f>IF(AT15="","",IF(AT$31&lt;=0,0,(-(AT$31)*'2. Kalkyldata'!$M$16)))</f>
        <v/>
      </c>
      <c r="AU32" s="466" t="str">
        <f>IF(AU15="","",IF(AU$31&lt;=0,0,(-(AU$31)*'2. Kalkyldata'!$M$16)))</f>
        <v/>
      </c>
      <c r="AV32" s="466" t="str">
        <f>IF(AV15="","",IF(AV$31&lt;=0,0,(-(AV$31)*'2. Kalkyldata'!$M$16)))</f>
        <v/>
      </c>
      <c r="AW32" s="466" t="str">
        <f>IF(AW15="","",IF(AW$31&lt;=0,0,(-(AW$31)*'2. Kalkyldata'!$M$16)))</f>
        <v/>
      </c>
      <c r="AX32" s="466" t="str">
        <f>IF(AX15="","",IF(AX$31&lt;=0,0,(-(AX$31)*'2. Kalkyldata'!$M$16)))</f>
        <v/>
      </c>
      <c r="AY32" s="466" t="str">
        <f>IF(AY15="","",IF(AY$31&lt;=0,0,(-(AY$31)*'2. Kalkyldata'!$M$16)))</f>
        <v/>
      </c>
      <c r="AZ32" s="466" t="str">
        <f>IF(AZ15="","",IF(AZ$31&lt;=0,0,(-(AZ$31)*'2. Kalkyldata'!$M$16)))</f>
        <v/>
      </c>
      <c r="BA32" s="466" t="str">
        <f>IF(BA15="","",IF(BA$31&lt;=0,0,(-(BA$31)*'2. Kalkyldata'!$M$16)))</f>
        <v/>
      </c>
    </row>
    <row r="33" spans="1:53" ht="15">
      <c r="A33" s="19"/>
      <c r="B33" s="421" t="s">
        <v>275</v>
      </c>
      <c r="C33" s="421"/>
      <c r="D33" s="423">
        <f t="shared" ref="D33:V33" si="8">IFERROR(D$31+D$32,0)</f>
        <v>2611781.636654547</v>
      </c>
      <c r="E33" s="423">
        <f t="shared" si="8"/>
        <v>2711338.3112145471</v>
      </c>
      <c r="F33" s="423">
        <f t="shared" si="8"/>
        <v>2818732.0674945479</v>
      </c>
      <c r="G33" s="423">
        <f t="shared" si="8"/>
        <v>2933979.3323699888</v>
      </c>
      <c r="H33" s="423">
        <f t="shared" si="8"/>
        <v>3057096.6499382141</v>
      </c>
      <c r="I33" s="423">
        <f t="shared" si="8"/>
        <v>3188100.6809044909</v>
      </c>
      <c r="J33" s="423">
        <f t="shared" si="8"/>
        <v>3327008.2019143347</v>
      </c>
      <c r="K33" s="423">
        <f t="shared" si="8"/>
        <v>3473836.1048304765</v>
      </c>
      <c r="L33" s="423">
        <f t="shared" si="8"/>
        <v>3628601.3959527868</v>
      </c>
      <c r="M33" s="423">
        <f t="shared" si="8"/>
        <v>3791321.1951794168</v>
      </c>
      <c r="N33" s="423">
        <f t="shared" si="8"/>
        <v>3962012.7351073893</v>
      </c>
      <c r="O33" s="423">
        <f t="shared" si="8"/>
        <v>4207477.7799107619</v>
      </c>
      <c r="P33" s="423">
        <f t="shared" si="8"/>
        <v>4454688.3254345916</v>
      </c>
      <c r="Q33" s="423">
        <f t="shared" si="8"/>
        <v>4703661.9363426585</v>
      </c>
      <c r="R33" s="423">
        <f t="shared" si="8"/>
        <v>4954416.2857571272</v>
      </c>
      <c r="S33" s="423">
        <f t="shared" si="8"/>
        <v>5206969.1540280012</v>
      </c>
      <c r="T33" s="423">
        <f t="shared" si="8"/>
        <v>5461338.4274304006</v>
      </c>
      <c r="U33" s="423">
        <f t="shared" si="8"/>
        <v>5717542.0967875216</v>
      </c>
      <c r="V33" s="423">
        <f t="shared" si="8"/>
        <v>5975598.2560171075</v>
      </c>
      <c r="W33" s="423">
        <f>IFERROR(W$31+W$32,0)</f>
        <v>144355434.19150832</v>
      </c>
      <c r="X33" s="423">
        <f t="shared" ref="X33:BA33" si="9">IFERROR(X$31+X$32,0)</f>
        <v>0</v>
      </c>
      <c r="Y33" s="423">
        <f t="shared" si="9"/>
        <v>0</v>
      </c>
      <c r="Z33" s="423">
        <f t="shared" si="9"/>
        <v>0</v>
      </c>
      <c r="AA33" s="423">
        <f t="shared" si="9"/>
        <v>0</v>
      </c>
      <c r="AB33" s="423">
        <f t="shared" si="9"/>
        <v>0</v>
      </c>
      <c r="AC33" s="423">
        <f t="shared" si="9"/>
        <v>0</v>
      </c>
      <c r="AD33" s="423">
        <f t="shared" si="9"/>
        <v>0</v>
      </c>
      <c r="AE33" s="423">
        <f t="shared" si="9"/>
        <v>0</v>
      </c>
      <c r="AF33" s="423">
        <f t="shared" si="9"/>
        <v>0</v>
      </c>
      <c r="AG33" s="423">
        <f t="shared" si="9"/>
        <v>0</v>
      </c>
      <c r="AH33" s="423">
        <f t="shared" si="9"/>
        <v>0</v>
      </c>
      <c r="AI33" s="423">
        <f t="shared" si="9"/>
        <v>0</v>
      </c>
      <c r="AJ33" s="423">
        <f t="shared" si="9"/>
        <v>0</v>
      </c>
      <c r="AK33" s="423">
        <f t="shared" si="9"/>
        <v>0</v>
      </c>
      <c r="AL33" s="423">
        <f t="shared" si="9"/>
        <v>0</v>
      </c>
      <c r="AM33" s="423">
        <f t="shared" si="9"/>
        <v>0</v>
      </c>
      <c r="AN33" s="423">
        <f t="shared" si="9"/>
        <v>0</v>
      </c>
      <c r="AO33" s="423">
        <f t="shared" si="9"/>
        <v>0</v>
      </c>
      <c r="AP33" s="423">
        <f t="shared" si="9"/>
        <v>0</v>
      </c>
      <c r="AQ33" s="423">
        <f t="shared" si="9"/>
        <v>0</v>
      </c>
      <c r="AR33" s="423">
        <f t="shared" si="9"/>
        <v>0</v>
      </c>
      <c r="AS33" s="423">
        <f t="shared" si="9"/>
        <v>0</v>
      </c>
      <c r="AT33" s="423">
        <f t="shared" si="9"/>
        <v>0</v>
      </c>
      <c r="AU33" s="423">
        <f t="shared" si="9"/>
        <v>0</v>
      </c>
      <c r="AV33" s="423">
        <f t="shared" si="9"/>
        <v>0</v>
      </c>
      <c r="AW33" s="423">
        <f t="shared" si="9"/>
        <v>0</v>
      </c>
      <c r="AX33" s="423">
        <f t="shared" si="9"/>
        <v>0</v>
      </c>
      <c r="AY33" s="423">
        <f t="shared" si="9"/>
        <v>0</v>
      </c>
      <c r="AZ33" s="423">
        <f t="shared" si="9"/>
        <v>0</v>
      </c>
      <c r="BA33" s="423">
        <f t="shared" si="9"/>
        <v>0</v>
      </c>
    </row>
    <row r="34" spans="1:53">
      <c r="A34" s="504"/>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4"/>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4"/>
      <c r="B36" s="424"/>
      <c r="C36" s="424"/>
      <c r="D36" s="424"/>
      <c r="E36" s="424"/>
      <c r="F36" s="424"/>
      <c r="G36" s="424"/>
      <c r="H36" s="424"/>
      <c r="I36" s="424"/>
      <c r="J36" s="424"/>
      <c r="K36" s="424"/>
      <c r="L36" s="424"/>
      <c r="M36" s="424"/>
      <c r="N36" s="424"/>
      <c r="O36" s="424"/>
      <c r="P36" s="424"/>
      <c r="Q36" s="424"/>
      <c r="R36" s="424"/>
      <c r="S36" s="424"/>
      <c r="T36" s="424"/>
      <c r="U36" s="424"/>
      <c r="V36" s="424"/>
      <c r="W36" s="424"/>
      <c r="X36" s="424"/>
      <c r="Y36" s="424"/>
      <c r="Z36" s="424"/>
      <c r="AA36" s="424"/>
      <c r="AB36" s="424"/>
      <c r="AC36" s="424"/>
      <c r="AD36" s="424"/>
      <c r="AE36" s="424"/>
      <c r="AF36" s="424"/>
      <c r="AG36" s="424"/>
      <c r="AH36" s="424"/>
      <c r="AI36" s="424"/>
      <c r="AJ36" s="424"/>
      <c r="AK36" s="424"/>
      <c r="AL36" s="424"/>
      <c r="AM36" s="424"/>
      <c r="AN36" s="424"/>
      <c r="AO36" s="424"/>
      <c r="AP36" s="424"/>
      <c r="AQ36" s="424"/>
      <c r="AR36" s="424"/>
      <c r="AS36" s="424"/>
      <c r="AT36" s="424"/>
      <c r="AU36" s="424"/>
      <c r="AV36" s="424"/>
      <c r="AW36" s="424"/>
      <c r="AX36" s="424"/>
      <c r="AY36" s="424"/>
      <c r="AZ36" s="424"/>
      <c r="BA36" s="424"/>
    </row>
    <row r="37" spans="1:53" ht="15">
      <c r="A37" s="19"/>
      <c r="B37" s="421" t="s">
        <v>277</v>
      </c>
      <c r="C37" s="421" t="s">
        <v>278</v>
      </c>
      <c r="D37" s="423">
        <f>IFERROR(((D$18+D$20+D$21+D$31+D$34+D$35)-D$29)-D$27,"")</f>
        <v>-143301875.19999996</v>
      </c>
      <c r="E37" s="423">
        <f t="shared" ref="E37:BA37" si="10">IFERROR(((E$18+E$20+E$21+E$31+E$34+E$35)-E$29)-E$27,"")</f>
        <v>8023511.040000001</v>
      </c>
      <c r="F37" s="423">
        <f t="shared" si="10"/>
        <v>8158767.660000002</v>
      </c>
      <c r="G37" s="423">
        <f t="shared" si="10"/>
        <v>8303915.3487600032</v>
      </c>
      <c r="H37" s="423">
        <f t="shared" si="10"/>
        <v>8458974.9426746443</v>
      </c>
      <c r="I37" s="423">
        <f t="shared" si="10"/>
        <v>8623967.42499993</v>
      </c>
      <c r="J37" s="423">
        <f t="shared" si="10"/>
        <v>8798913.9250123277</v>
      </c>
      <c r="K37" s="423">
        <f t="shared" si="10"/>
        <v>8983835.7170981485</v>
      </c>
      <c r="L37" s="423">
        <f t="shared" si="10"/>
        <v>9178754.2197710834</v>
      </c>
      <c r="M37" s="423">
        <f t="shared" si="10"/>
        <v>9383690.9946157057</v>
      </c>
      <c r="N37" s="423">
        <f t="shared" si="10"/>
        <v>9598667.7451547142</v>
      </c>
      <c r="O37" s="423">
        <f t="shared" si="10"/>
        <v>9907817.6756375507</v>
      </c>
      <c r="P37" s="423">
        <f t="shared" si="10"/>
        <v>10219165.969748167</v>
      </c>
      <c r="Q37" s="423">
        <f t="shared" si="10"/>
        <v>10532734.74922936</v>
      </c>
      <c r="R37" s="423">
        <f t="shared" si="10"/>
        <v>10848546.272421386</v>
      </c>
      <c r="S37" s="423">
        <f t="shared" si="10"/>
        <v>11166622.93271216</v>
      </c>
      <c r="T37" s="423">
        <f t="shared" si="10"/>
        <v>11486987.256896542</v>
      </c>
      <c r="U37" s="423">
        <f t="shared" si="10"/>
        <v>11809661.903442034</v>
      </c>
      <c r="V37" s="423">
        <f t="shared" si="10"/>
        <v>12134669.660658138</v>
      </c>
      <c r="W37" s="423">
        <f t="shared" si="10"/>
        <v>245442033.44476658</v>
      </c>
      <c r="X37" s="423" t="str">
        <f t="shared" si="10"/>
        <v/>
      </c>
      <c r="Y37" s="423" t="str">
        <f t="shared" si="10"/>
        <v/>
      </c>
      <c r="Z37" s="423" t="str">
        <f t="shared" si="10"/>
        <v/>
      </c>
      <c r="AA37" s="423" t="str">
        <f t="shared" si="10"/>
        <v/>
      </c>
      <c r="AB37" s="423" t="str">
        <f t="shared" si="10"/>
        <v/>
      </c>
      <c r="AC37" s="423" t="str">
        <f t="shared" si="10"/>
        <v/>
      </c>
      <c r="AD37" s="423" t="str">
        <f t="shared" si="10"/>
        <v/>
      </c>
      <c r="AE37" s="423" t="str">
        <f t="shared" si="10"/>
        <v/>
      </c>
      <c r="AF37" s="423" t="str">
        <f t="shared" si="10"/>
        <v/>
      </c>
      <c r="AG37" s="423" t="str">
        <f t="shared" si="10"/>
        <v/>
      </c>
      <c r="AH37" s="423" t="str">
        <f t="shared" si="10"/>
        <v/>
      </c>
      <c r="AI37" s="423" t="str">
        <f t="shared" si="10"/>
        <v/>
      </c>
      <c r="AJ37" s="423" t="str">
        <f t="shared" si="10"/>
        <v/>
      </c>
      <c r="AK37" s="423" t="str">
        <f t="shared" si="10"/>
        <v/>
      </c>
      <c r="AL37" s="423" t="str">
        <f t="shared" si="10"/>
        <v/>
      </c>
      <c r="AM37" s="423" t="str">
        <f t="shared" si="10"/>
        <v/>
      </c>
      <c r="AN37" s="423" t="str">
        <f t="shared" si="10"/>
        <v/>
      </c>
      <c r="AO37" s="423" t="str">
        <f t="shared" si="10"/>
        <v/>
      </c>
      <c r="AP37" s="423" t="str">
        <f t="shared" si="10"/>
        <v/>
      </c>
      <c r="AQ37" s="423" t="str">
        <f t="shared" si="10"/>
        <v/>
      </c>
      <c r="AR37" s="423" t="str">
        <f t="shared" si="10"/>
        <v/>
      </c>
      <c r="AS37" s="423" t="str">
        <f t="shared" si="10"/>
        <v/>
      </c>
      <c r="AT37" s="423" t="str">
        <f t="shared" si="10"/>
        <v/>
      </c>
      <c r="AU37" s="423" t="str">
        <f t="shared" si="10"/>
        <v/>
      </c>
      <c r="AV37" s="423" t="str">
        <f t="shared" si="10"/>
        <v/>
      </c>
      <c r="AW37" s="423" t="str">
        <f t="shared" si="10"/>
        <v/>
      </c>
      <c r="AX37" s="423" t="str">
        <f t="shared" si="10"/>
        <v/>
      </c>
      <c r="AY37" s="423" t="str">
        <f t="shared" si="10"/>
        <v/>
      </c>
      <c r="AZ37" s="423" t="str">
        <f t="shared" si="10"/>
        <v/>
      </c>
      <c r="BA37" s="423" t="str">
        <f t="shared" si="10"/>
        <v/>
      </c>
    </row>
    <row r="38" spans="1:53" ht="15">
      <c r="A38" s="19"/>
      <c r="B38" s="421" t="s">
        <v>279</v>
      </c>
      <c r="C38" s="421"/>
      <c r="D38" s="423">
        <f>IFERROR(((D$18+D$20+D$21+D$33+D$34+D$35)-D$29)-D$27,"")</f>
        <v>-143979491.09061813</v>
      </c>
      <c r="E38" s="423">
        <f t="shared" ref="E38:BA38" si="11">IFERROR(((E$18+E$20+E$21+E$33+E$34+E$35)-E$29)-E$27,"")</f>
        <v>7320065.5839418191</v>
      </c>
      <c r="F38" s="423">
        <f t="shared" si="11"/>
        <v>7427459.3402218204</v>
      </c>
      <c r="G38" s="423">
        <f t="shared" si="11"/>
        <v>7542706.6050972603</v>
      </c>
      <c r="H38" s="423">
        <f t="shared" si="11"/>
        <v>7665823.9226654861</v>
      </c>
      <c r="I38" s="423">
        <f t="shared" si="11"/>
        <v>7796827.9536317624</v>
      </c>
      <c r="J38" s="423">
        <f t="shared" si="11"/>
        <v>7935735.4746416062</v>
      </c>
      <c r="K38" s="423">
        <f t="shared" si="11"/>
        <v>8082563.3775577489</v>
      </c>
      <c r="L38" s="423">
        <f t="shared" si="11"/>
        <v>8237328.6686800588</v>
      </c>
      <c r="M38" s="423">
        <f t="shared" si="11"/>
        <v>8400048.4679066893</v>
      </c>
      <c r="N38" s="423">
        <f t="shared" si="11"/>
        <v>8570740.0078346618</v>
      </c>
      <c r="O38" s="423">
        <f t="shared" si="11"/>
        <v>8816205.0526380334</v>
      </c>
      <c r="P38" s="423">
        <f t="shared" si="11"/>
        <v>9063415.5981618632</v>
      </c>
      <c r="Q38" s="423">
        <f t="shared" si="11"/>
        <v>9312389.20906993</v>
      </c>
      <c r="R38" s="423">
        <f t="shared" si="11"/>
        <v>9563143.5584843997</v>
      </c>
      <c r="S38" s="423">
        <f t="shared" si="11"/>
        <v>9815696.4267552737</v>
      </c>
      <c r="T38" s="423">
        <f t="shared" si="11"/>
        <v>10070065.700157672</v>
      </c>
      <c r="U38" s="423">
        <f t="shared" si="11"/>
        <v>10326269.369514793</v>
      </c>
      <c r="V38" s="423">
        <f t="shared" si="11"/>
        <v>10584325.528744379</v>
      </c>
      <c r="W38" s="423">
        <f t="shared" si="11"/>
        <v>207989616.00969011</v>
      </c>
      <c r="X38" s="423" t="str">
        <f t="shared" si="11"/>
        <v/>
      </c>
      <c r="Y38" s="423" t="str">
        <f t="shared" si="11"/>
        <v/>
      </c>
      <c r="Z38" s="423" t="str">
        <f t="shared" si="11"/>
        <v/>
      </c>
      <c r="AA38" s="423" t="str">
        <f t="shared" si="11"/>
        <v/>
      </c>
      <c r="AB38" s="423" t="str">
        <f t="shared" si="11"/>
        <v/>
      </c>
      <c r="AC38" s="423" t="str">
        <f t="shared" si="11"/>
        <v/>
      </c>
      <c r="AD38" s="423" t="str">
        <f t="shared" si="11"/>
        <v/>
      </c>
      <c r="AE38" s="423" t="str">
        <f t="shared" si="11"/>
        <v/>
      </c>
      <c r="AF38" s="423" t="str">
        <f t="shared" si="11"/>
        <v/>
      </c>
      <c r="AG38" s="423" t="str">
        <f t="shared" si="11"/>
        <v/>
      </c>
      <c r="AH38" s="423" t="str">
        <f t="shared" si="11"/>
        <v/>
      </c>
      <c r="AI38" s="423" t="str">
        <f t="shared" si="11"/>
        <v/>
      </c>
      <c r="AJ38" s="423" t="str">
        <f t="shared" si="11"/>
        <v/>
      </c>
      <c r="AK38" s="423" t="str">
        <f t="shared" si="11"/>
        <v/>
      </c>
      <c r="AL38" s="423" t="str">
        <f t="shared" si="11"/>
        <v/>
      </c>
      <c r="AM38" s="423" t="str">
        <f t="shared" si="11"/>
        <v/>
      </c>
      <c r="AN38" s="423" t="str">
        <f t="shared" si="11"/>
        <v/>
      </c>
      <c r="AO38" s="423" t="str">
        <f t="shared" si="11"/>
        <v/>
      </c>
      <c r="AP38" s="423" t="str">
        <f t="shared" si="11"/>
        <v/>
      </c>
      <c r="AQ38" s="423" t="str">
        <f t="shared" si="11"/>
        <v/>
      </c>
      <c r="AR38" s="423" t="str">
        <f t="shared" si="11"/>
        <v/>
      </c>
      <c r="AS38" s="423" t="str">
        <f t="shared" si="11"/>
        <v/>
      </c>
      <c r="AT38" s="423" t="str">
        <f t="shared" si="11"/>
        <v/>
      </c>
      <c r="AU38" s="423" t="str">
        <f t="shared" si="11"/>
        <v/>
      </c>
      <c r="AV38" s="423" t="str">
        <f t="shared" si="11"/>
        <v/>
      </c>
      <c r="AW38" s="423" t="str">
        <f t="shared" si="11"/>
        <v/>
      </c>
      <c r="AX38" s="423" t="str">
        <f t="shared" si="11"/>
        <v/>
      </c>
      <c r="AY38" s="423" t="str">
        <f t="shared" si="11"/>
        <v/>
      </c>
      <c r="AZ38" s="423" t="str">
        <f t="shared" si="11"/>
        <v/>
      </c>
      <c r="BA38" s="423" t="str">
        <f t="shared" si="11"/>
        <v/>
      </c>
    </row>
    <row r="39" spans="1:53">
      <c r="A39" s="504"/>
      <c r="B39" s="504"/>
      <c r="C39" s="504"/>
      <c r="D39" s="617"/>
      <c r="E39" s="504"/>
      <c r="F39" s="504"/>
      <c r="G39" s="504"/>
      <c r="H39" s="504"/>
      <c r="I39" s="504"/>
      <c r="J39" s="504"/>
      <c r="K39" s="504"/>
      <c r="L39" s="504"/>
      <c r="M39" s="504"/>
      <c r="N39" s="504"/>
      <c r="O39" s="504"/>
      <c r="P39" s="504"/>
      <c r="Q39" s="504"/>
      <c r="R39" s="504"/>
      <c r="S39" s="504"/>
      <c r="T39" s="504"/>
      <c r="U39" s="504"/>
      <c r="V39" s="504"/>
      <c r="W39" s="504"/>
      <c r="X39" s="504"/>
      <c r="Y39" s="504"/>
      <c r="Z39" s="504"/>
      <c r="AA39" s="504"/>
      <c r="AB39" s="504"/>
      <c r="AC39" s="504"/>
      <c r="AD39" s="504"/>
      <c r="AE39" s="504"/>
      <c r="AF39" s="504"/>
      <c r="AG39" s="504"/>
      <c r="AH39" s="504"/>
      <c r="AI39" s="504"/>
      <c r="AJ39" s="504"/>
      <c r="AK39" s="504"/>
      <c r="AL39" s="504"/>
      <c r="AM39" s="504"/>
      <c r="AN39" s="504"/>
      <c r="AO39" s="504"/>
      <c r="AP39" s="504"/>
      <c r="AQ39" s="504"/>
      <c r="AR39" s="504"/>
      <c r="AS39" s="504"/>
      <c r="AT39" s="504"/>
      <c r="AU39" s="504"/>
      <c r="AV39" s="504"/>
      <c r="AW39" s="504"/>
      <c r="AX39" s="504"/>
      <c r="AY39" s="504"/>
      <c r="AZ39" s="504"/>
      <c r="BA39" s="504"/>
    </row>
    <row r="40" spans="1:53" ht="23.25">
      <c r="A40" s="19"/>
      <c r="B40" s="450" t="s">
        <v>280</v>
      </c>
      <c r="C40" s="450"/>
      <c r="D40" s="451">
        <f>IFERROR(IRR(D37:BA37),"N/A")</f>
        <v>8.0324062183164679E-2</v>
      </c>
      <c r="E40" s="504"/>
      <c r="F40" s="504"/>
      <c r="G40" s="617"/>
      <c r="H40" s="504"/>
      <c r="I40" s="504"/>
      <c r="J40" s="504"/>
      <c r="K40" s="504"/>
      <c r="L40" s="504"/>
      <c r="M40" s="504"/>
      <c r="N40" s="504"/>
      <c r="O40" s="504"/>
      <c r="P40" s="504"/>
      <c r="Q40" s="504"/>
      <c r="R40" s="504"/>
      <c r="S40" s="504"/>
      <c r="T40" s="504"/>
      <c r="U40" s="504"/>
      <c r="V40" s="504"/>
      <c r="W40" s="504"/>
      <c r="X40" s="504"/>
      <c r="Y40" s="504"/>
      <c r="Z40" s="504"/>
      <c r="AA40" s="504"/>
      <c r="AB40" s="504"/>
      <c r="AC40" s="504"/>
      <c r="AD40" s="504"/>
      <c r="AE40" s="504"/>
      <c r="AF40" s="504"/>
      <c r="AG40" s="504"/>
      <c r="AH40" s="504"/>
      <c r="AI40" s="504"/>
      <c r="AJ40" s="504"/>
      <c r="AK40" s="504"/>
      <c r="AL40" s="504"/>
      <c r="AM40" s="504"/>
      <c r="AN40" s="504"/>
      <c r="AO40" s="504"/>
      <c r="AP40" s="504"/>
      <c r="AQ40" s="504"/>
      <c r="AR40" s="504"/>
      <c r="AS40" s="504"/>
      <c r="AT40" s="504"/>
      <c r="AU40" s="504"/>
      <c r="AV40" s="504"/>
      <c r="AW40" s="504"/>
      <c r="AX40" s="504"/>
      <c r="AY40" s="504"/>
      <c r="AZ40" s="504"/>
      <c r="BA40" s="504"/>
    </row>
    <row r="41" spans="1:53" ht="15">
      <c r="A41" s="504"/>
      <c r="B41" s="452" t="s">
        <v>281</v>
      </c>
      <c r="C41" s="452"/>
      <c r="D41" s="453">
        <f>IFERROR(IRR(D38:BA38),"N/A")</f>
        <v>6.8592721589322059E-2</v>
      </c>
      <c r="E41" s="504"/>
      <c r="F41" s="644"/>
      <c r="G41" s="504"/>
      <c r="H41" s="504"/>
      <c r="I41" s="504"/>
      <c r="J41" s="504"/>
      <c r="K41" s="504"/>
      <c r="L41" s="504"/>
      <c r="M41" s="504"/>
      <c r="N41" s="504"/>
      <c r="O41" s="504"/>
      <c r="P41" s="504"/>
      <c r="Q41" s="504"/>
      <c r="R41" s="504"/>
      <c r="S41" s="504"/>
      <c r="T41" s="504"/>
      <c r="U41" s="504"/>
      <c r="V41" s="504"/>
      <c r="W41" s="504"/>
      <c r="X41" s="504"/>
      <c r="Y41" s="504"/>
      <c r="Z41" s="504"/>
      <c r="AA41" s="504"/>
      <c r="AB41" s="504"/>
      <c r="AC41" s="504"/>
      <c r="AD41" s="504"/>
      <c r="AE41" s="504"/>
      <c r="AF41" s="504"/>
      <c r="AG41" s="504"/>
      <c r="AH41" s="504"/>
      <c r="AI41" s="504"/>
      <c r="AJ41" s="504"/>
      <c r="AK41" s="504"/>
      <c r="AL41" s="504"/>
      <c r="AM41" s="504"/>
      <c r="AN41" s="504"/>
      <c r="AO41" s="504"/>
      <c r="AP41" s="504"/>
      <c r="AQ41" s="504"/>
      <c r="AR41" s="504"/>
      <c r="AS41" s="504"/>
      <c r="AT41" s="504"/>
      <c r="AU41" s="504"/>
      <c r="AV41" s="504"/>
      <c r="AW41" s="504"/>
      <c r="AX41" s="504"/>
      <c r="AY41" s="504"/>
      <c r="AZ41" s="504"/>
      <c r="BA41" s="504"/>
    </row>
    <row r="42" spans="1:53" ht="15" hidden="1" outlineLevel="1">
      <c r="A42" s="504"/>
      <c r="B42" s="504"/>
      <c r="C42" s="504"/>
      <c r="D42" s="504"/>
      <c r="E42" s="504"/>
      <c r="F42" s="504"/>
      <c r="G42" s="504"/>
      <c r="H42" s="504"/>
      <c r="I42" s="504"/>
      <c r="J42" s="504"/>
      <c r="K42" s="504"/>
      <c r="L42" s="19" t="s">
        <v>282</v>
      </c>
      <c r="M42" s="504"/>
      <c r="N42" s="504"/>
      <c r="O42" s="504"/>
      <c r="P42" s="504"/>
      <c r="Q42" s="504"/>
      <c r="R42" s="504"/>
      <c r="S42" s="504"/>
      <c r="T42" s="504"/>
      <c r="U42" s="504"/>
      <c r="V42" s="504"/>
      <c r="W42" s="504"/>
      <c r="X42" s="504"/>
      <c r="Y42" s="504"/>
      <c r="Z42" s="504"/>
      <c r="AA42" s="504"/>
      <c r="AB42" s="504"/>
      <c r="AC42" s="504"/>
      <c r="AD42" s="504"/>
      <c r="AE42" s="504"/>
      <c r="AF42" s="504"/>
      <c r="AG42" s="504"/>
      <c r="AH42" s="504"/>
      <c r="AI42" s="504"/>
      <c r="AJ42" s="504"/>
      <c r="AK42" s="504"/>
      <c r="AL42" s="504"/>
      <c r="AM42" s="504"/>
      <c r="AN42" s="504"/>
      <c r="AO42" s="504"/>
      <c r="AP42" s="504"/>
      <c r="AQ42" s="504"/>
      <c r="AR42" s="504"/>
      <c r="AS42" s="504"/>
      <c r="AT42" s="504"/>
      <c r="AU42" s="504"/>
      <c r="AV42" s="504"/>
      <c r="AW42" s="504"/>
      <c r="AX42" s="504"/>
      <c r="AY42" s="504"/>
      <c r="AZ42" s="504"/>
      <c r="BA42" s="504"/>
    </row>
    <row r="43" spans="1:53" hidden="1" outlineLevel="1">
      <c r="A43" s="504"/>
      <c r="B43" s="504"/>
      <c r="C43" s="504"/>
      <c r="D43" s="504"/>
      <c r="E43" s="504"/>
      <c r="F43" s="504"/>
      <c r="G43" s="504"/>
      <c r="H43" s="504"/>
      <c r="I43" s="504"/>
      <c r="J43" s="504"/>
      <c r="K43" s="504"/>
      <c r="L43" s="504" t="s">
        <v>283</v>
      </c>
      <c r="M43" s="617">
        <f t="shared" ref="M43:AJ43" si="12">M18</f>
        <v>0</v>
      </c>
      <c r="N43" s="617">
        <f t="shared" si="12"/>
        <v>0</v>
      </c>
      <c r="O43" s="617">
        <f t="shared" si="12"/>
        <v>0</v>
      </c>
      <c r="P43" s="617">
        <f t="shared" si="12"/>
        <v>0</v>
      </c>
      <c r="Q43" s="617">
        <f t="shared" si="12"/>
        <v>0</v>
      </c>
      <c r="R43" s="617">
        <f t="shared" si="12"/>
        <v>0</v>
      </c>
      <c r="S43" s="617">
        <f t="shared" si="12"/>
        <v>0</v>
      </c>
      <c r="T43" s="617">
        <f t="shared" si="12"/>
        <v>0</v>
      </c>
      <c r="U43" s="617">
        <f t="shared" si="12"/>
        <v>0</v>
      </c>
      <c r="V43" s="617">
        <f t="shared" si="12"/>
        <v>0</v>
      </c>
      <c r="W43" s="617">
        <f t="shared" si="12"/>
        <v>268500000</v>
      </c>
      <c r="X43" s="617">
        <f t="shared" si="12"/>
        <v>0</v>
      </c>
      <c r="Y43" s="617">
        <f t="shared" si="12"/>
        <v>0</v>
      </c>
      <c r="Z43" s="617">
        <f t="shared" si="12"/>
        <v>0</v>
      </c>
      <c r="AA43" s="617">
        <f t="shared" si="12"/>
        <v>0</v>
      </c>
      <c r="AB43" s="617">
        <f t="shared" si="12"/>
        <v>0</v>
      </c>
      <c r="AC43" s="617">
        <f t="shared" si="12"/>
        <v>0</v>
      </c>
      <c r="AD43" s="617">
        <f t="shared" si="12"/>
        <v>0</v>
      </c>
      <c r="AE43" s="617">
        <f t="shared" si="12"/>
        <v>0</v>
      </c>
      <c r="AF43" s="617">
        <f t="shared" si="12"/>
        <v>0</v>
      </c>
      <c r="AG43" s="617">
        <f t="shared" si="12"/>
        <v>0</v>
      </c>
      <c r="AH43" s="617">
        <f t="shared" si="12"/>
        <v>0</v>
      </c>
      <c r="AI43" s="617">
        <f t="shared" si="12"/>
        <v>0</v>
      </c>
      <c r="AJ43" s="617">
        <f t="shared" si="12"/>
        <v>0</v>
      </c>
      <c r="AK43" s="617"/>
      <c r="AL43" s="617"/>
      <c r="AM43" s="617"/>
      <c r="AN43" s="617"/>
      <c r="AO43" s="617"/>
      <c r="AP43" s="617"/>
      <c r="AQ43" s="617"/>
      <c r="AR43" s="617"/>
      <c r="AS43" s="617"/>
      <c r="AT43" s="617"/>
      <c r="AU43" s="617"/>
      <c r="AV43" s="617"/>
      <c r="AW43" s="617"/>
      <c r="AX43" s="617"/>
      <c r="AY43" s="617"/>
      <c r="AZ43" s="617"/>
      <c r="BA43" s="617"/>
    </row>
    <row r="44" spans="1:53" hidden="1" outlineLevel="1">
      <c r="A44" s="504"/>
      <c r="B44" s="504"/>
      <c r="C44" s="504"/>
      <c r="D44" s="504"/>
      <c r="E44" s="504"/>
      <c r="F44" s="504"/>
      <c r="G44" s="504"/>
      <c r="H44" s="504"/>
      <c r="I44" s="504"/>
      <c r="J44" s="504"/>
      <c r="K44" s="504"/>
      <c r="L44" s="504" t="s">
        <v>238</v>
      </c>
      <c r="M44" s="617">
        <f t="shared" ref="M44:AJ44" si="13">M23</f>
        <v>15367179.368103392</v>
      </c>
      <c r="N44" s="617">
        <f t="shared" si="13"/>
        <v>15564605.022112153</v>
      </c>
      <c r="O44" s="617">
        <f t="shared" si="13"/>
        <v>15764440.33813414</v>
      </c>
      <c r="P44" s="617">
        <f t="shared" si="13"/>
        <v>15966711.965494689</v>
      </c>
      <c r="Q44" s="617">
        <f t="shared" si="13"/>
        <v>16171446.784890812</v>
      </c>
      <c r="R44" s="617">
        <f t="shared" si="13"/>
        <v>16378671.908796068</v>
      </c>
      <c r="S44" s="617">
        <f t="shared" si="13"/>
        <v>16588414.681814335</v>
      </c>
      <c r="T44" s="617">
        <f t="shared" si="13"/>
        <v>16800702.680980761</v>
      </c>
      <c r="U44" s="617">
        <f t="shared" si="13"/>
        <v>17015563.716007937</v>
      </c>
      <c r="V44" s="617">
        <f t="shared" si="13"/>
        <v>17233025.829475358</v>
      </c>
      <c r="W44" s="617">
        <f t="shared" si="13"/>
        <v>17453117.29696019</v>
      </c>
      <c r="X44" s="617" t="str">
        <f t="shared" si="13"/>
        <v/>
      </c>
      <c r="Y44" s="617" t="str">
        <f t="shared" si="13"/>
        <v/>
      </c>
      <c r="Z44" s="617" t="str">
        <f t="shared" si="13"/>
        <v/>
      </c>
      <c r="AA44" s="617" t="str">
        <f t="shared" si="13"/>
        <v/>
      </c>
      <c r="AB44" s="617" t="str">
        <f t="shared" si="13"/>
        <v/>
      </c>
      <c r="AC44" s="617" t="str">
        <f t="shared" si="13"/>
        <v/>
      </c>
      <c r="AD44" s="617" t="str">
        <f t="shared" si="13"/>
        <v/>
      </c>
      <c r="AE44" s="617" t="str">
        <f t="shared" si="13"/>
        <v/>
      </c>
      <c r="AF44" s="617" t="str">
        <f t="shared" si="13"/>
        <v/>
      </c>
      <c r="AG44" s="617" t="str">
        <f t="shared" si="13"/>
        <v/>
      </c>
      <c r="AH44" s="617" t="str">
        <f t="shared" si="13"/>
        <v/>
      </c>
      <c r="AI44" s="617" t="str">
        <f t="shared" si="13"/>
        <v/>
      </c>
      <c r="AJ44" s="617" t="str">
        <f t="shared" si="13"/>
        <v/>
      </c>
      <c r="AK44" s="617"/>
      <c r="AL44" s="617"/>
      <c r="AM44" s="617"/>
      <c r="AN44" s="617"/>
      <c r="AO44" s="617"/>
      <c r="AP44" s="617"/>
      <c r="AQ44" s="617"/>
      <c r="AR44" s="617"/>
      <c r="AS44" s="617"/>
      <c r="AT44" s="617"/>
      <c r="AU44" s="617"/>
      <c r="AV44" s="617"/>
      <c r="AW44" s="617"/>
      <c r="AX44" s="617"/>
      <c r="AY44" s="617"/>
      <c r="AZ44" s="617"/>
      <c r="BA44" s="617"/>
    </row>
    <row r="45" spans="1:53" hidden="1" outlineLevel="1">
      <c r="A45" s="504"/>
      <c r="B45" s="504"/>
      <c r="C45" s="504"/>
      <c r="D45" s="504"/>
      <c r="E45" s="504"/>
      <c r="F45" s="504"/>
      <c r="G45" s="504"/>
      <c r="H45" s="504"/>
      <c r="I45" s="504"/>
      <c r="J45" s="504"/>
      <c r="K45" s="504"/>
      <c r="L45" s="504" t="s">
        <v>284</v>
      </c>
      <c r="M45" s="617">
        <f t="shared" ref="M45:AJ45" si="14">M26+M30</f>
        <v>-3319488.3734876877</v>
      </c>
      <c r="N45" s="617">
        <f t="shared" si="14"/>
        <v>-3301937.2769574407</v>
      </c>
      <c r="O45" s="617">
        <f t="shared" si="14"/>
        <v>-3192622.6624965891</v>
      </c>
      <c r="P45" s="617">
        <f t="shared" si="14"/>
        <v>-3083545.9957465217</v>
      </c>
      <c r="Q45" s="617">
        <f t="shared" si="14"/>
        <v>-2974712.035661452</v>
      </c>
      <c r="R45" s="617">
        <f t="shared" si="14"/>
        <v>-2866125.6363746813</v>
      </c>
      <c r="S45" s="617">
        <f t="shared" si="14"/>
        <v>-2757791.7491021743</v>
      </c>
      <c r="T45" s="617">
        <f t="shared" si="14"/>
        <v>-2649715.4240842182</v>
      </c>
      <c r="U45" s="617">
        <f t="shared" si="14"/>
        <v>-2541901.8125659027</v>
      </c>
      <c r="V45" s="617">
        <f t="shared" si="14"/>
        <v>-2434356.1688172207</v>
      </c>
      <c r="W45" s="617">
        <f t="shared" si="14"/>
        <v>-2327083.8521935651</v>
      </c>
      <c r="X45" s="617" t="e">
        <f t="shared" si="14"/>
        <v>#VALUE!</v>
      </c>
      <c r="Y45" s="617" t="e">
        <f t="shared" si="14"/>
        <v>#VALUE!</v>
      </c>
      <c r="Z45" s="617" t="e">
        <f t="shared" si="14"/>
        <v>#VALUE!</v>
      </c>
      <c r="AA45" s="617" t="e">
        <f t="shared" si="14"/>
        <v>#VALUE!</v>
      </c>
      <c r="AB45" s="617" t="e">
        <f t="shared" si="14"/>
        <v>#VALUE!</v>
      </c>
      <c r="AC45" s="617" t="e">
        <f t="shared" si="14"/>
        <v>#VALUE!</v>
      </c>
      <c r="AD45" s="617" t="e">
        <f t="shared" si="14"/>
        <v>#VALUE!</v>
      </c>
      <c r="AE45" s="617" t="e">
        <f t="shared" si="14"/>
        <v>#VALUE!</v>
      </c>
      <c r="AF45" s="617" t="e">
        <f t="shared" si="14"/>
        <v>#VALUE!</v>
      </c>
      <c r="AG45" s="617" t="e">
        <f t="shared" si="14"/>
        <v>#VALUE!</v>
      </c>
      <c r="AH45" s="617" t="e">
        <f t="shared" si="14"/>
        <v>#VALUE!</v>
      </c>
      <c r="AI45" s="617" t="e">
        <f t="shared" si="14"/>
        <v>#VALUE!</v>
      </c>
      <c r="AJ45" s="617" t="e">
        <f t="shared" si="14"/>
        <v>#VALUE!</v>
      </c>
      <c r="AK45" s="617"/>
      <c r="AL45" s="617"/>
      <c r="AM45" s="617"/>
      <c r="AN45" s="617"/>
      <c r="AO45" s="617"/>
      <c r="AP45" s="617"/>
      <c r="AQ45" s="617"/>
      <c r="AR45" s="617"/>
      <c r="AS45" s="617"/>
      <c r="AT45" s="617"/>
      <c r="AU45" s="617"/>
      <c r="AV45" s="617"/>
      <c r="AW45" s="617"/>
      <c r="AX45" s="617"/>
      <c r="AY45" s="617"/>
      <c r="AZ45" s="617"/>
      <c r="BA45" s="617"/>
    </row>
    <row r="46" spans="1:53" hidden="1" outlineLevel="1">
      <c r="A46" s="504"/>
      <c r="B46" s="504"/>
      <c r="C46" s="504"/>
      <c r="D46" s="504"/>
      <c r="E46" s="504"/>
      <c r="F46" s="504"/>
      <c r="G46" s="504"/>
      <c r="H46" s="504"/>
      <c r="I46" s="504"/>
      <c r="J46" s="504"/>
      <c r="K46" s="504"/>
      <c r="L46" s="504" t="s">
        <v>285</v>
      </c>
      <c r="M46" s="617">
        <f t="shared" ref="M46:AJ46" si="15">M32</f>
        <v>-983642.52670901734</v>
      </c>
      <c r="N46" s="617">
        <f t="shared" si="15"/>
        <v>-1027927.7373200532</v>
      </c>
      <c r="O46" s="617">
        <f t="shared" si="15"/>
        <v>-1091612.6229995175</v>
      </c>
      <c r="P46" s="617">
        <f t="shared" si="15"/>
        <v>-1155750.3715863044</v>
      </c>
      <c r="Q46" s="617">
        <f t="shared" si="15"/>
        <v>-1220345.5401594301</v>
      </c>
      <c r="R46" s="617">
        <f t="shared" si="15"/>
        <v>-1285402.7139369876</v>
      </c>
      <c r="S46" s="617">
        <f t="shared" si="15"/>
        <v>-1350926.505956887</v>
      </c>
      <c r="T46" s="617">
        <f t="shared" si="15"/>
        <v>-1416921.5567388698</v>
      </c>
      <c r="U46" s="617">
        <f t="shared" si="15"/>
        <v>-1483392.5339272411</v>
      </c>
      <c r="V46" s="617">
        <f t="shared" si="15"/>
        <v>-1550344.1319137583</v>
      </c>
      <c r="W46" s="617">
        <f t="shared" si="15"/>
        <v>-37452417.435076468</v>
      </c>
      <c r="X46" s="617" t="str">
        <f t="shared" si="15"/>
        <v/>
      </c>
      <c r="Y46" s="617" t="str">
        <f t="shared" si="15"/>
        <v/>
      </c>
      <c r="Z46" s="617" t="str">
        <f t="shared" si="15"/>
        <v/>
      </c>
      <c r="AA46" s="617" t="str">
        <f t="shared" si="15"/>
        <v/>
      </c>
      <c r="AB46" s="617" t="str">
        <f t="shared" si="15"/>
        <v/>
      </c>
      <c r="AC46" s="617" t="str">
        <f t="shared" si="15"/>
        <v/>
      </c>
      <c r="AD46" s="617" t="str">
        <f t="shared" si="15"/>
        <v/>
      </c>
      <c r="AE46" s="617" t="str">
        <f t="shared" si="15"/>
        <v/>
      </c>
      <c r="AF46" s="617" t="str">
        <f t="shared" si="15"/>
        <v/>
      </c>
      <c r="AG46" s="617" t="str">
        <f t="shared" si="15"/>
        <v/>
      </c>
      <c r="AH46" s="617" t="str">
        <f t="shared" si="15"/>
        <v/>
      </c>
      <c r="AI46" s="617" t="str">
        <f t="shared" si="15"/>
        <v/>
      </c>
      <c r="AJ46" s="617" t="str">
        <f t="shared" si="15"/>
        <v/>
      </c>
      <c r="AK46" s="617"/>
      <c r="AL46" s="617"/>
      <c r="AM46" s="617"/>
      <c r="AN46" s="617"/>
      <c r="AO46" s="617"/>
      <c r="AP46" s="617"/>
      <c r="AQ46" s="617"/>
      <c r="AR46" s="617"/>
      <c r="AS46" s="617"/>
      <c r="AT46" s="617"/>
      <c r="AU46" s="617"/>
      <c r="AV46" s="617"/>
      <c r="AW46" s="617"/>
      <c r="AX46" s="617"/>
      <c r="AY46" s="617"/>
      <c r="AZ46" s="617"/>
      <c r="BA46" s="617"/>
    </row>
    <row r="47" spans="1:53" hidden="1" outlineLevel="1">
      <c r="A47" s="504"/>
      <c r="B47" s="504"/>
      <c r="C47" s="504"/>
      <c r="D47" s="504"/>
      <c r="E47" s="504"/>
      <c r="F47" s="504"/>
      <c r="G47" s="504"/>
      <c r="H47" s="504"/>
      <c r="I47" s="504"/>
      <c r="J47" s="504"/>
      <c r="K47" s="504"/>
      <c r="L47" s="504" t="s">
        <v>75</v>
      </c>
      <c r="M47" s="617">
        <f t="shared" ref="M47:AJ47" si="16">M34+M35</f>
        <v>-2663999.9999999995</v>
      </c>
      <c r="N47" s="617">
        <f t="shared" si="16"/>
        <v>-2663999.9999999995</v>
      </c>
      <c r="O47" s="617">
        <f t="shared" si="16"/>
        <v>-2663999.9999999995</v>
      </c>
      <c r="P47" s="617">
        <f t="shared" si="16"/>
        <v>-2663999.9999999995</v>
      </c>
      <c r="Q47" s="617">
        <f t="shared" si="16"/>
        <v>-2663999.9999999995</v>
      </c>
      <c r="R47" s="617">
        <f t="shared" si="16"/>
        <v>-2663999.9999999995</v>
      </c>
      <c r="S47" s="617">
        <f t="shared" si="16"/>
        <v>-2663999.9999999995</v>
      </c>
      <c r="T47" s="617">
        <f t="shared" si="16"/>
        <v>-2663999.9999999995</v>
      </c>
      <c r="U47" s="617">
        <f t="shared" si="16"/>
        <v>-2663999.9999999995</v>
      </c>
      <c r="V47" s="617">
        <f t="shared" si="16"/>
        <v>-2663999.9999999995</v>
      </c>
      <c r="W47" s="617">
        <f t="shared" si="16"/>
        <v>-38183999.999999993</v>
      </c>
      <c r="X47" s="617" t="e">
        <f t="shared" si="16"/>
        <v>#VALUE!</v>
      </c>
      <c r="Y47" s="617" t="e">
        <f t="shared" si="16"/>
        <v>#VALUE!</v>
      </c>
      <c r="Z47" s="617" t="e">
        <f t="shared" si="16"/>
        <v>#VALUE!</v>
      </c>
      <c r="AA47" s="617" t="e">
        <f t="shared" si="16"/>
        <v>#VALUE!</v>
      </c>
      <c r="AB47" s="617" t="e">
        <f t="shared" si="16"/>
        <v>#VALUE!</v>
      </c>
      <c r="AC47" s="617" t="e">
        <f t="shared" si="16"/>
        <v>#VALUE!</v>
      </c>
      <c r="AD47" s="617" t="e">
        <f t="shared" si="16"/>
        <v>#VALUE!</v>
      </c>
      <c r="AE47" s="617" t="e">
        <f t="shared" si="16"/>
        <v>#VALUE!</v>
      </c>
      <c r="AF47" s="617" t="e">
        <f t="shared" si="16"/>
        <v>#VALUE!</v>
      </c>
      <c r="AG47" s="617" t="e">
        <f t="shared" si="16"/>
        <v>#VALUE!</v>
      </c>
      <c r="AH47" s="617" t="e">
        <f t="shared" si="16"/>
        <v>#VALUE!</v>
      </c>
      <c r="AI47" s="617" t="e">
        <f t="shared" si="16"/>
        <v>#VALUE!</v>
      </c>
      <c r="AJ47" s="617" t="e">
        <f t="shared" si="16"/>
        <v>#VALUE!</v>
      </c>
      <c r="AK47" s="617"/>
      <c r="AL47" s="617"/>
      <c r="AM47" s="617"/>
      <c r="AN47" s="617"/>
      <c r="AO47" s="617"/>
      <c r="AP47" s="617"/>
      <c r="AQ47" s="617"/>
      <c r="AR47" s="617"/>
      <c r="AS47" s="617"/>
      <c r="AT47" s="617"/>
      <c r="AU47" s="617"/>
      <c r="AV47" s="617"/>
      <c r="AW47" s="617"/>
      <c r="AX47" s="617"/>
      <c r="AY47" s="617"/>
      <c r="AZ47" s="617"/>
      <c r="BA47" s="617"/>
    </row>
    <row r="48" spans="1:53" hidden="1" outlineLevel="1">
      <c r="A48" s="504"/>
      <c r="B48" s="504"/>
      <c r="C48" s="504"/>
      <c r="D48" s="504"/>
      <c r="E48" s="504"/>
      <c r="F48" s="504"/>
      <c r="G48" s="504"/>
      <c r="H48" s="504"/>
      <c r="I48" s="504"/>
      <c r="J48" s="504"/>
      <c r="K48" s="504"/>
      <c r="L48" s="504" t="s">
        <v>286</v>
      </c>
      <c r="M48" s="617">
        <f>SUM(M43:M47)-M46</f>
        <v>9383690.9946157038</v>
      </c>
      <c r="N48" s="617">
        <f t="shared" ref="N48:V48" si="17">N49-N46</f>
        <v>9598667.7451547123</v>
      </c>
      <c r="O48" s="617">
        <f t="shared" si="17"/>
        <v>9907817.6756375507</v>
      </c>
      <c r="P48" s="617">
        <f t="shared" si="17"/>
        <v>10219165.969748167</v>
      </c>
      <c r="Q48" s="617">
        <f t="shared" si="17"/>
        <v>10532734.74922936</v>
      </c>
      <c r="R48" s="617">
        <f t="shared" si="17"/>
        <v>10848546.272421386</v>
      </c>
      <c r="S48" s="617">
        <f t="shared" si="17"/>
        <v>11166622.93271216</v>
      </c>
      <c r="T48" s="617">
        <f t="shared" si="17"/>
        <v>11486987.256896542</v>
      </c>
      <c r="U48" s="617">
        <f t="shared" si="17"/>
        <v>11809661.903442034</v>
      </c>
      <c r="V48" s="617">
        <f t="shared" si="17"/>
        <v>12134669.660658138</v>
      </c>
      <c r="W48" s="617">
        <f>W49-W46</f>
        <v>245442033.44476658</v>
      </c>
      <c r="X48" s="617" t="e">
        <f t="shared" ref="X48:AJ48" si="18">X49-X46</f>
        <v>#VALUE!</v>
      </c>
      <c r="Y48" s="617" t="e">
        <f>SUM(Y43:Y47)-Y46</f>
        <v>#VALUE!</v>
      </c>
      <c r="Z48" s="617" t="e">
        <f t="shared" si="18"/>
        <v>#VALUE!</v>
      </c>
      <c r="AA48" s="617" t="e">
        <f t="shared" si="18"/>
        <v>#VALUE!</v>
      </c>
      <c r="AB48" s="617" t="e">
        <f t="shared" si="18"/>
        <v>#VALUE!</v>
      </c>
      <c r="AC48" s="617" t="e">
        <f t="shared" si="18"/>
        <v>#VALUE!</v>
      </c>
      <c r="AD48" s="617" t="e">
        <f t="shared" si="18"/>
        <v>#VALUE!</v>
      </c>
      <c r="AE48" s="617" t="e">
        <f t="shared" si="18"/>
        <v>#VALUE!</v>
      </c>
      <c r="AF48" s="617" t="e">
        <f t="shared" si="18"/>
        <v>#VALUE!</v>
      </c>
      <c r="AG48" s="617" t="e">
        <f t="shared" si="18"/>
        <v>#VALUE!</v>
      </c>
      <c r="AH48" s="617" t="e">
        <f t="shared" si="18"/>
        <v>#VALUE!</v>
      </c>
      <c r="AI48" s="617" t="e">
        <f t="shared" si="18"/>
        <v>#VALUE!</v>
      </c>
      <c r="AJ48" s="617" t="e">
        <f t="shared" si="18"/>
        <v>#VALUE!</v>
      </c>
      <c r="AK48" s="617"/>
      <c r="AL48" s="617"/>
      <c r="AM48" s="617"/>
      <c r="AN48" s="617"/>
      <c r="AO48" s="617"/>
      <c r="AP48" s="617"/>
      <c r="AQ48" s="617"/>
      <c r="AR48" s="617"/>
      <c r="AS48" s="617"/>
      <c r="AT48" s="617"/>
      <c r="AU48" s="617"/>
      <c r="AV48" s="617"/>
      <c r="AW48" s="617"/>
      <c r="AX48" s="617"/>
      <c r="AY48" s="617"/>
      <c r="AZ48" s="617"/>
      <c r="BA48" s="617"/>
    </row>
    <row r="49" spans="2:53" hidden="1" outlineLevel="1">
      <c r="L49" s="504" t="s">
        <v>287</v>
      </c>
      <c r="M49" s="617">
        <f>SUM(M43:M47)</f>
        <v>8400048.4679066874</v>
      </c>
      <c r="N49" s="617">
        <f t="shared" ref="N49:AJ49" si="19">SUM(N43:N47)</f>
        <v>8570740.0078346599</v>
      </c>
      <c r="O49" s="617">
        <f t="shared" si="19"/>
        <v>8816205.0526380334</v>
      </c>
      <c r="P49" s="617">
        <f t="shared" si="19"/>
        <v>9063415.5981618632</v>
      </c>
      <c r="Q49" s="617">
        <f t="shared" si="19"/>
        <v>9312389.20906993</v>
      </c>
      <c r="R49" s="617">
        <f t="shared" si="19"/>
        <v>9563143.5584843978</v>
      </c>
      <c r="S49" s="617">
        <f t="shared" si="19"/>
        <v>9815696.4267552737</v>
      </c>
      <c r="T49" s="617">
        <f t="shared" si="19"/>
        <v>10070065.700157672</v>
      </c>
      <c r="U49" s="617">
        <f t="shared" si="19"/>
        <v>10326269.369514793</v>
      </c>
      <c r="V49" s="617">
        <f t="shared" si="19"/>
        <v>10584325.528744379</v>
      </c>
      <c r="W49" s="617">
        <f t="shared" si="19"/>
        <v>207989616.00969011</v>
      </c>
      <c r="X49" s="617" t="e">
        <f t="shared" si="19"/>
        <v>#VALUE!</v>
      </c>
      <c r="Y49" s="617" t="e">
        <f t="shared" si="19"/>
        <v>#VALUE!</v>
      </c>
      <c r="Z49" s="617" t="e">
        <f t="shared" si="19"/>
        <v>#VALUE!</v>
      </c>
      <c r="AA49" s="617" t="e">
        <f t="shared" si="19"/>
        <v>#VALUE!</v>
      </c>
      <c r="AB49" s="617" t="e">
        <f t="shared" si="19"/>
        <v>#VALUE!</v>
      </c>
      <c r="AC49" s="617" t="e">
        <f t="shared" si="19"/>
        <v>#VALUE!</v>
      </c>
      <c r="AD49" s="617" t="e">
        <f t="shared" si="19"/>
        <v>#VALUE!</v>
      </c>
      <c r="AE49" s="617" t="e">
        <f t="shared" si="19"/>
        <v>#VALUE!</v>
      </c>
      <c r="AF49" s="617" t="e">
        <f t="shared" si="19"/>
        <v>#VALUE!</v>
      </c>
      <c r="AG49" s="617" t="e">
        <f t="shared" si="19"/>
        <v>#VALUE!</v>
      </c>
      <c r="AH49" s="617" t="e">
        <f t="shared" si="19"/>
        <v>#VALUE!</v>
      </c>
      <c r="AI49" s="617" t="e">
        <f t="shared" si="19"/>
        <v>#VALUE!</v>
      </c>
      <c r="AJ49" s="617" t="e">
        <f t="shared" si="19"/>
        <v>#VALUE!</v>
      </c>
      <c r="AK49" s="617"/>
      <c r="AL49" s="617"/>
      <c r="AM49" s="617"/>
      <c r="AN49" s="617"/>
      <c r="AO49" s="617"/>
      <c r="AP49" s="617"/>
      <c r="AQ49" s="617"/>
      <c r="AR49" s="617"/>
      <c r="AS49" s="617"/>
      <c r="AT49" s="617"/>
      <c r="AU49" s="617"/>
      <c r="AV49" s="617"/>
      <c r="AW49" s="617"/>
      <c r="AX49" s="617"/>
      <c r="AY49" s="617"/>
      <c r="AZ49" s="617"/>
      <c r="BA49" s="617"/>
    </row>
    <row r="50" spans="2:53" collapsed="1">
      <c r="L50" s="504"/>
      <c r="M50" s="504"/>
      <c r="N50" s="504"/>
      <c r="O50" s="504"/>
      <c r="P50" s="504"/>
      <c r="Q50" s="504"/>
      <c r="R50" s="504"/>
      <c r="S50" s="504"/>
      <c r="T50" s="504"/>
      <c r="U50" s="504"/>
      <c r="V50" s="504"/>
      <c r="W50" s="504"/>
      <c r="X50" s="504"/>
      <c r="Y50" s="504"/>
      <c r="Z50" s="504"/>
      <c r="AA50" s="504"/>
      <c r="AB50" s="504"/>
      <c r="AC50" s="504"/>
      <c r="AD50" s="504"/>
      <c r="AE50" s="504"/>
      <c r="AF50" s="504"/>
      <c r="AG50" s="504"/>
      <c r="AH50" s="504"/>
      <c r="AI50" s="504"/>
      <c r="AJ50" s="504"/>
      <c r="AK50" s="504"/>
      <c r="AL50" s="504"/>
      <c r="AM50" s="504"/>
      <c r="AN50" s="504"/>
      <c r="AO50" s="504"/>
      <c r="AP50" s="504"/>
      <c r="AQ50" s="504"/>
      <c r="AR50" s="504"/>
      <c r="AS50" s="504"/>
      <c r="AT50" s="504"/>
      <c r="AU50" s="504"/>
      <c r="AV50" s="504"/>
      <c r="AW50" s="504"/>
      <c r="AX50" s="504"/>
      <c r="AY50" s="504"/>
      <c r="AZ50" s="504"/>
      <c r="BA50" s="504"/>
    </row>
    <row r="53" spans="2:53" ht="15">
      <c r="B53" s="327" t="s">
        <v>398</v>
      </c>
      <c r="C53" s="327"/>
      <c r="D53" s="330"/>
      <c r="E53" s="330"/>
      <c r="F53" s="330"/>
      <c r="G53" s="330"/>
      <c r="H53" s="330"/>
      <c r="I53" s="330"/>
      <c r="J53" s="330"/>
      <c r="K53" s="330"/>
      <c r="L53" s="330"/>
      <c r="M53" s="330"/>
      <c r="N53" s="330"/>
      <c r="O53" s="330"/>
      <c r="P53" s="330"/>
      <c r="Q53" s="330"/>
      <c r="R53" s="330"/>
      <c r="S53" s="330"/>
      <c r="T53" s="330"/>
      <c r="U53" s="330"/>
      <c r="V53" s="330"/>
      <c r="W53" s="330"/>
    </row>
    <row r="54" spans="2:53" ht="30" customHeight="1">
      <c r="B54" s="402" t="s">
        <v>399</v>
      </c>
      <c r="C54" s="402" t="s">
        <v>400</v>
      </c>
      <c r="D54" s="402" t="str">
        <f>"Exit-värde år "&amp;$C$5</f>
        <v>Exit-värde år 20</v>
      </c>
      <c r="E54" s="402" t="s">
        <v>401</v>
      </c>
      <c r="F54" s="402" t="s">
        <v>402</v>
      </c>
      <c r="G54" s="402" t="s">
        <v>403</v>
      </c>
      <c r="H54" s="402" t="s">
        <v>422</v>
      </c>
    </row>
    <row r="55" spans="2:53" ht="15">
      <c r="B55" s="421" t="s">
        <v>404</v>
      </c>
      <c r="C55" s="755">
        <f>'2. Kalkyldata'!$M$11-0.01</f>
        <v>5.5E-2</v>
      </c>
      <c r="D55" s="423">
        <f>$C$7*'2. Kalkyldata'!$M$11/C55</f>
        <v>317318181.81818181</v>
      </c>
      <c r="E55" s="755">
        <f>IFERROR(IRR(D59:BA59),"N/A")</f>
        <v>8.6746597783198709E-2</v>
      </c>
      <c r="F55" s="423">
        <f>'4. NPV'!$E$77+'4. NPV'!$E$78+ROUND(ROUND('4. NPV'!$E$79*'2. Kalkyldata'!$M$11/C55/10000,0)*10000/((1+C55+'2. Kalkyldata'!$M$9)^'4. NPV'!$E$47)/10000,0)*10000+'4. NPV'!$E$56</f>
        <v>32760000.00000003</v>
      </c>
      <c r="G55" s="423" t="str">
        <f>IF(ISNUMBER(E55),IF(E55&gt;='2. Kalkyldata'!$F$14,"✓ klarar krav","⚠ under krav"),"")</f>
        <v>✓ klarar krav</v>
      </c>
      <c r="H55" s="761">
        <f>CEILING('2. Kalkyldata'!$AD$20*'2. Kalkyldata'!$AF$19,1)</f>
        <v>2384</v>
      </c>
    </row>
    <row r="56" spans="2:53" ht="15">
      <c r="B56" s="421" t="s">
        <v>405</v>
      </c>
      <c r="C56" s="755">
        <f>'2. Kalkyldata'!$M$11</f>
        <v>6.5000000000000002E-2</v>
      </c>
      <c r="D56" s="423">
        <f>$C$7*'2. Kalkyldata'!$M$11/C56</f>
        <v>268500000</v>
      </c>
      <c r="E56" s="755">
        <f>IFERROR(IRR(D60:BA60),"N/A")</f>
        <v>8.0324062183164679E-2</v>
      </c>
      <c r="F56" s="423">
        <f>'4. NPV'!$E$77+'4. NPV'!$E$78+ROUND(ROUND('4. NPV'!$E$79*'2. Kalkyldata'!$M$11/C56/10000,0)*10000/((1+C56+'2. Kalkyldata'!$M$9)^'4. NPV'!$E$47)/10000,0)*10000+'4. NPV'!$E$56</f>
        <v>10300000.00000003</v>
      </c>
      <c r="G56" s="423" t="str">
        <f>IF(ISNUMBER(E56),IF(E56&gt;='2. Kalkyldata'!$F$14,"✓ klarar krav","⚠ under krav"),"")</f>
        <v>✓ klarar krav</v>
      </c>
      <c r="H56" s="761">
        <f>CEILING('2. Kalkyldata'!$AD$20*'2. Kalkyldata'!$AD$19,1)</f>
        <v>2559</v>
      </c>
    </row>
    <row r="57" spans="2:53" ht="15">
      <c r="B57" s="421" t="s">
        <v>406</v>
      </c>
      <c r="C57" s="755">
        <f>'2. Kalkyldata'!$M$11+0.01</f>
        <v>7.4999999999999997E-2</v>
      </c>
      <c r="D57" s="423">
        <f>$C$7*'2. Kalkyldata'!$M$11/C57</f>
        <v>232700000</v>
      </c>
      <c r="E57" s="755">
        <f>IFERROR(IRR(D61:BA61),"N/A")</f>
        <v>7.5045257152375866E-2</v>
      </c>
      <c r="F57" s="423">
        <f>'4. NPV'!$E$77+'4. NPV'!$E$78+ROUND(ROUND('4. NPV'!$E$79*'2. Kalkyldata'!$M$11/C57/10000,0)*10000/((1+C57+'2. Kalkyldata'!$M$9)^'4. NPV'!$E$47)/10000,0)*10000+'4. NPV'!$E$56</f>
        <v>-4529999.9999999702</v>
      </c>
      <c r="G57" s="423" t="str">
        <f>IF(ISNUMBER(E57),IF(E57&gt;='2. Kalkyldata'!$F$14,"✓ klarar krav","⚠ under krav"),"")</f>
        <v>✓ klarar krav</v>
      </c>
      <c r="H57" s="761">
        <f>CEILING('2. Kalkyldata'!$AD$20*'2. Kalkyldata'!$AG$19,1)</f>
        <v>2693</v>
      </c>
    </row>
    <row r="59" spans="2:53" ht="15">
      <c r="B59" s="421" t="s">
        <v>407</v>
      </c>
      <c r="C59" s="421"/>
      <c r="D59" s="423">
        <f>IF(D$37="","",IF(D$14=$C$5,D$37+$A$7*($D55-$C$7),D$37))</f>
        <v>-143301875.19999996</v>
      </c>
      <c r="E59" s="423">
        <f>IF(E$37="","",IF(E$14=$C$5,E$37+$A$7*($D55-$C$7),E$37))</f>
        <v>8023511.040000001</v>
      </c>
      <c r="F59" s="423">
        <f>IF(F$37="","",IF(F$14=$C$5,F$37+$A$7*($D55-$C$7),F$37))</f>
        <v>8158767.660000002</v>
      </c>
      <c r="G59" s="423">
        <f>IF(G$37="","",IF(G$14=$C$5,G$37+$A$7*($D55-$C$7),G$37))</f>
        <v>8303915.3487600032</v>
      </c>
      <c r="H59" s="423">
        <f>IF(H$37="","",IF(H$14=$C$5,H$37+$A$7*($D55-$C$7),H$37))</f>
        <v>8458974.9426746443</v>
      </c>
      <c r="I59" s="423">
        <f>IF(I$37="","",IF(I$14=$C$5,I$37+$A$7*($D55-$C$7),I$37))</f>
        <v>8623967.42499993</v>
      </c>
      <c r="J59" s="423">
        <f>IF(J$37="","",IF(J$14=$C$5,J$37+$A$7*($D55-$C$7),J$37))</f>
        <v>8798913.9250123277</v>
      </c>
      <c r="K59" s="423">
        <f>IF(K$37="","",IF(K$14=$C$5,K$37+$A$7*($D55-$C$7),K$37))</f>
        <v>8983835.7170981485</v>
      </c>
      <c r="L59" s="423">
        <f>IF(L$37="","",IF(L$14=$C$5,L$37+$A$7*($D55-$C$7),L$37))</f>
        <v>9178754.2197710834</v>
      </c>
      <c r="M59" s="423">
        <f>IF(M$37="","",IF(M$14=$C$5,M$37+$A$7*($D55-$C$7),M$37))</f>
        <v>9383690.9946157057</v>
      </c>
      <c r="N59" s="423">
        <f>IF(N$37="","",IF(N$14=$C$5,N$37+$A$7*($D55-$C$7),N$37))</f>
        <v>9598667.7451547142</v>
      </c>
      <c r="O59" s="423">
        <f>IF(O$37="","",IF(O$14=$C$5,O$37+$A$7*($D55-$C$7),O$37))</f>
        <v>9907817.6756375507</v>
      </c>
      <c r="P59" s="423">
        <f>IF(P$37="","",IF(P$14=$C$5,P$37+$A$7*($D55-$C$7),P$37))</f>
        <v>10219165.969748167</v>
      </c>
      <c r="Q59" s="423">
        <f>IF(Q$37="","",IF(Q$14=$C$5,Q$37+$A$7*($D55-$C$7),Q$37))</f>
        <v>10532734.74922936</v>
      </c>
      <c r="R59" s="423">
        <f>IF(R$37="","",IF(R$14=$C$5,R$37+$A$7*($D55-$C$7),R$37))</f>
        <v>10848546.272421386</v>
      </c>
      <c r="S59" s="423">
        <f>IF(S$37="","",IF(S$14=$C$5,S$37+$A$7*($D55-$C$7),S$37))</f>
        <v>11166622.93271216</v>
      </c>
      <c r="T59" s="423">
        <f>IF(T$37="","",IF(T$14=$C$5,T$37+$A$7*($D55-$C$7),T$37))</f>
        <v>11486987.256896542</v>
      </c>
      <c r="U59" s="423">
        <f>IF(U$37="","",IF(U$14=$C$5,U$37+$A$7*($D55-$C$7),U$37))</f>
        <v>11809661.903442034</v>
      </c>
      <c r="V59" s="423">
        <f>IF(V$37="","",IF(V$14=$C$5,V$37+$A$7*($D55-$C$7),V$37))</f>
        <v>12134669.660658138</v>
      </c>
      <c r="W59" s="423">
        <f>IF(W$37="","",IF(W$14=$C$5,W$37+$A$7*($D55-$C$7),W$37))</f>
        <v>294260215.26294839</v>
      </c>
      <c r="X59" s="423" t="str">
        <f>IF(X$37="","",IF(X$14=$C$5,X$37+$A$7*($D55-$C$7),X$37))</f>
        <v/>
      </c>
      <c r="Y59" s="423" t="str">
        <f>IF(Y$37="","",IF(Y$14=$C$5,Y$37+$A$7*($D55-$C$7),Y$37))</f>
        <v/>
      </c>
      <c r="Z59" s="423" t="str">
        <f>IF(Z$37="","",IF(Z$14=$C$5,Z$37+$A$7*($D55-$C$7),Z$37))</f>
        <v/>
      </c>
      <c r="AA59" s="423" t="str">
        <f>IF(AA$37="","",IF(AA$14=$C$5,AA$37+$A$7*($D55-$C$7),AA$37))</f>
        <v/>
      </c>
      <c r="AB59" s="423" t="str">
        <f>IF(AB$37="","",IF(AB$14=$C$5,AB$37+$A$7*($D55-$C$7),AB$37))</f>
        <v/>
      </c>
      <c r="AC59" s="423" t="str">
        <f>IF(AC$37="","",IF(AC$14=$C$5,AC$37+$A$7*($D55-$C$7),AC$37))</f>
        <v/>
      </c>
      <c r="AD59" s="423" t="str">
        <f>IF(AD$37="","",IF(AD$14=$C$5,AD$37+$A$7*($D55-$C$7),AD$37))</f>
        <v/>
      </c>
      <c r="AE59" s="423" t="str">
        <f>IF(AE$37="","",IF(AE$14=$C$5,AE$37+$A$7*($D55-$C$7),AE$37))</f>
        <v/>
      </c>
      <c r="AF59" s="423" t="str">
        <f>IF(AF$37="","",IF(AF$14=$C$5,AF$37+$A$7*($D55-$C$7),AF$37))</f>
        <v/>
      </c>
      <c r="AG59" s="423" t="str">
        <f>IF(AG$37="","",IF(AG$14=$C$5,AG$37+$A$7*($D55-$C$7),AG$37))</f>
        <v/>
      </c>
      <c r="AH59" s="423" t="str">
        <f>IF(AH$37="","",IF(AH$14=$C$5,AH$37+$A$7*($D55-$C$7),AH$37))</f>
        <v/>
      </c>
      <c r="AI59" s="423" t="str">
        <f>IF(AI$37="","",IF(AI$14=$C$5,AI$37+$A$7*($D55-$C$7),AI$37))</f>
        <v/>
      </c>
      <c r="AJ59" s="423" t="str">
        <f>IF(AJ$37="","",IF(AJ$14=$C$5,AJ$37+$A$7*($D55-$C$7),AJ$37))</f>
        <v/>
      </c>
      <c r="AK59" s="423" t="str">
        <f>IF(AK$37="","",IF(AK$14=$C$5,AK$37+$A$7*($D55-$C$7),AK$37))</f>
        <v/>
      </c>
      <c r="AL59" s="423" t="str">
        <f>IF(AL$37="","",IF(AL$14=$C$5,AL$37+$A$7*($D55-$C$7),AL$37))</f>
        <v/>
      </c>
      <c r="AM59" s="423" t="str">
        <f>IF(AM$37="","",IF(AM$14=$C$5,AM$37+$A$7*($D55-$C$7),AM$37))</f>
        <v/>
      </c>
      <c r="AN59" s="423" t="str">
        <f>IF(AN$37="","",IF(AN$14=$C$5,AN$37+$A$7*($D55-$C$7),AN$37))</f>
        <v/>
      </c>
      <c r="AO59" s="423" t="str">
        <f>IF(AO$37="","",IF(AO$14=$C$5,AO$37+$A$7*($D55-$C$7),AO$37))</f>
        <v/>
      </c>
      <c r="AP59" s="423" t="str">
        <f>IF(AP$37="","",IF(AP$14=$C$5,AP$37+$A$7*($D55-$C$7),AP$37))</f>
        <v/>
      </c>
      <c r="AQ59" s="423" t="str">
        <f>IF(AQ$37="","",IF(AQ$14=$C$5,AQ$37+$A$7*($D55-$C$7),AQ$37))</f>
        <v/>
      </c>
      <c r="AR59" s="423" t="str">
        <f>IF(AR$37="","",IF(AR$14=$C$5,AR$37+$A$7*($D55-$C$7),AR$37))</f>
        <v/>
      </c>
      <c r="AS59" s="423" t="str">
        <f>IF(AS$37="","",IF(AS$14=$C$5,AS$37+$A$7*($D55-$C$7),AS$37))</f>
        <v/>
      </c>
      <c r="AT59" s="423" t="str">
        <f>IF(AT$37="","",IF(AT$14=$C$5,AT$37+$A$7*($D55-$C$7),AT$37))</f>
        <v/>
      </c>
      <c r="AU59" s="423" t="str">
        <f>IF(AU$37="","",IF(AU$14=$C$5,AU$37+$A$7*($D55-$C$7),AU$37))</f>
        <v/>
      </c>
      <c r="AV59" s="423" t="str">
        <f>IF(AV$37="","",IF(AV$14=$C$5,AV$37+$A$7*($D55-$C$7),AV$37))</f>
        <v/>
      </c>
      <c r="AW59" s="423" t="str">
        <f>IF(AW$37="","",IF(AW$14=$C$5,AW$37+$A$7*($D55-$C$7),AW$37))</f>
        <v/>
      </c>
      <c r="AX59" s="423" t="str">
        <f>IF(AX$37="","",IF(AX$14=$C$5,AX$37+$A$7*($D55-$C$7),AX$37))</f>
        <v/>
      </c>
      <c r="AY59" s="423" t="str">
        <f>IF(AY$37="","",IF(AY$14=$C$5,AY$37+$A$7*($D55-$C$7),AY$37))</f>
        <v/>
      </c>
      <c r="AZ59" s="423" t="str">
        <f>IF(AZ$37="","",IF(AZ$14=$C$5,AZ$37+$A$7*($D55-$C$7),AZ$37))</f>
        <v/>
      </c>
      <c r="BA59" s="423" t="str">
        <f>IF(BA$37="","",IF(BA$14=$C$5,BA$37+$A$7*($D55-$C$7),BA$37))</f>
        <v/>
      </c>
    </row>
    <row r="60" spans="2:53" ht="15">
      <c r="B60" s="421" t="s">
        <v>408</v>
      </c>
      <c r="C60" s="421"/>
      <c r="D60" s="423">
        <f>IF(D$37="","",IF(D$14=$C$5,D$37+$A$7*($D56-$C$7),D$37))</f>
        <v>-143301875.19999996</v>
      </c>
      <c r="E60" s="423">
        <f>IF(E$37="","",IF(E$14=$C$5,E$37+$A$7*($D56-$C$7),E$37))</f>
        <v>8023511.040000001</v>
      </c>
      <c r="F60" s="423">
        <f>IF(F$37="","",IF(F$14=$C$5,F$37+$A$7*($D56-$C$7),F$37))</f>
        <v>8158767.660000002</v>
      </c>
      <c r="G60" s="423">
        <f>IF(G$37="","",IF(G$14=$C$5,G$37+$A$7*($D56-$C$7),G$37))</f>
        <v>8303915.3487600032</v>
      </c>
      <c r="H60" s="423">
        <f>IF(H$37="","",IF(H$14=$C$5,H$37+$A$7*($D56-$C$7),H$37))</f>
        <v>8458974.9426746443</v>
      </c>
      <c r="I60" s="423">
        <f>IF(I$37="","",IF(I$14=$C$5,I$37+$A$7*($D56-$C$7),I$37))</f>
        <v>8623967.42499993</v>
      </c>
      <c r="J60" s="423">
        <f>IF(J$37="","",IF(J$14=$C$5,J$37+$A$7*($D56-$C$7),J$37))</f>
        <v>8798913.9250123277</v>
      </c>
      <c r="K60" s="423">
        <f>IF(K$37="","",IF(K$14=$C$5,K$37+$A$7*($D56-$C$7),K$37))</f>
        <v>8983835.7170981485</v>
      </c>
      <c r="L60" s="423">
        <f>IF(L$37="","",IF(L$14=$C$5,L$37+$A$7*($D56-$C$7),L$37))</f>
        <v>9178754.2197710834</v>
      </c>
      <c r="M60" s="423">
        <f>IF(M$37="","",IF(M$14=$C$5,M$37+$A$7*($D56-$C$7),M$37))</f>
        <v>9383690.9946157057</v>
      </c>
      <c r="N60" s="423">
        <f>IF(N$37="","",IF(N$14=$C$5,N$37+$A$7*($D56-$C$7),N$37))</f>
        <v>9598667.7451547142</v>
      </c>
      <c r="O60" s="423">
        <f>IF(O$37="","",IF(O$14=$C$5,O$37+$A$7*($D56-$C$7),O$37))</f>
        <v>9907817.6756375507</v>
      </c>
      <c r="P60" s="423">
        <f>IF(P$37="","",IF(P$14=$C$5,P$37+$A$7*($D56-$C$7),P$37))</f>
        <v>10219165.969748167</v>
      </c>
      <c r="Q60" s="423">
        <f>IF(Q$37="","",IF(Q$14=$C$5,Q$37+$A$7*($D56-$C$7),Q$37))</f>
        <v>10532734.74922936</v>
      </c>
      <c r="R60" s="423">
        <f>IF(R$37="","",IF(R$14=$C$5,R$37+$A$7*($D56-$C$7),R$37))</f>
        <v>10848546.272421386</v>
      </c>
      <c r="S60" s="423">
        <f>IF(S$37="","",IF(S$14=$C$5,S$37+$A$7*($D56-$C$7),S$37))</f>
        <v>11166622.93271216</v>
      </c>
      <c r="T60" s="423">
        <f>IF(T$37="","",IF(T$14=$C$5,T$37+$A$7*($D56-$C$7),T$37))</f>
        <v>11486987.256896542</v>
      </c>
      <c r="U60" s="423">
        <f>IF(U$37="","",IF(U$14=$C$5,U$37+$A$7*($D56-$C$7),U$37))</f>
        <v>11809661.903442034</v>
      </c>
      <c r="V60" s="423">
        <f>IF(V$37="","",IF(V$14=$C$5,V$37+$A$7*($D56-$C$7),V$37))</f>
        <v>12134669.660658138</v>
      </c>
      <c r="W60" s="423">
        <f>IF(W$37="","",IF(W$14=$C$5,W$37+$A$7*($D56-$C$7),W$37))</f>
        <v>245442033.44476658</v>
      </c>
      <c r="X60" s="423" t="str">
        <f>IF(X$37="","",IF(X$14=$C$5,X$37+$A$7*($D56-$C$7),X$37))</f>
        <v/>
      </c>
      <c r="Y60" s="423" t="str">
        <f>IF(Y$37="","",IF(Y$14=$C$5,Y$37+$A$7*($D56-$C$7),Y$37))</f>
        <v/>
      </c>
      <c r="Z60" s="423" t="str">
        <f>IF(Z$37="","",IF(Z$14=$C$5,Z$37+$A$7*($D56-$C$7),Z$37))</f>
        <v/>
      </c>
      <c r="AA60" s="423" t="str">
        <f>IF(AA$37="","",IF(AA$14=$C$5,AA$37+$A$7*($D56-$C$7),AA$37))</f>
        <v/>
      </c>
      <c r="AB60" s="423" t="str">
        <f>IF(AB$37="","",IF(AB$14=$C$5,AB$37+$A$7*($D56-$C$7),AB$37))</f>
        <v/>
      </c>
      <c r="AC60" s="423" t="str">
        <f>IF(AC$37="","",IF(AC$14=$C$5,AC$37+$A$7*($D56-$C$7),AC$37))</f>
        <v/>
      </c>
      <c r="AD60" s="423" t="str">
        <f>IF(AD$37="","",IF(AD$14=$C$5,AD$37+$A$7*($D56-$C$7),AD$37))</f>
        <v/>
      </c>
      <c r="AE60" s="423" t="str">
        <f>IF(AE$37="","",IF(AE$14=$C$5,AE$37+$A$7*($D56-$C$7),AE$37))</f>
        <v/>
      </c>
      <c r="AF60" s="423" t="str">
        <f>IF(AF$37="","",IF(AF$14=$C$5,AF$37+$A$7*($D56-$C$7),AF$37))</f>
        <v/>
      </c>
      <c r="AG60" s="423" t="str">
        <f>IF(AG$37="","",IF(AG$14=$C$5,AG$37+$A$7*($D56-$C$7),AG$37))</f>
        <v/>
      </c>
      <c r="AH60" s="423" t="str">
        <f>IF(AH$37="","",IF(AH$14=$C$5,AH$37+$A$7*($D56-$C$7),AH$37))</f>
        <v/>
      </c>
      <c r="AI60" s="423" t="str">
        <f>IF(AI$37="","",IF(AI$14=$C$5,AI$37+$A$7*($D56-$C$7),AI$37))</f>
        <v/>
      </c>
      <c r="AJ60" s="423" t="str">
        <f>IF(AJ$37="","",IF(AJ$14=$C$5,AJ$37+$A$7*($D56-$C$7),AJ$37))</f>
        <v/>
      </c>
      <c r="AK60" s="423" t="str">
        <f>IF(AK$37="","",IF(AK$14=$C$5,AK$37+$A$7*($D56-$C$7),AK$37))</f>
        <v/>
      </c>
      <c r="AL60" s="423" t="str">
        <f>IF(AL$37="","",IF(AL$14=$C$5,AL$37+$A$7*($D56-$C$7),AL$37))</f>
        <v/>
      </c>
      <c r="AM60" s="423" t="str">
        <f>IF(AM$37="","",IF(AM$14=$C$5,AM$37+$A$7*($D56-$C$7),AM$37))</f>
        <v/>
      </c>
      <c r="AN60" s="423" t="str">
        <f>IF(AN$37="","",IF(AN$14=$C$5,AN$37+$A$7*($D56-$C$7),AN$37))</f>
        <v/>
      </c>
      <c r="AO60" s="423" t="str">
        <f>IF(AO$37="","",IF(AO$14=$C$5,AO$37+$A$7*($D56-$C$7),AO$37))</f>
        <v/>
      </c>
      <c r="AP60" s="423" t="str">
        <f>IF(AP$37="","",IF(AP$14=$C$5,AP$37+$A$7*($D56-$C$7),AP$37))</f>
        <v/>
      </c>
      <c r="AQ60" s="423" t="str">
        <f>IF(AQ$37="","",IF(AQ$14=$C$5,AQ$37+$A$7*($D56-$C$7),AQ$37))</f>
        <v/>
      </c>
      <c r="AR60" s="423" t="str">
        <f>IF(AR$37="","",IF(AR$14=$C$5,AR$37+$A$7*($D56-$C$7),AR$37))</f>
        <v/>
      </c>
      <c r="AS60" s="423" t="str">
        <f>IF(AS$37="","",IF(AS$14=$C$5,AS$37+$A$7*($D56-$C$7),AS$37))</f>
        <v/>
      </c>
      <c r="AT60" s="423" t="str">
        <f>IF(AT$37="","",IF(AT$14=$C$5,AT$37+$A$7*($D56-$C$7),AT$37))</f>
        <v/>
      </c>
      <c r="AU60" s="423" t="str">
        <f>IF(AU$37="","",IF(AU$14=$C$5,AU$37+$A$7*($D56-$C$7),AU$37))</f>
        <v/>
      </c>
      <c r="AV60" s="423" t="str">
        <f>IF(AV$37="","",IF(AV$14=$C$5,AV$37+$A$7*($D56-$C$7),AV$37))</f>
        <v/>
      </c>
      <c r="AW60" s="423" t="str">
        <f>IF(AW$37="","",IF(AW$14=$C$5,AW$37+$A$7*($D56-$C$7),AW$37))</f>
        <v/>
      </c>
      <c r="AX60" s="423" t="str">
        <f>IF(AX$37="","",IF(AX$14=$C$5,AX$37+$A$7*($D56-$C$7),AX$37))</f>
        <v/>
      </c>
      <c r="AY60" s="423" t="str">
        <f>IF(AY$37="","",IF(AY$14=$C$5,AY$37+$A$7*($D56-$C$7),AY$37))</f>
        <v/>
      </c>
      <c r="AZ60" s="423" t="str">
        <f>IF(AZ$37="","",IF(AZ$14=$C$5,AZ$37+$A$7*($D56-$C$7),AZ$37))</f>
        <v/>
      </c>
      <c r="BA60" s="423" t="str">
        <f>IF(BA$37="","",IF(BA$14=$C$5,BA$37+$A$7*($D56-$C$7),BA$37))</f>
        <v/>
      </c>
    </row>
    <row r="61" spans="2:53" ht="15">
      <c r="B61" s="421" t="s">
        <v>409</v>
      </c>
      <c r="C61" s="421"/>
      <c r="D61" s="423">
        <f>IF(D$37="","",IF(D$14=$C$5,D$37+$A$7*($D57-$C$7),D$37))</f>
        <v>-143301875.19999996</v>
      </c>
      <c r="E61" s="423">
        <f>IF(E$37="","",IF(E$14=$C$5,E$37+$A$7*($D57-$C$7),E$37))</f>
        <v>8023511.040000001</v>
      </c>
      <c r="F61" s="423">
        <f>IF(F$37="","",IF(F$14=$C$5,F$37+$A$7*($D57-$C$7),F$37))</f>
        <v>8158767.660000002</v>
      </c>
      <c r="G61" s="423">
        <f>IF(G$37="","",IF(G$14=$C$5,G$37+$A$7*($D57-$C$7),G$37))</f>
        <v>8303915.3487600032</v>
      </c>
      <c r="H61" s="423">
        <f>IF(H$37="","",IF(H$14=$C$5,H$37+$A$7*($D57-$C$7),H$37))</f>
        <v>8458974.9426746443</v>
      </c>
      <c r="I61" s="423">
        <f>IF(I$37="","",IF(I$14=$C$5,I$37+$A$7*($D57-$C$7),I$37))</f>
        <v>8623967.42499993</v>
      </c>
      <c r="J61" s="423">
        <f>IF(J$37="","",IF(J$14=$C$5,J$37+$A$7*($D57-$C$7),J$37))</f>
        <v>8798913.9250123277</v>
      </c>
      <c r="K61" s="423">
        <f>IF(K$37="","",IF(K$14=$C$5,K$37+$A$7*($D57-$C$7),K$37))</f>
        <v>8983835.7170981485</v>
      </c>
      <c r="L61" s="423">
        <f>IF(L$37="","",IF(L$14=$C$5,L$37+$A$7*($D57-$C$7),L$37))</f>
        <v>9178754.2197710834</v>
      </c>
      <c r="M61" s="423">
        <f>IF(M$37="","",IF(M$14=$C$5,M$37+$A$7*($D57-$C$7),M$37))</f>
        <v>9383690.9946157057</v>
      </c>
      <c r="N61" s="423">
        <f>IF(N$37="","",IF(N$14=$C$5,N$37+$A$7*($D57-$C$7),N$37))</f>
        <v>9598667.7451547142</v>
      </c>
      <c r="O61" s="423">
        <f>IF(O$37="","",IF(O$14=$C$5,O$37+$A$7*($D57-$C$7),O$37))</f>
        <v>9907817.6756375507</v>
      </c>
      <c r="P61" s="423">
        <f>IF(P$37="","",IF(P$14=$C$5,P$37+$A$7*($D57-$C$7),P$37))</f>
        <v>10219165.969748167</v>
      </c>
      <c r="Q61" s="423">
        <f>IF(Q$37="","",IF(Q$14=$C$5,Q$37+$A$7*($D57-$C$7),Q$37))</f>
        <v>10532734.74922936</v>
      </c>
      <c r="R61" s="423">
        <f>IF(R$37="","",IF(R$14=$C$5,R$37+$A$7*($D57-$C$7),R$37))</f>
        <v>10848546.272421386</v>
      </c>
      <c r="S61" s="423">
        <f>IF(S$37="","",IF(S$14=$C$5,S$37+$A$7*($D57-$C$7),S$37))</f>
        <v>11166622.93271216</v>
      </c>
      <c r="T61" s="423">
        <f>IF(T$37="","",IF(T$14=$C$5,T$37+$A$7*($D57-$C$7),T$37))</f>
        <v>11486987.256896542</v>
      </c>
      <c r="U61" s="423">
        <f>IF(U$37="","",IF(U$14=$C$5,U$37+$A$7*($D57-$C$7),U$37))</f>
        <v>11809661.903442034</v>
      </c>
      <c r="V61" s="423">
        <f>IF(V$37="","",IF(V$14=$C$5,V$37+$A$7*($D57-$C$7),V$37))</f>
        <v>12134669.660658138</v>
      </c>
      <c r="W61" s="423">
        <f>IF(W$37="","",IF(W$14=$C$5,W$37+$A$7*($D57-$C$7),W$37))</f>
        <v>209642033.44476658</v>
      </c>
      <c r="X61" s="423" t="str">
        <f>IF(X$37="","",IF(X$14=$C$5,X$37+$A$7*($D57-$C$7),X$37))</f>
        <v/>
      </c>
      <c r="Y61" s="423" t="str">
        <f>IF(Y$37="","",IF(Y$14=$C$5,Y$37+$A$7*($D57-$C$7),Y$37))</f>
        <v/>
      </c>
      <c r="Z61" s="423" t="str">
        <f>IF(Z$37="","",IF(Z$14=$C$5,Z$37+$A$7*($D57-$C$7),Z$37))</f>
        <v/>
      </c>
      <c r="AA61" s="423" t="str">
        <f>IF(AA$37="","",IF(AA$14=$C$5,AA$37+$A$7*($D57-$C$7),AA$37))</f>
        <v/>
      </c>
      <c r="AB61" s="423" t="str">
        <f>IF(AB$37="","",IF(AB$14=$C$5,AB$37+$A$7*($D57-$C$7),AB$37))</f>
        <v/>
      </c>
      <c r="AC61" s="423" t="str">
        <f>IF(AC$37="","",IF(AC$14=$C$5,AC$37+$A$7*($D57-$C$7),AC$37))</f>
        <v/>
      </c>
      <c r="AD61" s="423" t="str">
        <f>IF(AD$37="","",IF(AD$14=$C$5,AD$37+$A$7*($D57-$C$7),AD$37))</f>
        <v/>
      </c>
      <c r="AE61" s="423" t="str">
        <f>IF(AE$37="","",IF(AE$14=$C$5,AE$37+$A$7*($D57-$C$7),AE$37))</f>
        <v/>
      </c>
      <c r="AF61" s="423" t="str">
        <f>IF(AF$37="","",IF(AF$14=$C$5,AF$37+$A$7*($D57-$C$7),AF$37))</f>
        <v/>
      </c>
      <c r="AG61" s="423" t="str">
        <f>IF(AG$37="","",IF(AG$14=$C$5,AG$37+$A$7*($D57-$C$7),AG$37))</f>
        <v/>
      </c>
      <c r="AH61" s="423" t="str">
        <f>IF(AH$37="","",IF(AH$14=$C$5,AH$37+$A$7*($D57-$C$7),AH$37))</f>
        <v/>
      </c>
      <c r="AI61" s="423" t="str">
        <f>IF(AI$37="","",IF(AI$14=$C$5,AI$37+$A$7*($D57-$C$7),AI$37))</f>
        <v/>
      </c>
      <c r="AJ61" s="423" t="str">
        <f>IF(AJ$37="","",IF(AJ$14=$C$5,AJ$37+$A$7*($D57-$C$7),AJ$37))</f>
        <v/>
      </c>
      <c r="AK61" s="423" t="str">
        <f>IF(AK$37="","",IF(AK$14=$C$5,AK$37+$A$7*($D57-$C$7),AK$37))</f>
        <v/>
      </c>
      <c r="AL61" s="423" t="str">
        <f>IF(AL$37="","",IF(AL$14=$C$5,AL$37+$A$7*($D57-$C$7),AL$37))</f>
        <v/>
      </c>
      <c r="AM61" s="423" t="str">
        <f>IF(AM$37="","",IF(AM$14=$C$5,AM$37+$A$7*($D57-$C$7),AM$37))</f>
        <v/>
      </c>
      <c r="AN61" s="423" t="str">
        <f>IF(AN$37="","",IF(AN$14=$C$5,AN$37+$A$7*($D57-$C$7),AN$37))</f>
        <v/>
      </c>
      <c r="AO61" s="423" t="str">
        <f>IF(AO$37="","",IF(AO$14=$C$5,AO$37+$A$7*($D57-$C$7),AO$37))</f>
        <v/>
      </c>
      <c r="AP61" s="423" t="str">
        <f>IF(AP$37="","",IF(AP$14=$C$5,AP$37+$A$7*($D57-$C$7),AP$37))</f>
        <v/>
      </c>
      <c r="AQ61" s="423" t="str">
        <f>IF(AQ$37="","",IF(AQ$14=$C$5,AQ$37+$A$7*($D57-$C$7),AQ$37))</f>
        <v/>
      </c>
      <c r="AR61" s="423" t="str">
        <f>IF(AR$37="","",IF(AR$14=$C$5,AR$37+$A$7*($D57-$C$7),AR$37))</f>
        <v/>
      </c>
      <c r="AS61" s="423" t="str">
        <f>IF(AS$37="","",IF(AS$14=$C$5,AS$37+$A$7*($D57-$C$7),AS$37))</f>
        <v/>
      </c>
      <c r="AT61" s="423" t="str">
        <f>IF(AT$37="","",IF(AT$14=$C$5,AT$37+$A$7*($D57-$C$7),AT$37))</f>
        <v/>
      </c>
      <c r="AU61" s="423" t="str">
        <f>IF(AU$37="","",IF(AU$14=$C$5,AU$37+$A$7*($D57-$C$7),AU$37))</f>
        <v/>
      </c>
      <c r="AV61" s="423" t="str">
        <f>IF(AV$37="","",IF(AV$14=$C$5,AV$37+$A$7*($D57-$C$7),AV$37))</f>
        <v/>
      </c>
      <c r="AW61" s="423" t="str">
        <f>IF(AW$37="","",IF(AW$14=$C$5,AW$37+$A$7*($D57-$C$7),AW$37))</f>
        <v/>
      </c>
      <c r="AX61" s="423" t="str">
        <f>IF(AX$37="","",IF(AX$14=$C$5,AX$37+$A$7*($D57-$C$7),AX$37))</f>
        <v/>
      </c>
      <c r="AY61" s="423" t="str">
        <f>IF(AY$37="","",IF(AY$14=$C$5,AY$37+$A$7*($D57-$C$7),AY$37))</f>
        <v/>
      </c>
      <c r="AZ61" s="423" t="str">
        <f>IF(AZ$37="","",IF(AZ$14=$C$5,AZ$37+$A$7*($D57-$C$7),AZ$37))</f>
        <v/>
      </c>
      <c r="BA61" s="423"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4"/>
    </row>
    <row r="2" spans="1:53">
      <c r="A2" s="222"/>
      <c r="BA2" s="504"/>
    </row>
    <row r="3" spans="1:53" s="19" customFormat="1" ht="15">
      <c r="A3" s="222"/>
      <c r="B3" s="411"/>
      <c r="C3" s="412">
        <f>'4. NPV'!D$4</f>
        <v>2026</v>
      </c>
      <c r="D3" s="412">
        <f>'4. NPV'!E$4</f>
        <v>2027</v>
      </c>
      <c r="E3" s="412">
        <f>'4. NPV'!F$4</f>
        <v>2028</v>
      </c>
      <c r="F3" s="412">
        <f>'4. NPV'!G$4</f>
        <v>2029</v>
      </c>
      <c r="G3" s="412">
        <f>'4. NPV'!H$4</f>
        <v>2030</v>
      </c>
      <c r="H3" s="412">
        <f>'4. NPV'!I$4</f>
        <v>2031</v>
      </c>
      <c r="I3" s="412">
        <f>'4. NPV'!J$4</f>
        <v>2032</v>
      </c>
      <c r="J3" s="412">
        <f>'4. NPV'!K$4</f>
        <v>2033</v>
      </c>
      <c r="K3" s="412">
        <f>'4. NPV'!L$4</f>
        <v>2034</v>
      </c>
      <c r="L3" s="412">
        <f>'4. NPV'!M$4</f>
        <v>2035</v>
      </c>
      <c r="M3" s="412">
        <f>'4. NPV'!N$4</f>
        <v>2036</v>
      </c>
      <c r="N3" s="412">
        <f>'4. NPV'!O$4</f>
        <v>2037</v>
      </c>
      <c r="O3" s="412">
        <f>'4. NPV'!P$4</f>
        <v>2038</v>
      </c>
      <c r="P3" s="412">
        <f>'4. NPV'!Q$4</f>
        <v>2039</v>
      </c>
      <c r="Q3" s="412">
        <f>'4. NPV'!R$4</f>
        <v>2040</v>
      </c>
      <c r="R3" s="412">
        <f>'4. NPV'!S$4</f>
        <v>2041</v>
      </c>
      <c r="S3" s="412">
        <f>'4. NPV'!T$4</f>
        <v>2042</v>
      </c>
      <c r="T3" s="412">
        <f>'4. NPV'!U$4</f>
        <v>2043</v>
      </c>
      <c r="U3" s="412">
        <f>'4. NPV'!V$4</f>
        <v>2044</v>
      </c>
      <c r="V3" s="412">
        <f>'4. NPV'!W$4</f>
        <v>2045</v>
      </c>
      <c r="W3" s="412">
        <f>'4. NPV'!X$4</f>
        <v>2046</v>
      </c>
      <c r="X3" s="412" t="str">
        <f>'4. NPV'!Y$4</f>
        <v/>
      </c>
      <c r="Y3" s="412" t="str">
        <f>'4. NPV'!Z$4</f>
        <v/>
      </c>
      <c r="Z3" s="412" t="str">
        <f>'4. NPV'!AA$4</f>
        <v/>
      </c>
      <c r="AA3" s="412" t="str">
        <f>'4. NPV'!AB$4</f>
        <v/>
      </c>
      <c r="AB3" s="412" t="str">
        <f>'4. NPV'!AC$4</f>
        <v/>
      </c>
      <c r="AC3" s="412" t="str">
        <f>'4. NPV'!AD$4</f>
        <v/>
      </c>
      <c r="AD3" s="412" t="str">
        <f>'4. NPV'!AE$4</f>
        <v/>
      </c>
      <c r="AE3" s="412" t="str">
        <f>'4. NPV'!AF$4</f>
        <v/>
      </c>
      <c r="AF3" s="412" t="str">
        <f>'4. NPV'!AG$4</f>
        <v/>
      </c>
      <c r="AG3" s="412" t="str">
        <f>'4. NPV'!AH$4</f>
        <v/>
      </c>
      <c r="AH3" s="412" t="str">
        <f>'4. NPV'!AI$4</f>
        <v/>
      </c>
      <c r="AI3" s="412" t="str">
        <f>'4. NPV'!AJ$4</f>
        <v/>
      </c>
      <c r="AJ3" s="412" t="str">
        <f>'4. NPV'!AK$4</f>
        <v/>
      </c>
      <c r="AK3" s="412" t="str">
        <f>'4. NPV'!AL$4</f>
        <v/>
      </c>
      <c r="AL3" s="412" t="str">
        <f>'4. NPV'!AM$4</f>
        <v/>
      </c>
      <c r="AM3" s="412" t="str">
        <f>'4. NPV'!AN$4</f>
        <v/>
      </c>
      <c r="AN3" s="412" t="str">
        <f>'4. NPV'!AO$4</f>
        <v/>
      </c>
      <c r="AO3" s="412" t="str">
        <f>'4. NPV'!AP$4</f>
        <v/>
      </c>
      <c r="AP3" s="412" t="str">
        <f>'4. NPV'!AQ$4</f>
        <v/>
      </c>
      <c r="AQ3" s="412" t="str">
        <f>'4. NPV'!AR$4</f>
        <v/>
      </c>
      <c r="AR3" s="412" t="str">
        <f>'4. NPV'!AS$4</f>
        <v/>
      </c>
      <c r="AS3" s="412" t="str">
        <f>'4. NPV'!AT$4</f>
        <v/>
      </c>
      <c r="AT3" s="412" t="str">
        <f>'4. NPV'!AU$4</f>
        <v/>
      </c>
      <c r="AU3" s="412" t="str">
        <f>'4. NPV'!AV$4</f>
        <v/>
      </c>
      <c r="AV3" s="412" t="str">
        <f>'4. NPV'!AW$4</f>
        <v/>
      </c>
      <c r="AW3" s="412" t="str">
        <f>'4. NPV'!AX$4</f>
        <v/>
      </c>
      <c r="AX3" s="412" t="str">
        <f>'4. NPV'!AY$4</f>
        <v/>
      </c>
      <c r="AY3" s="412" t="str">
        <f>'4. NPV'!AZ$4</f>
        <v/>
      </c>
      <c r="AZ3" s="412" t="str">
        <f>'4. NPV'!BA$4</f>
        <v/>
      </c>
      <c r="BA3" s="504"/>
    </row>
    <row r="4" spans="1:53">
      <c r="B4" s="413"/>
      <c r="C4" s="414">
        <f>'5. IRR'!D14</f>
        <v>1</v>
      </c>
      <c r="D4" s="414">
        <f>'5. IRR'!E14</f>
        <v>2</v>
      </c>
      <c r="E4" s="414">
        <f>'5. IRR'!F14</f>
        <v>3</v>
      </c>
      <c r="F4" s="414">
        <f>'5. IRR'!G14</f>
        <v>4</v>
      </c>
      <c r="G4" s="414">
        <f>'5. IRR'!H14</f>
        <v>5</v>
      </c>
      <c r="H4" s="414">
        <f>'5. IRR'!I14</f>
        <v>6</v>
      </c>
      <c r="I4" s="414">
        <f>'5. IRR'!J14</f>
        <v>7</v>
      </c>
      <c r="J4" s="414">
        <f>'5. IRR'!K14</f>
        <v>8</v>
      </c>
      <c r="K4" s="414">
        <f>'5. IRR'!L14</f>
        <v>9</v>
      </c>
      <c r="L4" s="414">
        <f>'5. IRR'!M14</f>
        <v>10</v>
      </c>
      <c r="M4" s="414">
        <f>'5. IRR'!N14</f>
        <v>11</v>
      </c>
      <c r="N4" s="414">
        <f>'5. IRR'!O14</f>
        <v>12</v>
      </c>
      <c r="O4" s="414">
        <f>'5. IRR'!P14</f>
        <v>13</v>
      </c>
      <c r="P4" s="414">
        <f>'5. IRR'!Q14</f>
        <v>14</v>
      </c>
      <c r="Q4" s="414">
        <f>'5. IRR'!R14</f>
        <v>15</v>
      </c>
      <c r="R4" s="414">
        <f>'5. IRR'!S14</f>
        <v>16</v>
      </c>
      <c r="S4" s="414">
        <f>'5. IRR'!T14</f>
        <v>17</v>
      </c>
      <c r="T4" s="414">
        <f>'5. IRR'!U14</f>
        <v>18</v>
      </c>
      <c r="U4" s="414">
        <f>'5. IRR'!V14</f>
        <v>19</v>
      </c>
      <c r="V4" s="414">
        <f>'5. IRR'!W14</f>
        <v>20</v>
      </c>
      <c r="W4" s="414">
        <f>'5. IRR'!X14</f>
        <v>21</v>
      </c>
      <c r="X4" s="414">
        <f>'5. IRR'!Y14</f>
        <v>22</v>
      </c>
      <c r="Y4" s="414">
        <f>'5. IRR'!Z14</f>
        <v>23</v>
      </c>
      <c r="Z4" s="414">
        <f>'5. IRR'!AA14</f>
        <v>24</v>
      </c>
      <c r="AA4" s="414">
        <f>'5. IRR'!AB14</f>
        <v>25</v>
      </c>
      <c r="AB4" s="414">
        <f>'5. IRR'!AC14</f>
        <v>26</v>
      </c>
      <c r="AC4" s="414">
        <f>'5. IRR'!AD14</f>
        <v>27</v>
      </c>
      <c r="AD4" s="414">
        <f>'5. IRR'!AE14</f>
        <v>28</v>
      </c>
      <c r="AE4" s="414">
        <f>'5. IRR'!AF14</f>
        <v>29</v>
      </c>
      <c r="AF4" s="414">
        <f>'5. IRR'!AG14</f>
        <v>30</v>
      </c>
      <c r="AG4" s="414">
        <f>'5. IRR'!AH14</f>
        <v>31</v>
      </c>
      <c r="AH4" s="414">
        <f>'5. IRR'!AI14</f>
        <v>32</v>
      </c>
      <c r="AI4" s="414">
        <f>'5. IRR'!AJ14</f>
        <v>33</v>
      </c>
      <c r="AJ4" s="414">
        <f>'5. IRR'!AK14</f>
        <v>34</v>
      </c>
      <c r="AK4" s="414">
        <f>'5. IRR'!AL14</f>
        <v>35</v>
      </c>
      <c r="AL4" s="414">
        <f>'5. IRR'!AM14</f>
        <v>36</v>
      </c>
      <c r="AM4" s="414">
        <f>'5. IRR'!AN14</f>
        <v>37</v>
      </c>
      <c r="AN4" s="414">
        <f>'5. IRR'!AO14</f>
        <v>38</v>
      </c>
      <c r="AO4" s="414">
        <f>'5. IRR'!AP14</f>
        <v>39</v>
      </c>
      <c r="AP4" s="414">
        <f>'5. IRR'!AQ14</f>
        <v>40</v>
      </c>
      <c r="AQ4" s="414">
        <f>'5. IRR'!AR14</f>
        <v>41</v>
      </c>
      <c r="AR4" s="414">
        <f>'5. IRR'!AS14</f>
        <v>42</v>
      </c>
      <c r="AS4" s="414">
        <f>'5. IRR'!AT14</f>
        <v>43</v>
      </c>
      <c r="AT4" s="414">
        <f>'5. IRR'!AU14</f>
        <v>44</v>
      </c>
      <c r="AU4" s="414">
        <f>'5. IRR'!AV14</f>
        <v>45</v>
      </c>
      <c r="AV4" s="414">
        <f>'5. IRR'!AW14</f>
        <v>46</v>
      </c>
      <c r="AW4" s="414">
        <f>'5. IRR'!AX14</f>
        <v>47</v>
      </c>
      <c r="AX4" s="414">
        <f>'5. IRR'!AY14</f>
        <v>48</v>
      </c>
      <c r="AY4" s="414">
        <f>'5. IRR'!AZ14</f>
        <v>49</v>
      </c>
      <c r="AZ4" s="414">
        <f>'5. IRR'!BA14</f>
        <v>50</v>
      </c>
      <c r="BA4" s="504"/>
    </row>
    <row r="5" spans="1:53">
      <c r="B5" s="415" t="s">
        <v>289</v>
      </c>
      <c r="C5" s="416">
        <f>'2. Kalkyldata'!$P$9-'2. Kalkyldata'!$P$10</f>
        <v>0</v>
      </c>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T5" s="416"/>
      <c r="AU5" s="416"/>
      <c r="AV5" s="416"/>
      <c r="AW5" s="416"/>
      <c r="AX5" s="416"/>
      <c r="AY5" s="416"/>
      <c r="AZ5" s="416"/>
      <c r="BA5" s="504"/>
    </row>
    <row r="6" spans="1:53">
      <c r="B6" s="415" t="s">
        <v>290</v>
      </c>
      <c r="C6" s="416">
        <f>'4. NPV'!D$29</f>
        <v>13694500</v>
      </c>
      <c r="D6" s="416">
        <f>'4. NPV'!E$29</f>
        <v>13871400</v>
      </c>
      <c r="E6" s="416">
        <f>'4. NPV'!F$29</f>
        <v>14050480.140000001</v>
      </c>
      <c r="F6" s="416">
        <f>'4. NPV'!G$29</f>
        <v>14231765.012760002</v>
      </c>
      <c r="G6" s="416">
        <f>'4. NPV'!H$29</f>
        <v>14415279.436754644</v>
      </c>
      <c r="H6" s="416">
        <f>'4. NPV'!I$29</f>
        <v>14601048.456961529</v>
      </c>
      <c r="I6" s="416">
        <f>'4. NPV'!J$29</f>
        <v>14789097.345613157</v>
      </c>
      <c r="J6" s="416">
        <f>'4. NPV'!K$29</f>
        <v>14979451.602910995</v>
      </c>
      <c r="K6" s="416">
        <f>'4. NPV'!L$29</f>
        <v>15172136.957700187</v>
      </c>
      <c r="L6" s="416">
        <f>'4. NPV'!M$29</f>
        <v>15367179.368103392</v>
      </c>
      <c r="M6" s="416">
        <f>'4. NPV'!N$29</f>
        <v>15564605.022112153</v>
      </c>
      <c r="N6" s="416">
        <f>'4. NPV'!O$29</f>
        <v>15764440.33813414</v>
      </c>
      <c r="O6" s="416">
        <f>'4. NPV'!P$29</f>
        <v>15966711.965494689</v>
      </c>
      <c r="P6" s="416">
        <f>'4. NPV'!Q$29</f>
        <v>16171446.784890812</v>
      </c>
      <c r="Q6" s="416">
        <f>'4. NPV'!R$29</f>
        <v>16378671.908796068</v>
      </c>
      <c r="R6" s="416">
        <f>'4. NPV'!S$29</f>
        <v>16588414.681814335</v>
      </c>
      <c r="S6" s="416">
        <f>'4. NPV'!T$29</f>
        <v>16800702.680980761</v>
      </c>
      <c r="T6" s="416">
        <f>'4. NPV'!U$29</f>
        <v>17015563.716007937</v>
      </c>
      <c r="U6" s="416">
        <f>'4. NPV'!V$29</f>
        <v>17233025.829475358</v>
      </c>
      <c r="V6" s="416">
        <f>'4. NPV'!W$29</f>
        <v>17453117.29696019</v>
      </c>
      <c r="W6" s="416">
        <f>'4. NPV'!X$29</f>
        <v>17675866.627107255</v>
      </c>
      <c r="X6" s="416">
        <f>'4. NPV'!Y$29</f>
        <v>0</v>
      </c>
      <c r="Y6" s="416">
        <f>'4. NPV'!Z$29</f>
        <v>0</v>
      </c>
      <c r="Z6" s="416">
        <f>'4. NPV'!AA$29</f>
        <v>0</v>
      </c>
      <c r="AA6" s="416">
        <f>'4. NPV'!AB$29</f>
        <v>0</v>
      </c>
      <c r="AB6" s="416">
        <f>'4. NPV'!AC$29</f>
        <v>0</v>
      </c>
      <c r="AC6" s="416">
        <f>'4. NPV'!AD$29</f>
        <v>0</v>
      </c>
      <c r="AD6" s="416">
        <f>'4. NPV'!AE$29</f>
        <v>0</v>
      </c>
      <c r="AE6" s="416">
        <f>'4. NPV'!AF$29</f>
        <v>0</v>
      </c>
      <c r="AF6" s="416">
        <f>'4. NPV'!AG$29</f>
        <v>0</v>
      </c>
      <c r="AG6" s="416">
        <f>'4. NPV'!AH$29</f>
        <v>0</v>
      </c>
      <c r="AH6" s="416">
        <f>'4. NPV'!AI$29</f>
        <v>0</v>
      </c>
      <c r="AI6" s="416">
        <f>'4. NPV'!AJ$29</f>
        <v>0</v>
      </c>
      <c r="AJ6" s="416">
        <f>'4. NPV'!AK$29</f>
        <v>0</v>
      </c>
      <c r="AK6" s="416">
        <f>'4. NPV'!AL$29</f>
        <v>0</v>
      </c>
      <c r="AL6" s="416">
        <f>'4. NPV'!AM$29</f>
        <v>0</v>
      </c>
      <c r="AM6" s="416">
        <f>'4. NPV'!AN$29</f>
        <v>0</v>
      </c>
      <c r="AN6" s="416">
        <f>'4. NPV'!AO$29</f>
        <v>0</v>
      </c>
      <c r="AO6" s="416">
        <f>'4. NPV'!AP$29</f>
        <v>0</v>
      </c>
      <c r="AP6" s="416">
        <f>'4. NPV'!AQ$29</f>
        <v>0</v>
      </c>
      <c r="AQ6" s="416">
        <f>'4. NPV'!AR$29</f>
        <v>0</v>
      </c>
      <c r="AR6" s="416">
        <f>'4. NPV'!AS$29</f>
        <v>0</v>
      </c>
      <c r="AS6" s="416">
        <f>'4. NPV'!AT$29</f>
        <v>0</v>
      </c>
      <c r="AT6" s="416">
        <f>'4. NPV'!AU$29</f>
        <v>0</v>
      </c>
      <c r="AU6" s="416">
        <f>'4. NPV'!AV$29</f>
        <v>0</v>
      </c>
      <c r="AV6" s="416">
        <f>'4. NPV'!AW$29</f>
        <v>0</v>
      </c>
      <c r="AW6" s="416">
        <f>'4. NPV'!AX$29</f>
        <v>0</v>
      </c>
      <c r="AX6" s="416">
        <f>'4. NPV'!AY$29</f>
        <v>0</v>
      </c>
      <c r="AY6" s="416">
        <f>'4. NPV'!AZ$29</f>
        <v>0</v>
      </c>
      <c r="AZ6" s="416">
        <f>'4. NPV'!BA$29</f>
        <v>0</v>
      </c>
      <c r="BA6" s="504"/>
    </row>
    <row r="7" spans="1:53">
      <c r="B7" s="416" t="s">
        <v>291</v>
      </c>
      <c r="C7" s="416">
        <v>0</v>
      </c>
      <c r="D7" s="416">
        <v>0</v>
      </c>
      <c r="E7" s="416">
        <v>0</v>
      </c>
      <c r="F7" s="416">
        <v>0</v>
      </c>
      <c r="G7" s="416">
        <v>0</v>
      </c>
      <c r="H7" s="416">
        <v>0</v>
      </c>
      <c r="I7" s="416">
        <v>0</v>
      </c>
      <c r="J7" s="416">
        <v>0</v>
      </c>
      <c r="K7" s="416">
        <v>0</v>
      </c>
      <c r="L7" s="416">
        <v>0</v>
      </c>
      <c r="M7" s="416">
        <v>0</v>
      </c>
      <c r="N7" s="416">
        <v>0</v>
      </c>
      <c r="O7" s="416">
        <v>0</v>
      </c>
      <c r="P7" s="416">
        <v>0</v>
      </c>
      <c r="Q7" s="416">
        <v>0</v>
      </c>
      <c r="R7" s="416">
        <v>0</v>
      </c>
      <c r="S7" s="416">
        <v>0</v>
      </c>
      <c r="T7" s="416">
        <v>0</v>
      </c>
      <c r="U7" s="416">
        <v>0</v>
      </c>
      <c r="V7" s="416">
        <v>0</v>
      </c>
      <c r="W7" s="416">
        <v>0</v>
      </c>
      <c r="X7" s="416">
        <v>0</v>
      </c>
      <c r="Y7" s="416">
        <v>0</v>
      </c>
      <c r="Z7" s="416">
        <v>0</v>
      </c>
      <c r="AA7" s="416">
        <v>0</v>
      </c>
      <c r="AB7" s="416">
        <v>0</v>
      </c>
      <c r="AC7" s="416">
        <v>0</v>
      </c>
      <c r="AD7" s="416">
        <v>0</v>
      </c>
      <c r="AE7" s="416">
        <v>0</v>
      </c>
      <c r="AF7" s="416">
        <v>0</v>
      </c>
      <c r="AG7" s="416">
        <v>0</v>
      </c>
      <c r="AH7" s="416">
        <v>0</v>
      </c>
      <c r="AI7" s="416">
        <v>0</v>
      </c>
      <c r="AJ7" s="416">
        <v>0</v>
      </c>
      <c r="AK7" s="416">
        <v>0</v>
      </c>
      <c r="AL7" s="416">
        <v>0</v>
      </c>
      <c r="AM7" s="416">
        <v>0</v>
      </c>
      <c r="AN7" s="416">
        <v>0</v>
      </c>
      <c r="AO7" s="416">
        <v>0</v>
      </c>
      <c r="AP7" s="416">
        <v>0</v>
      </c>
      <c r="AQ7" s="416">
        <v>0</v>
      </c>
      <c r="AR7" s="416">
        <v>0</v>
      </c>
      <c r="AS7" s="416">
        <v>0</v>
      </c>
      <c r="AT7" s="416">
        <v>0</v>
      </c>
      <c r="AU7" s="416">
        <v>0</v>
      </c>
      <c r="AV7" s="416">
        <v>0</v>
      </c>
      <c r="AW7" s="416">
        <v>0</v>
      </c>
      <c r="AX7" s="416">
        <v>0</v>
      </c>
      <c r="AY7" s="416">
        <v>0</v>
      </c>
      <c r="AZ7" s="416">
        <v>0</v>
      </c>
      <c r="BA7" s="504"/>
    </row>
    <row r="8" spans="1:53">
      <c r="B8" s="415" t="s">
        <v>292</v>
      </c>
      <c r="C8" s="416">
        <f>('4. NPV'!D$9)-'2. Kalkyldata'!$AA$28</f>
        <v>-239999999.99999997</v>
      </c>
      <c r="D8" s="416">
        <f>('4. NPV'!E$9)</f>
        <v>0</v>
      </c>
      <c r="E8" s="416">
        <f>('4. NPV'!F$9)</f>
        <v>0</v>
      </c>
      <c r="F8" s="416">
        <f>('4. NPV'!G$9)</f>
        <v>0</v>
      </c>
      <c r="G8" s="416">
        <f>('4. NPV'!H$9)</f>
        <v>0</v>
      </c>
      <c r="H8" s="416">
        <f>('4. NPV'!I$9)</f>
        <v>0</v>
      </c>
      <c r="I8" s="416">
        <f>('4. NPV'!J$9)</f>
        <v>0</v>
      </c>
      <c r="J8" s="416">
        <f>('4. NPV'!K$9)</f>
        <v>0</v>
      </c>
      <c r="K8" s="416">
        <f>('4. NPV'!L$9)</f>
        <v>0</v>
      </c>
      <c r="L8" s="416">
        <f>('4. NPV'!M$9)</f>
        <v>0</v>
      </c>
      <c r="M8" s="416">
        <f>('4. NPV'!N$9)</f>
        <v>0</v>
      </c>
      <c r="N8" s="416">
        <f>('4. NPV'!O$9)</f>
        <v>0</v>
      </c>
      <c r="O8" s="416">
        <f>('4. NPV'!P$9)</f>
        <v>0</v>
      </c>
      <c r="P8" s="416">
        <f>('4. NPV'!Q$9)</f>
        <v>0</v>
      </c>
      <c r="Q8" s="416">
        <f>('4. NPV'!R$9)</f>
        <v>0</v>
      </c>
      <c r="R8" s="416">
        <f>('4. NPV'!S$9)</f>
        <v>0</v>
      </c>
      <c r="S8" s="416">
        <f>('4. NPV'!T$9)</f>
        <v>0</v>
      </c>
      <c r="T8" s="416">
        <f>('4. NPV'!U$9)</f>
        <v>0</v>
      </c>
      <c r="U8" s="416">
        <f>('4. NPV'!V$9)</f>
        <v>0</v>
      </c>
      <c r="V8" s="416">
        <f>('4. NPV'!W$9)</f>
        <v>0</v>
      </c>
      <c r="W8" s="416">
        <f>('4. NPV'!X$9)</f>
        <v>0</v>
      </c>
      <c r="X8" s="416">
        <f>('4. NPV'!Y$9)</f>
        <v>0</v>
      </c>
      <c r="Y8" s="416">
        <f>('4. NPV'!Z$9)</f>
        <v>0</v>
      </c>
      <c r="Z8" s="416">
        <f>('4. NPV'!AA$9)</f>
        <v>0</v>
      </c>
      <c r="AA8" s="416">
        <f>('4. NPV'!AB$9)</f>
        <v>0</v>
      </c>
      <c r="AB8" s="416">
        <f>('4. NPV'!AC$9)</f>
        <v>0</v>
      </c>
      <c r="AC8" s="416">
        <f>('4. NPV'!AD$9)</f>
        <v>0</v>
      </c>
      <c r="AD8" s="416">
        <f>('4. NPV'!AE$9)</f>
        <v>0</v>
      </c>
      <c r="AE8" s="416">
        <f>('4. NPV'!AF$9)</f>
        <v>0</v>
      </c>
      <c r="AF8" s="416">
        <f>('4. NPV'!AG$9)</f>
        <v>0</v>
      </c>
      <c r="AG8" s="416">
        <f>('4. NPV'!AH$9)</f>
        <v>0</v>
      </c>
      <c r="AH8" s="416">
        <f>('4. NPV'!AI$9)</f>
        <v>0</v>
      </c>
      <c r="AI8" s="416">
        <f>('4. NPV'!AJ$9)</f>
        <v>0</v>
      </c>
      <c r="AJ8" s="416">
        <f>('4. NPV'!AK$9)</f>
        <v>0</v>
      </c>
      <c r="AK8" s="416">
        <f>('4. NPV'!AL$9)</f>
        <v>0</v>
      </c>
      <c r="AL8" s="416">
        <f>('4. NPV'!AM$9)</f>
        <v>0</v>
      </c>
      <c r="AM8" s="416">
        <f>('4. NPV'!AN$9)</f>
        <v>0</v>
      </c>
      <c r="AN8" s="416">
        <f>('4. NPV'!AO$9)</f>
        <v>0</v>
      </c>
      <c r="AO8" s="416">
        <f>('4. NPV'!AP$9)</f>
        <v>0</v>
      </c>
      <c r="AP8" s="416">
        <f>('4. NPV'!AQ$9)</f>
        <v>0</v>
      </c>
      <c r="AQ8" s="416">
        <f>('4. NPV'!AR$9)</f>
        <v>0</v>
      </c>
      <c r="AR8" s="416">
        <f>('4. NPV'!AS$9)</f>
        <v>0</v>
      </c>
      <c r="AS8" s="416">
        <f>('4. NPV'!AT$9)</f>
        <v>0</v>
      </c>
      <c r="AT8" s="416">
        <f>('4. NPV'!AU$9)</f>
        <v>0</v>
      </c>
      <c r="AU8" s="416">
        <f>('4. NPV'!AV$9)</f>
        <v>0</v>
      </c>
      <c r="AV8" s="416">
        <f>('4. NPV'!AW$9)</f>
        <v>0</v>
      </c>
      <c r="AW8" s="416">
        <f>('4. NPV'!AX$9)</f>
        <v>0</v>
      </c>
      <c r="AX8" s="416">
        <f>('4. NPV'!AY$9)</f>
        <v>0</v>
      </c>
      <c r="AY8" s="416">
        <f>('4. NPV'!AZ$9)</f>
        <v>0</v>
      </c>
      <c r="AZ8" s="416">
        <f>('4. NPV'!BA$9)</f>
        <v>0</v>
      </c>
      <c r="BA8" s="504"/>
    </row>
    <row r="9" spans="1:53">
      <c r="B9" s="417" t="s">
        <v>293</v>
      </c>
      <c r="C9" s="418">
        <f>('5. IRR'!D$24+'5. IRR'!D$25)</f>
        <v>0</v>
      </c>
      <c r="D9" s="418">
        <f>('5. IRR'!E$24+'5. IRR'!E$25)</f>
        <v>0</v>
      </c>
      <c r="E9" s="418">
        <f>('5. IRR'!F$24+'5. IRR'!F$25)</f>
        <v>0</v>
      </c>
      <c r="F9" s="418">
        <f>('5. IRR'!G$24+'5. IRR'!G$25)</f>
        <v>0</v>
      </c>
      <c r="G9" s="418">
        <f>('5. IRR'!H$24+'5. IRR'!H$25)</f>
        <v>0</v>
      </c>
      <c r="H9" s="418">
        <f>('5. IRR'!I$24+'5. IRR'!I$25)</f>
        <v>0</v>
      </c>
      <c r="I9" s="418">
        <f>('5. IRR'!J$24+'5. IRR'!J$25)</f>
        <v>0</v>
      </c>
      <c r="J9" s="418">
        <f>('5. IRR'!K$24+'5. IRR'!K$25)</f>
        <v>0</v>
      </c>
      <c r="K9" s="418">
        <f>('5. IRR'!L$24+'5. IRR'!L$25)</f>
        <v>0</v>
      </c>
      <c r="L9" s="418">
        <f>('5. IRR'!M$24+'5. IRR'!M$25)</f>
        <v>0</v>
      </c>
      <c r="M9" s="418">
        <f>('5. IRR'!N$24+'5. IRR'!N$25)</f>
        <v>0</v>
      </c>
      <c r="N9" s="418">
        <f>('5. IRR'!O$24+'5. IRR'!O$25)</f>
        <v>0</v>
      </c>
      <c r="O9" s="418">
        <f>('5. IRR'!P$24+'5. IRR'!P$25)</f>
        <v>0</v>
      </c>
      <c r="P9" s="418">
        <f>('5. IRR'!Q$24+'5. IRR'!Q$25)</f>
        <v>0</v>
      </c>
      <c r="Q9" s="418">
        <f>('5. IRR'!R$24+'5. IRR'!R$25)</f>
        <v>0</v>
      </c>
      <c r="R9" s="418">
        <f>('5. IRR'!S$24+'5. IRR'!S$25)</f>
        <v>0</v>
      </c>
      <c r="S9" s="418">
        <f>('5. IRR'!T$24+'5. IRR'!T$25)</f>
        <v>0</v>
      </c>
      <c r="T9" s="418">
        <f>('5. IRR'!U$24+'5. IRR'!U$25)</f>
        <v>0</v>
      </c>
      <c r="U9" s="418">
        <f>('5. IRR'!V$24+'5. IRR'!V$25)</f>
        <v>0</v>
      </c>
      <c r="V9" s="418">
        <f>('5. IRR'!W$24+'5. IRR'!W$25)</f>
        <v>0</v>
      </c>
      <c r="W9" s="418">
        <f>('5. IRR'!X$24+'5. IRR'!X$25)</f>
        <v>0</v>
      </c>
      <c r="X9" s="418">
        <f>('5. IRR'!Y$24+'5. IRR'!Y$25)</f>
        <v>0</v>
      </c>
      <c r="Y9" s="418">
        <f>('5. IRR'!Z$24+'5. IRR'!Z$25)</f>
        <v>0</v>
      </c>
      <c r="Z9" s="418">
        <f>('5. IRR'!AA$24+'5. IRR'!AA$25)</f>
        <v>0</v>
      </c>
      <c r="AA9" s="418">
        <f>('5. IRR'!AB$24+'5. IRR'!AB$25)</f>
        <v>0</v>
      </c>
      <c r="AB9" s="418">
        <f>('5. IRR'!AC$24+'5. IRR'!AC$25)</f>
        <v>0</v>
      </c>
      <c r="AC9" s="418">
        <f>('5. IRR'!AD$24+'5. IRR'!AD$25)</f>
        <v>0</v>
      </c>
      <c r="AD9" s="418">
        <f>('5. IRR'!AE$24+'5. IRR'!AE$25)</f>
        <v>0</v>
      </c>
      <c r="AE9" s="418">
        <f>('5. IRR'!AF$24+'5. IRR'!AF$25)</f>
        <v>0</v>
      </c>
      <c r="AF9" s="418">
        <f>('5. IRR'!AG$24+'5. IRR'!AG$25)</f>
        <v>0</v>
      </c>
      <c r="AG9" s="418">
        <f>('5. IRR'!AH$24+'5. IRR'!AH$25)</f>
        <v>0</v>
      </c>
      <c r="AH9" s="418">
        <f>('5. IRR'!AI$24+'5. IRR'!AI$25)</f>
        <v>0</v>
      </c>
      <c r="AI9" s="418">
        <f>('5. IRR'!AJ$24+'5. IRR'!AJ$25)</f>
        <v>0</v>
      </c>
      <c r="AJ9" s="418">
        <f>('5. IRR'!AK$24+'5. IRR'!AK$25)</f>
        <v>0</v>
      </c>
      <c r="AK9" s="418">
        <f>('5. IRR'!AL$24+'5. IRR'!AL$25)</f>
        <v>0</v>
      </c>
      <c r="AL9" s="418">
        <f>('5. IRR'!AM$24+'5. IRR'!AM$25)</f>
        <v>0</v>
      </c>
      <c r="AM9" s="418">
        <f>('5. IRR'!AN$24+'5. IRR'!AN$25)</f>
        <v>0</v>
      </c>
      <c r="AN9" s="418">
        <f>('5. IRR'!AO$24+'5. IRR'!AO$25)</f>
        <v>0</v>
      </c>
      <c r="AO9" s="418">
        <f>('5. IRR'!AP$24+'5. IRR'!AP$25)</f>
        <v>0</v>
      </c>
      <c r="AP9" s="418">
        <f>('5. IRR'!AQ$24+'5. IRR'!AQ$25)</f>
        <v>0</v>
      </c>
      <c r="AQ9" s="418">
        <f>('5. IRR'!AR$24+'5. IRR'!AR$25)</f>
        <v>0</v>
      </c>
      <c r="AR9" s="418">
        <f>('5. IRR'!AS$24+'5. IRR'!AS$25)</f>
        <v>0</v>
      </c>
      <c r="AS9" s="418">
        <f>('5. IRR'!AT$24+'5. IRR'!AT$25)</f>
        <v>0</v>
      </c>
      <c r="AT9" s="418">
        <f>('5. IRR'!AU$24+'5. IRR'!AU$25)</f>
        <v>0</v>
      </c>
      <c r="AU9" s="418">
        <f>('5. IRR'!AV$24+'5. IRR'!AV$25)</f>
        <v>0</v>
      </c>
      <c r="AV9" s="418">
        <f>('5. IRR'!AW$24+'5. IRR'!AW$25)</f>
        <v>0</v>
      </c>
      <c r="AW9" s="418">
        <f>('5. IRR'!AX$24+'5. IRR'!AX$25)</f>
        <v>0</v>
      </c>
      <c r="AX9" s="418">
        <f>('5. IRR'!AY$24+'5. IRR'!AY$25)</f>
        <v>0</v>
      </c>
      <c r="AY9" s="418">
        <f>('5. IRR'!AZ$24+'5. IRR'!AZ$25)</f>
        <v>0</v>
      </c>
      <c r="AZ9" s="418">
        <f>('5. IRR'!BA$24+'5. IRR'!BA$25)</f>
        <v>0</v>
      </c>
      <c r="BA9" s="504"/>
    </row>
    <row r="10" spans="1:53">
      <c r="B10" s="467" t="s">
        <v>294</v>
      </c>
      <c r="C10" s="468">
        <f t="shared" ref="C10:AH10" si="0">C6+C7+C8</f>
        <v>-226305499.99999997</v>
      </c>
      <c r="D10" s="468">
        <f t="shared" si="0"/>
        <v>13871400</v>
      </c>
      <c r="E10" s="468">
        <f t="shared" si="0"/>
        <v>14050480.140000001</v>
      </c>
      <c r="F10" s="468">
        <f t="shared" si="0"/>
        <v>14231765.012760002</v>
      </c>
      <c r="G10" s="468">
        <f t="shared" si="0"/>
        <v>14415279.436754644</v>
      </c>
      <c r="H10" s="468">
        <f t="shared" si="0"/>
        <v>14601048.456961529</v>
      </c>
      <c r="I10" s="468">
        <f t="shared" si="0"/>
        <v>14789097.345613157</v>
      </c>
      <c r="J10" s="468">
        <f t="shared" si="0"/>
        <v>14979451.602910995</v>
      </c>
      <c r="K10" s="468">
        <f t="shared" si="0"/>
        <v>15172136.957700187</v>
      </c>
      <c r="L10" s="468">
        <f t="shared" si="0"/>
        <v>15367179.368103392</v>
      </c>
      <c r="M10" s="468">
        <f t="shared" si="0"/>
        <v>15564605.022112153</v>
      </c>
      <c r="N10" s="468">
        <f t="shared" si="0"/>
        <v>15764440.33813414</v>
      </c>
      <c r="O10" s="468">
        <f t="shared" si="0"/>
        <v>15966711.965494689</v>
      </c>
      <c r="P10" s="468">
        <f t="shared" si="0"/>
        <v>16171446.784890812</v>
      </c>
      <c r="Q10" s="468">
        <f t="shared" si="0"/>
        <v>16378671.908796068</v>
      </c>
      <c r="R10" s="468">
        <f t="shared" si="0"/>
        <v>16588414.681814335</v>
      </c>
      <c r="S10" s="468">
        <f t="shared" si="0"/>
        <v>16800702.680980761</v>
      </c>
      <c r="T10" s="468">
        <f t="shared" si="0"/>
        <v>17015563.716007937</v>
      </c>
      <c r="U10" s="468">
        <f t="shared" si="0"/>
        <v>17233025.829475358</v>
      </c>
      <c r="V10" s="468">
        <f t="shared" si="0"/>
        <v>17453117.29696019</v>
      </c>
      <c r="W10" s="468">
        <f t="shared" si="0"/>
        <v>17675866.627107255</v>
      </c>
      <c r="X10" s="468">
        <f t="shared" si="0"/>
        <v>0</v>
      </c>
      <c r="Y10" s="468">
        <f t="shared" si="0"/>
        <v>0</v>
      </c>
      <c r="Z10" s="468">
        <f t="shared" si="0"/>
        <v>0</v>
      </c>
      <c r="AA10" s="468">
        <f t="shared" si="0"/>
        <v>0</v>
      </c>
      <c r="AB10" s="468">
        <f t="shared" si="0"/>
        <v>0</v>
      </c>
      <c r="AC10" s="468">
        <f t="shared" si="0"/>
        <v>0</v>
      </c>
      <c r="AD10" s="468">
        <f t="shared" si="0"/>
        <v>0</v>
      </c>
      <c r="AE10" s="468">
        <f t="shared" si="0"/>
        <v>0</v>
      </c>
      <c r="AF10" s="468">
        <f t="shared" si="0"/>
        <v>0</v>
      </c>
      <c r="AG10" s="468">
        <f t="shared" si="0"/>
        <v>0</v>
      </c>
      <c r="AH10" s="468">
        <f t="shared" si="0"/>
        <v>0</v>
      </c>
      <c r="AI10" s="468">
        <f t="shared" ref="AI10:AZ10" si="1">AI6+AI7+AI8</f>
        <v>0</v>
      </c>
      <c r="AJ10" s="468">
        <f t="shared" si="1"/>
        <v>0</v>
      </c>
      <c r="AK10" s="468">
        <f t="shared" si="1"/>
        <v>0</v>
      </c>
      <c r="AL10" s="468">
        <f t="shared" si="1"/>
        <v>0</v>
      </c>
      <c r="AM10" s="468">
        <f t="shared" si="1"/>
        <v>0</v>
      </c>
      <c r="AN10" s="468">
        <f t="shared" si="1"/>
        <v>0</v>
      </c>
      <c r="AO10" s="468">
        <f t="shared" si="1"/>
        <v>0</v>
      </c>
      <c r="AP10" s="468">
        <f t="shared" si="1"/>
        <v>0</v>
      </c>
      <c r="AQ10" s="468">
        <f t="shared" si="1"/>
        <v>0</v>
      </c>
      <c r="AR10" s="468">
        <f t="shared" si="1"/>
        <v>0</v>
      </c>
      <c r="AS10" s="468">
        <f t="shared" si="1"/>
        <v>0</v>
      </c>
      <c r="AT10" s="468">
        <f t="shared" si="1"/>
        <v>0</v>
      </c>
      <c r="AU10" s="468">
        <f t="shared" si="1"/>
        <v>0</v>
      </c>
      <c r="AV10" s="468">
        <f t="shared" si="1"/>
        <v>0</v>
      </c>
      <c r="AW10" s="468">
        <f t="shared" si="1"/>
        <v>0</v>
      </c>
      <c r="AX10" s="468">
        <f t="shared" si="1"/>
        <v>0</v>
      </c>
      <c r="AY10" s="468">
        <f t="shared" si="1"/>
        <v>0</v>
      </c>
      <c r="AZ10" s="468">
        <f t="shared" si="1"/>
        <v>0</v>
      </c>
      <c r="BA10" s="504"/>
    </row>
    <row r="11" spans="1:53">
      <c r="B11" s="415" t="s">
        <v>295</v>
      </c>
      <c r="C11" s="416">
        <f>-(SUM(C$8:$C$8)*'2. Kalkyldata'!$M$7)</f>
        <v>10919999.999999998</v>
      </c>
      <c r="D11" s="416">
        <f>C$13*'2. Kalkyldata'!$M$7</f>
        <v>10793760.249999998</v>
      </c>
      <c r="E11" s="416">
        <f>D$13*'2. Kalkyldata'!$M$7</f>
        <v>10653727.641374998</v>
      </c>
      <c r="F11" s="416">
        <f>E$13*'2. Kalkyldata'!$M$7</f>
        <v>10499175.402687561</v>
      </c>
      <c r="G11" s="416">
        <f>F$13*'2. Kalkyldata'!$M$7</f>
        <v>10329342.575429263</v>
      </c>
      <c r="H11" s="416">
        <f>G$13*'2. Kalkyldata'!$M$7</f>
        <v>10143432.448238958</v>
      </c>
      <c r="I11" s="416">
        <f>H$13*'2. Kalkyldata'!$M$7</f>
        <v>9940610.9198420811</v>
      </c>
      <c r="J11" s="416">
        <f>I$13*'2. Kalkyldata'!$M$7</f>
        <v>9720004.7874694988</v>
      </c>
      <c r="K11" s="416">
        <f>J$13*'2. Kalkyldata'!$M$7</f>
        <v>9480699.9573669098</v>
      </c>
      <c r="L11" s="416">
        <f>K$13*'2. Kalkyldata'!$M$7</f>
        <v>9221739.5738517456</v>
      </c>
      <c r="M11" s="416">
        <f>L$13*'2. Kalkyldata'!$M$7</f>
        <v>8942122.0632132962</v>
      </c>
      <c r="N11" s="416">
        <f>M$13*'2. Kalkyldata'!$M$7</f>
        <v>8640799.0885833967</v>
      </c>
      <c r="O11" s="416">
        <f>N$13*'2. Kalkyldata'!$M$7</f>
        <v>8316673.4117288394</v>
      </c>
      <c r="P11" s="416">
        <f>O$13*'2. Kalkyldata'!$M$7</f>
        <v>7968596.6575324927</v>
      </c>
      <c r="Q11" s="416">
        <f>P$13*'2. Kalkyldata'!$M$7</f>
        <v>7595366.9767376892</v>
      </c>
      <c r="R11" s="416">
        <f>Q$13*'2. Kalkyldata'!$M$7</f>
        <v>7195726.6023290325</v>
      </c>
      <c r="S11" s="416">
        <f>R$13*'2. Kalkyldata'!$M$7</f>
        <v>6768359.2947124513</v>
      </c>
      <c r="T11" s="416">
        <f>S$13*'2. Kalkyldata'!$M$7</f>
        <v>6311887.6706372425</v>
      </c>
      <c r="U11" s="416">
        <f>T$13*'2. Kalkyldata'!$M$7</f>
        <v>5824870.4105728762</v>
      </c>
      <c r="V11" s="416">
        <f>U$13*'2. Kalkyldata'!$M$7</f>
        <v>5305799.3390128128</v>
      </c>
      <c r="W11" s="416">
        <f>V$13*'2. Kalkyldata'!$M$7</f>
        <v>4753096.3719262071</v>
      </c>
      <c r="X11" s="416">
        <f>W$13*'2. Kalkyldata'!$M$7</f>
        <v>4165110.3253154689</v>
      </c>
      <c r="Y11" s="416">
        <f>X$13*'2. Kalkyldata'!$M$7</f>
        <v>0</v>
      </c>
      <c r="Z11" s="416">
        <f>Y$13*'2. Kalkyldata'!$M$7</f>
        <v>0</v>
      </c>
      <c r="AA11" s="416">
        <f>Z$13*'2. Kalkyldata'!$M$7</f>
        <v>0</v>
      </c>
      <c r="AB11" s="416">
        <f>AA$13*'2. Kalkyldata'!$M$7</f>
        <v>0</v>
      </c>
      <c r="AC11" s="416">
        <f>AB$13*'2. Kalkyldata'!$M$7</f>
        <v>0</v>
      </c>
      <c r="AD11" s="416">
        <f>AC$13*'2. Kalkyldata'!$M$7</f>
        <v>0</v>
      </c>
      <c r="AE11" s="416">
        <f>AD$13*'2. Kalkyldata'!$M$7</f>
        <v>0</v>
      </c>
      <c r="AF11" s="416">
        <f>AE$13*'2. Kalkyldata'!$M$7</f>
        <v>0</v>
      </c>
      <c r="AG11" s="416">
        <f>AF$13*'2. Kalkyldata'!$M$7</f>
        <v>0</v>
      </c>
      <c r="AH11" s="416">
        <f>AG$13*'2. Kalkyldata'!$M$7</f>
        <v>0</v>
      </c>
      <c r="AI11" s="416">
        <f>AH$13*'2. Kalkyldata'!$M$7</f>
        <v>0</v>
      </c>
      <c r="AJ11" s="416">
        <f>AI$13*'2. Kalkyldata'!$M$7</f>
        <v>0</v>
      </c>
      <c r="AK11" s="416">
        <f>AJ$13*'2. Kalkyldata'!$M$7</f>
        <v>0</v>
      </c>
      <c r="AL11" s="416">
        <f>AK$13*'2. Kalkyldata'!$M$7</f>
        <v>0</v>
      </c>
      <c r="AM11" s="416">
        <f>AL$13*'2. Kalkyldata'!$M$7</f>
        <v>0</v>
      </c>
      <c r="AN11" s="416">
        <f>AM$13*'2. Kalkyldata'!$M$7</f>
        <v>0</v>
      </c>
      <c r="AO11" s="416">
        <f>AN$13*'2. Kalkyldata'!$M$7</f>
        <v>0</v>
      </c>
      <c r="AP11" s="416">
        <f>AO$13*'2. Kalkyldata'!$M$7</f>
        <v>0</v>
      </c>
      <c r="AQ11" s="416">
        <f>AP$13*'2. Kalkyldata'!$M$7</f>
        <v>0</v>
      </c>
      <c r="AR11" s="416">
        <f>AQ$13*'2. Kalkyldata'!$M$7</f>
        <v>0</v>
      </c>
      <c r="AS11" s="416">
        <f>AR$13*'2. Kalkyldata'!$M$7</f>
        <v>0</v>
      </c>
      <c r="AT11" s="416">
        <f>AS$13*'2. Kalkyldata'!$M$7</f>
        <v>0</v>
      </c>
      <c r="AU11" s="416">
        <f>AT$13*'2. Kalkyldata'!$M$7</f>
        <v>0</v>
      </c>
      <c r="AV11" s="416">
        <f>AU$13*'2. Kalkyldata'!$M$7</f>
        <v>0</v>
      </c>
      <c r="AW11" s="416">
        <f>AV$13*'2. Kalkyldata'!$M$7</f>
        <v>0</v>
      </c>
      <c r="AX11" s="416">
        <f>AW$13*'2. Kalkyldata'!$M$7</f>
        <v>0</v>
      </c>
      <c r="AY11" s="416">
        <f>AX$13*'2. Kalkyldata'!$M$7</f>
        <v>0</v>
      </c>
      <c r="AZ11" s="416">
        <f>AY$13*'2. Kalkyldata'!$M$7</f>
        <v>0</v>
      </c>
      <c r="BA11" s="504"/>
    </row>
    <row r="12" spans="1:53">
      <c r="B12" s="415" t="s">
        <v>296</v>
      </c>
      <c r="C12" s="416">
        <f>C10-C11</f>
        <v>-237225499.99999997</v>
      </c>
      <c r="D12" s="416">
        <f t="shared" ref="D12:AH12" si="2">D10-D11</f>
        <v>3077639.7500000019</v>
      </c>
      <c r="E12" s="416">
        <f t="shared" si="2"/>
        <v>3396752.4986250028</v>
      </c>
      <c r="F12" s="416">
        <f t="shared" si="2"/>
        <v>3732589.6100724414</v>
      </c>
      <c r="G12" s="416">
        <f t="shared" si="2"/>
        <v>4085936.8613253813</v>
      </c>
      <c r="H12" s="416">
        <f t="shared" si="2"/>
        <v>4457616.0087225717</v>
      </c>
      <c r="I12" s="416">
        <f t="shared" si="2"/>
        <v>4848486.4257710762</v>
      </c>
      <c r="J12" s="416">
        <f t="shared" si="2"/>
        <v>5259446.8154414967</v>
      </c>
      <c r="K12" s="416">
        <f t="shared" si="2"/>
        <v>5691437.0003332775</v>
      </c>
      <c r="L12" s="416">
        <f t="shared" si="2"/>
        <v>6145439.7942516468</v>
      </c>
      <c r="M12" s="416">
        <f t="shared" si="2"/>
        <v>6622482.9588988572</v>
      </c>
      <c r="N12" s="416">
        <f t="shared" si="2"/>
        <v>7123641.249550743</v>
      </c>
      <c r="O12" s="416">
        <f t="shared" si="2"/>
        <v>7650038.5537658492</v>
      </c>
      <c r="P12" s="416">
        <f t="shared" si="2"/>
        <v>8202850.1273583192</v>
      </c>
      <c r="Q12" s="416">
        <f t="shared" si="2"/>
        <v>8783304.9320583791</v>
      </c>
      <c r="R12" s="416">
        <f t="shared" si="2"/>
        <v>9392688.0794853028</v>
      </c>
      <c r="S12" s="416">
        <f t="shared" si="2"/>
        <v>10032343.38626831</v>
      </c>
      <c r="T12" s="416">
        <f t="shared" si="2"/>
        <v>10703676.045370694</v>
      </c>
      <c r="U12" s="416">
        <f t="shared" si="2"/>
        <v>11408155.418902483</v>
      </c>
      <c r="V12" s="416">
        <f t="shared" si="2"/>
        <v>12147317.957947377</v>
      </c>
      <c r="W12" s="416">
        <f t="shared" si="2"/>
        <v>12922770.255181048</v>
      </c>
      <c r="X12" s="416">
        <f t="shared" si="2"/>
        <v>-4165110.3253154689</v>
      </c>
      <c r="Y12" s="416">
        <f t="shared" si="2"/>
        <v>0</v>
      </c>
      <c r="Z12" s="416">
        <f t="shared" si="2"/>
        <v>0</v>
      </c>
      <c r="AA12" s="416">
        <f t="shared" si="2"/>
        <v>0</v>
      </c>
      <c r="AB12" s="416">
        <f t="shared" si="2"/>
        <v>0</v>
      </c>
      <c r="AC12" s="416">
        <f t="shared" si="2"/>
        <v>0</v>
      </c>
      <c r="AD12" s="416">
        <f t="shared" si="2"/>
        <v>0</v>
      </c>
      <c r="AE12" s="416">
        <f t="shared" si="2"/>
        <v>0</v>
      </c>
      <c r="AF12" s="416">
        <f t="shared" si="2"/>
        <v>0</v>
      </c>
      <c r="AG12" s="416">
        <f t="shared" si="2"/>
        <v>0</v>
      </c>
      <c r="AH12" s="416">
        <f t="shared" si="2"/>
        <v>0</v>
      </c>
      <c r="AI12" s="416">
        <f t="shared" ref="AI12:AZ12" si="3">AI10-AI11</f>
        <v>0</v>
      </c>
      <c r="AJ12" s="416">
        <f t="shared" si="3"/>
        <v>0</v>
      </c>
      <c r="AK12" s="416">
        <f t="shared" si="3"/>
        <v>0</v>
      </c>
      <c r="AL12" s="416">
        <f t="shared" si="3"/>
        <v>0</v>
      </c>
      <c r="AM12" s="416">
        <f t="shared" si="3"/>
        <v>0</v>
      </c>
      <c r="AN12" s="416">
        <f t="shared" si="3"/>
        <v>0</v>
      </c>
      <c r="AO12" s="416">
        <f t="shared" si="3"/>
        <v>0</v>
      </c>
      <c r="AP12" s="416">
        <f t="shared" si="3"/>
        <v>0</v>
      </c>
      <c r="AQ12" s="416">
        <f t="shared" si="3"/>
        <v>0</v>
      </c>
      <c r="AR12" s="416">
        <f t="shared" si="3"/>
        <v>0</v>
      </c>
      <c r="AS12" s="416">
        <f t="shared" si="3"/>
        <v>0</v>
      </c>
      <c r="AT12" s="416">
        <f t="shared" si="3"/>
        <v>0</v>
      </c>
      <c r="AU12" s="416">
        <f t="shared" si="3"/>
        <v>0</v>
      </c>
      <c r="AV12" s="416">
        <f t="shared" si="3"/>
        <v>0</v>
      </c>
      <c r="AW12" s="416">
        <f t="shared" si="3"/>
        <v>0</v>
      </c>
      <c r="AX12" s="416">
        <f t="shared" si="3"/>
        <v>0</v>
      </c>
      <c r="AY12" s="416">
        <f t="shared" si="3"/>
        <v>0</v>
      </c>
      <c r="AZ12" s="416">
        <f t="shared" si="3"/>
        <v>0</v>
      </c>
      <c r="BA12" s="504"/>
    </row>
    <row r="13" spans="1:53">
      <c r="A13" s="180" t="s">
        <v>297</v>
      </c>
      <c r="B13" s="469" t="s">
        <v>298</v>
      </c>
      <c r="C13" s="470">
        <f>IF(C$3="",0,C$5-C$6-C$8+-C$9+C$11)</f>
        <v>237225499.99999997</v>
      </c>
      <c r="D13" s="470">
        <f>IF(D$3="",0,C$13-D$6-D$8+-D$9+D$11)</f>
        <v>234147860.24999997</v>
      </c>
      <c r="E13" s="470">
        <f t="shared" ref="E13:AZ13" si="4">IF(E$3="",0,D$13-E$6-E$8+-E$9+E$11)</f>
        <v>230751107.75137496</v>
      </c>
      <c r="F13" s="470">
        <f t="shared" si="4"/>
        <v>227018518.1413025</v>
      </c>
      <c r="G13" s="470">
        <f t="shared" si="4"/>
        <v>222932581.27997711</v>
      </c>
      <c r="H13" s="470">
        <f t="shared" si="4"/>
        <v>218474965.27125454</v>
      </c>
      <c r="I13" s="470">
        <f t="shared" si="4"/>
        <v>213626478.84548348</v>
      </c>
      <c r="J13" s="470">
        <f t="shared" si="4"/>
        <v>208367032.03004199</v>
      </c>
      <c r="K13" s="470">
        <f t="shared" si="4"/>
        <v>202675595.02970871</v>
      </c>
      <c r="L13" s="470">
        <f t="shared" si="4"/>
        <v>196530155.23545706</v>
      </c>
      <c r="M13" s="470">
        <f t="shared" si="4"/>
        <v>189907672.27655819</v>
      </c>
      <c r="N13" s="470">
        <f t="shared" si="4"/>
        <v>182784031.02700746</v>
      </c>
      <c r="O13" s="470">
        <f t="shared" si="4"/>
        <v>175133992.4732416</v>
      </c>
      <c r="P13" s="470">
        <f t="shared" si="4"/>
        <v>166931142.34588328</v>
      </c>
      <c r="Q13" s="470">
        <f t="shared" si="4"/>
        <v>158147837.41382489</v>
      </c>
      <c r="R13" s="470">
        <f t="shared" si="4"/>
        <v>148755149.33433959</v>
      </c>
      <c r="S13" s="470">
        <f t="shared" si="4"/>
        <v>138722805.94807127</v>
      </c>
      <c r="T13" s="470">
        <f t="shared" si="4"/>
        <v>128019129.90270057</v>
      </c>
      <c r="U13" s="470">
        <f t="shared" si="4"/>
        <v>116610974.48379809</v>
      </c>
      <c r="V13" s="470">
        <f t="shared" si="4"/>
        <v>104463656.52585071</v>
      </c>
      <c r="W13" s="470">
        <f t="shared" si="4"/>
        <v>91540886.270669654</v>
      </c>
      <c r="X13" s="470">
        <f t="shared" si="4"/>
        <v>0</v>
      </c>
      <c r="Y13" s="470">
        <f t="shared" si="4"/>
        <v>0</v>
      </c>
      <c r="Z13" s="470">
        <f t="shared" si="4"/>
        <v>0</v>
      </c>
      <c r="AA13" s="470">
        <f t="shared" si="4"/>
        <v>0</v>
      </c>
      <c r="AB13" s="470">
        <f t="shared" si="4"/>
        <v>0</v>
      </c>
      <c r="AC13" s="470">
        <f t="shared" si="4"/>
        <v>0</v>
      </c>
      <c r="AD13" s="470">
        <f t="shared" si="4"/>
        <v>0</v>
      </c>
      <c r="AE13" s="470">
        <f t="shared" si="4"/>
        <v>0</v>
      </c>
      <c r="AF13" s="470">
        <f t="shared" si="4"/>
        <v>0</v>
      </c>
      <c r="AG13" s="470">
        <f t="shared" si="4"/>
        <v>0</v>
      </c>
      <c r="AH13" s="470">
        <f t="shared" si="4"/>
        <v>0</v>
      </c>
      <c r="AI13" s="470">
        <f t="shared" si="4"/>
        <v>0</v>
      </c>
      <c r="AJ13" s="470">
        <f t="shared" si="4"/>
        <v>0</v>
      </c>
      <c r="AK13" s="470">
        <f t="shared" si="4"/>
        <v>0</v>
      </c>
      <c r="AL13" s="470">
        <f t="shared" si="4"/>
        <v>0</v>
      </c>
      <c r="AM13" s="470">
        <f t="shared" si="4"/>
        <v>0</v>
      </c>
      <c r="AN13" s="470">
        <f t="shared" si="4"/>
        <v>0</v>
      </c>
      <c r="AO13" s="470">
        <f t="shared" si="4"/>
        <v>0</v>
      </c>
      <c r="AP13" s="470">
        <f t="shared" si="4"/>
        <v>0</v>
      </c>
      <c r="AQ13" s="470">
        <f t="shared" si="4"/>
        <v>0</v>
      </c>
      <c r="AR13" s="470">
        <f t="shared" si="4"/>
        <v>0</v>
      </c>
      <c r="AS13" s="470">
        <f t="shared" si="4"/>
        <v>0</v>
      </c>
      <c r="AT13" s="470">
        <f t="shared" si="4"/>
        <v>0</v>
      </c>
      <c r="AU13" s="470">
        <f t="shared" si="4"/>
        <v>0</v>
      </c>
      <c r="AV13" s="470">
        <f t="shared" si="4"/>
        <v>0</v>
      </c>
      <c r="AW13" s="470">
        <f t="shared" si="4"/>
        <v>0</v>
      </c>
      <c r="AX13" s="470">
        <f t="shared" si="4"/>
        <v>0</v>
      </c>
      <c r="AY13" s="470">
        <f t="shared" si="4"/>
        <v>0</v>
      </c>
      <c r="AZ13" s="470">
        <f t="shared" si="4"/>
        <v>0</v>
      </c>
      <c r="BA13" s="504"/>
    </row>
    <row r="14" spans="1:53">
      <c r="C14" s="183"/>
      <c r="BA14" s="504"/>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IFERROR(('4. NPV'!D$71-'4. NPV'!D$72),0)</f>
        <v>13694500</v>
      </c>
      <c r="D40" s="6">
        <f>IFERROR(('4. NPV'!E$71-'4. NPV'!E$72),0)</f>
        <v>13871400</v>
      </c>
      <c r="E40" s="6">
        <f>IFERROR(('4. NPV'!F$71-'4. NPV'!F$72),0)</f>
        <v>14050480.140000001</v>
      </c>
      <c r="F40" s="6">
        <f>IFERROR(('4. NPV'!G$71-'4. NPV'!G$72),0)</f>
        <v>14231765.012760002</v>
      </c>
      <c r="G40" s="6">
        <f>IFERROR(('4. NPV'!H$71-'4. NPV'!H$72),0)</f>
        <v>14415279.436754644</v>
      </c>
      <c r="H40" s="6">
        <f>IFERROR(('4. NPV'!I$71-'4. NPV'!I$72),0)</f>
        <v>14601048.456961529</v>
      </c>
      <c r="I40" s="6">
        <f>IFERROR(('4. NPV'!J$71-'4. NPV'!J$72),0)</f>
        <v>14789097.345613157</v>
      </c>
      <c r="J40" s="6">
        <f>IFERROR(('4. NPV'!K$71-'4. NPV'!K$72),0)</f>
        <v>14979451.602910995</v>
      </c>
      <c r="K40" s="6">
        <f>IFERROR(('4. NPV'!L$71-'4. NPV'!L$72),0)</f>
        <v>15172136.957700187</v>
      </c>
      <c r="L40" s="6">
        <f>IFERROR(('4. NPV'!M$71-'4. NPV'!M$72),0)</f>
        <v>15367179.368103392</v>
      </c>
      <c r="M40" s="6">
        <f>IFERROR(('4. NPV'!N$71-'4. NPV'!N$72),0)</f>
        <v>15564605.022112153</v>
      </c>
      <c r="N40" s="6">
        <f>IFERROR(('4. NPV'!O$71-'4. NPV'!O$72),0)</f>
        <v>15764440.33813414</v>
      </c>
      <c r="O40" s="6">
        <f>IFERROR(('4. NPV'!P$71-'4. NPV'!P$72),0)</f>
        <v>15966711.965494689</v>
      </c>
      <c r="P40" s="6">
        <f>IFERROR(('4. NPV'!Q$71-'4. NPV'!Q$72),0)</f>
        <v>16171446.784890812</v>
      </c>
      <c r="Q40" s="6">
        <f>IFERROR(('4. NPV'!R$71-'4. NPV'!R$72),0)</f>
        <v>16378671.908796068</v>
      </c>
      <c r="R40" s="6">
        <f>IFERROR(('4. NPV'!S$71-'4. NPV'!S$72),0)</f>
        <v>16588414.681814335</v>
      </c>
      <c r="S40" s="6">
        <f>IFERROR(('4. NPV'!T$71-'4. NPV'!T$72),0)</f>
        <v>16800702.680980761</v>
      </c>
      <c r="T40" s="6">
        <f>IFERROR(('4. NPV'!U$71-'4. NPV'!U$72),0)</f>
        <v>17015563.716007937</v>
      </c>
      <c r="U40" s="6">
        <f>IFERROR(('4. NPV'!V$71-'4. NPV'!V$72),0)</f>
        <v>17233025.829475358</v>
      </c>
      <c r="V40" s="6">
        <f>IFERROR(('4. NPV'!W$71-'4. NPV'!W$72),0)</f>
        <v>17453117.29696019</v>
      </c>
      <c r="W40" s="6">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-IFERROR(('4. NPV'!D$26+'4. NPV'!D$27+'4. NPV'!D$28-'4. NPV'!D$25),0)</f>
        <v>2470500</v>
      </c>
      <c r="D42" s="6">
        <f>-IFERROR(('4. NPV'!E$26+'4. NPV'!E$27+'4. NPV'!E$28-'4. NPV'!E$25),0)</f>
        <v>2519910</v>
      </c>
      <c r="E42" s="6">
        <f>-IFERROR(('4. NPV'!F$26+'4. NPV'!F$27+'4. NPV'!F$28-'4. NPV'!F$25),0)</f>
        <v>2570308.2000000002</v>
      </c>
      <c r="F42" s="6">
        <f>-IFERROR(('4. NPV'!G$26+'4. NPV'!G$27+'4. NPV'!G$28-'4. NPV'!G$25),0)</f>
        <v>2621714.3639999996</v>
      </c>
      <c r="G42" s="6">
        <f>-IFERROR(('4. NPV'!H$26+'4. NPV'!H$27+'4. NPV'!H$28-'4. NPV'!H$25),0)</f>
        <v>2674148.6512799999</v>
      </c>
      <c r="H42" s="6">
        <f>-IFERROR(('4. NPV'!I$26+'4. NPV'!I$27+'4. NPV'!I$28-'4. NPV'!I$25),0)</f>
        <v>2727631.6243055998</v>
      </c>
      <c r="I42" s="6">
        <f>-IFERROR(('4. NPV'!J$26+'4. NPV'!J$27+'4. NPV'!J$28-'4. NPV'!J$25),0)</f>
        <v>2782184.2567917123</v>
      </c>
      <c r="J42" s="6">
        <f>-IFERROR(('4. NPV'!K$26+'4. NPV'!K$27+'4. NPV'!K$28-'4. NPV'!K$25),0)</f>
        <v>2837827.9419275457</v>
      </c>
      <c r="K42" s="6">
        <f>-IFERROR(('4. NPV'!L$26+'4. NPV'!L$27+'4. NPV'!L$28-'4. NPV'!L$25),0)</f>
        <v>2894584.5007660971</v>
      </c>
      <c r="L42" s="6">
        <f>-IFERROR(('4. NPV'!M$26+'4. NPV'!M$27+'4. NPV'!M$28-'4. NPV'!M$25),0)</f>
        <v>2952476.1907814187</v>
      </c>
      <c r="M42" s="6">
        <f>-IFERROR(('4. NPV'!N$26+'4. NPV'!N$27+'4. NPV'!N$28-'4. NPV'!N$25),0)</f>
        <v>3011525.7145970473</v>
      </c>
      <c r="N42" s="6">
        <f>-IFERROR(('4. NPV'!O$26+'4. NPV'!O$27+'4. NPV'!O$28-'4. NPV'!O$25),0)</f>
        <v>3071756.228888988</v>
      </c>
      <c r="O42" s="6">
        <f>-IFERROR(('4. NPV'!P$26+'4. NPV'!P$27+'4. NPV'!P$28-'4. NPV'!P$25),0)</f>
        <v>3133191.3534667683</v>
      </c>
      <c r="P42" s="6">
        <f>-IFERROR(('4. NPV'!Q$26+'4. NPV'!Q$27+'4. NPV'!Q$28-'4. NPV'!Q$25),0)</f>
        <v>3195855.1805361034</v>
      </c>
      <c r="Q42" s="6">
        <f>-IFERROR(('4. NPV'!R$26+'4. NPV'!R$27+'4. NPV'!R$28-'4. NPV'!R$25),0)</f>
        <v>3259772.2841468258</v>
      </c>
      <c r="R42" s="6">
        <f>-IFERROR(('4. NPV'!S$26+'4. NPV'!S$27+'4. NPV'!S$28-'4. NPV'!S$25),0)</f>
        <v>3324967.7298297612</v>
      </c>
      <c r="S42" s="6">
        <f>-IFERROR(('4. NPV'!T$26+'4. NPV'!T$27+'4. NPV'!T$28-'4. NPV'!T$25),0)</f>
        <v>3391467.0844263569</v>
      </c>
      <c r="T42" s="6">
        <f>-IFERROR(('4. NPV'!U$26+'4. NPV'!U$27+'4. NPV'!U$28-'4. NPV'!U$25),0)</f>
        <v>3459296.4261148847</v>
      </c>
      <c r="U42" s="6">
        <f>-IFERROR(('4. NPV'!V$26+'4. NPV'!V$27+'4. NPV'!V$28-'4. NPV'!V$25),0)</f>
        <v>3528482.3546371819</v>
      </c>
      <c r="V42" s="6">
        <f>-IFERROR(('4. NPV'!W$26+'4. NPV'!W$27+'4. NPV'!W$28-'4. NPV'!W$25),0)</f>
        <v>3599052.0017299252</v>
      </c>
      <c r="W42" s="6">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IF(C40=0,C48,(C40/'2. Kalkyldata'!$M$11))</f>
        <v>210684615.38461539</v>
      </c>
      <c r="D44" s="8">
        <f>IF(D40=0,D48,(D40/'2. Kalkyldata'!$M$11))</f>
        <v>213406153.84615383</v>
      </c>
      <c r="E44" s="8">
        <f>IF(E40=0,E48,(E40/'2. Kalkyldata'!$M$11))</f>
        <v>216161232.92307693</v>
      </c>
      <c r="F44" s="8">
        <f>IF(F40=0,F48,(F40/'2. Kalkyldata'!$M$11))</f>
        <v>218950230.9655385</v>
      </c>
      <c r="G44" s="8">
        <f>IF(G40=0,G48,(G40/'2. Kalkyldata'!$M$11))</f>
        <v>221773529.79622528</v>
      </c>
      <c r="H44" s="8">
        <f>IF(H40=0,H48,(H40/'2. Kalkyldata'!$M$11))</f>
        <v>224631514.72248507</v>
      </c>
      <c r="I44" s="8">
        <f>IF(I40=0,I48,(I40/'2. Kalkyldata'!$M$11))</f>
        <v>227524574.54789472</v>
      </c>
      <c r="J44" s="8">
        <f>IF(J40=0,J48,(J40/'2. Kalkyldata'!$M$11))</f>
        <v>230453101.58324608</v>
      </c>
      <c r="K44" s="8">
        <f>IF(K40=0,K48,(K40/'2. Kalkyldata'!$M$11))</f>
        <v>233417491.65692595</v>
      </c>
      <c r="L44" s="8">
        <f>IF(L40=0,L48,(L40/'2. Kalkyldata'!$M$11))</f>
        <v>236418144.12466756</v>
      </c>
      <c r="M44" s="8">
        <f>IF(M40=0,M48,(M40/'2. Kalkyldata'!$M$11))</f>
        <v>239455461.87864852</v>
      </c>
      <c r="N44" s="8">
        <f>IF(N40=0,N48,(N40/'2. Kalkyldata'!$M$11))</f>
        <v>242529851.35590982</v>
      </c>
      <c r="O44" s="8">
        <f>IF(O40=0,O48,(O40/'2. Kalkyldata'!$M$11))</f>
        <v>245641722.54607213</v>
      </c>
      <c r="P44" s="8">
        <f>IF(P40=0,P48,(P40/'2. Kalkyldata'!$M$11))</f>
        <v>248791488.99832016</v>
      </c>
      <c r="Q44" s="8">
        <f>IF(Q40=0,Q48,(Q40/'2. Kalkyldata'!$M$11))</f>
        <v>251979567.8276318</v>
      </c>
      <c r="R44" s="8">
        <f>IF(R40=0,R48,(R40/'2. Kalkyldata'!$M$11))</f>
        <v>255206379.72022054</v>
      </c>
      <c r="S44" s="8">
        <f>IF(S40=0,S48,(S40/'2. Kalkyldata'!$M$11))</f>
        <v>258472348.93816555</v>
      </c>
      <c r="T44" s="8">
        <f>IF(T40=0,T48,(T40/'2. Kalkyldata'!$M$11))</f>
        <v>261777903.323199</v>
      </c>
      <c r="U44" s="8">
        <f>IF(U40=0,U48,(U40/'2. Kalkyldata'!$M$11))</f>
        <v>265123474.2996209</v>
      </c>
      <c r="V44" s="8">
        <f>IF(V40=0,V48,(V40/'2. Kalkyldata'!$M$11))</f>
        <v>268509496.87631059</v>
      </c>
      <c r="W44" s="8">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IF('6. Ack.kapitalutlägg'!C3="",0,SUM('4. NPV'!D$29:'4. NPV'!$D$29))</f>
        <v>13694500</v>
      </c>
      <c r="D47" s="6">
        <f>IF('6. Ack.kapitalutlägg'!D3="",0,SUM('4. NPV'!E$29:'4. NPV'!$D$29))</f>
        <v>27565900</v>
      </c>
      <c r="E47" s="6">
        <f>IF('6. Ack.kapitalutlägg'!E3="",0,SUM('4. NPV'!F$29:'4. NPV'!$D$29))</f>
        <v>41616380.140000001</v>
      </c>
      <c r="F47" s="6">
        <f>IF('6. Ack.kapitalutlägg'!F3="",0,SUM('4. NPV'!G$29:'4. NPV'!$D$29))</f>
        <v>55848145.152759999</v>
      </c>
      <c r="G47" s="6">
        <f>IF('6. Ack.kapitalutlägg'!G3="",0,SUM('4. NPV'!H$29:'4. NPV'!$D$29))</f>
        <v>70263424.589514643</v>
      </c>
      <c r="H47" s="6">
        <f>IF('6. Ack.kapitalutlägg'!H3="",0,SUM('4. NPV'!I$29:'4. NPV'!$D$29))</f>
        <v>84864473.04647617</v>
      </c>
      <c r="I47" s="6">
        <f>IF('6. Ack.kapitalutlägg'!I3="",0,SUM('4. NPV'!J$29:'4. NPV'!$D$29))</f>
        <v>99653570.392089322</v>
      </c>
      <c r="J47" s="6">
        <f>IF('6. Ack.kapitalutlägg'!J3="",0,SUM('4. NPV'!K$29:'4. NPV'!$D$29))</f>
        <v>114633021.99500032</v>
      </c>
      <c r="K47" s="6">
        <f>IF('6. Ack.kapitalutlägg'!K3="",0,SUM('4. NPV'!L$29:'4. NPV'!$D$29))</f>
        <v>129805158.95270051</v>
      </c>
      <c r="L47" s="6">
        <f>IF('6. Ack.kapitalutlägg'!L3="",0,SUM('4. NPV'!M$29:'4. NPV'!$D$29))</f>
        <v>145172338.32080391</v>
      </c>
      <c r="M47" s="6">
        <f>IF('6. Ack.kapitalutlägg'!M3="",0,SUM('4. NPV'!N$29:'4. NPV'!$D$29))</f>
        <v>160736943.34291607</v>
      </c>
      <c r="N47" s="6">
        <f>IF('6. Ack.kapitalutlägg'!N3="",0,SUM('4. NPV'!O$29:'4. NPV'!$D$29))</f>
        <v>176501383.68105021</v>
      </c>
      <c r="O47" s="6">
        <f>IF('6. Ack.kapitalutlägg'!O3="",0,SUM('4. NPV'!P$29:'4. NPV'!$D$29))</f>
        <v>192468095.6465449</v>
      </c>
      <c r="P47" s="6">
        <f>IF('6. Ack.kapitalutlägg'!P3="",0,SUM('4. NPV'!Q$29:'4. NPV'!$D$29))</f>
        <v>208639542.4314357</v>
      </c>
      <c r="Q47" s="6">
        <f>IF('6. Ack.kapitalutlägg'!Q3="",0,SUM('4. NPV'!R$29:'4. NPV'!$D$29))</f>
        <v>225018214.34023178</v>
      </c>
      <c r="R47" s="6">
        <f>IF('6. Ack.kapitalutlägg'!R3="",0,SUM('4. NPV'!S$29:'4. NPV'!$D$29))</f>
        <v>241606629.02204612</v>
      </c>
      <c r="S47" s="6">
        <f>IF('6. Ack.kapitalutlägg'!S3="",0,SUM('4. NPV'!T$29:'4. NPV'!$D$29))</f>
        <v>258407331.70302689</v>
      </c>
      <c r="T47" s="6">
        <f>IF('6. Ack.kapitalutlägg'!T3="",0,SUM('4. NPV'!U$29:'4. NPV'!$D$29))</f>
        <v>275422895.41903484</v>
      </c>
      <c r="U47" s="6">
        <f>IF('6. Ack.kapitalutlägg'!U3="",0,SUM('4. NPV'!V$29:'4. NPV'!$D$29))</f>
        <v>292655921.24851018</v>
      </c>
      <c r="V47" s="6">
        <f>IF('6. Ack.kapitalutlägg'!V3="",0,SUM('4. NPV'!W$29:'4. NPV'!$D$29))</f>
        <v>310109038.54547036</v>
      </c>
      <c r="W47" s="6">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IFERROR(C40/'4. NPV'!D$8,0)</f>
        <v>2245</v>
      </c>
      <c r="D50" s="8">
        <f>IFERROR(D40/'4. NPV'!E$8,0)</f>
        <v>2274</v>
      </c>
      <c r="E50" s="8">
        <f>IFERROR(E40/'4. NPV'!F$8,0)</f>
        <v>2303.3573999999999</v>
      </c>
      <c r="F50" s="8">
        <f>IFERROR(F40/'4. NPV'!G$8,0)</f>
        <v>2333.0762316000005</v>
      </c>
      <c r="G50" s="8">
        <f>IFERROR(G40/'4. NPV'!H$8,0)</f>
        <v>2363.1605634024008</v>
      </c>
      <c r="H50" s="8">
        <f>IFERROR(H40/'4. NPV'!I$8,0)</f>
        <v>2393.6145011412345</v>
      </c>
      <c r="I50" s="8">
        <f>IFERROR(I40/'4. NPV'!J$8,0)</f>
        <v>2424.4421878054354</v>
      </c>
      <c r="J50" s="8">
        <f>IFERROR(J40/'4. NPV'!K$8,0)</f>
        <v>2455.6478037559009</v>
      </c>
      <c r="K50" s="8">
        <f>IFERROR(K40/'4. NPV'!L$8,0)</f>
        <v>2487.2355668360965</v>
      </c>
      <c r="L50" s="8">
        <f>IFERROR(L40/'4. NPV'!M$8,0)</f>
        <v>2519.2097324759661</v>
      </c>
      <c r="M50" s="8">
        <f>IFERROR(M40/'4. NPV'!N$8,0)</f>
        <v>2551.5745937888778</v>
      </c>
      <c r="N50" s="8">
        <f>IFERROR(N40/'4. NPV'!O$8,0)</f>
        <v>2584.3344816613344</v>
      </c>
      <c r="O50" s="8">
        <f>IFERROR(O40/'4. NPV'!P$8,0)</f>
        <v>2617.4937648351947</v>
      </c>
      <c r="P50" s="8">
        <f>IFERROR(P40/'4. NPV'!Q$8,0)</f>
        <v>2651.0568499821002</v>
      </c>
      <c r="Q50" s="8">
        <f>IFERROR(Q40/'4. NPV'!R$8,0)</f>
        <v>2685.0281817698474</v>
      </c>
      <c r="R50" s="8">
        <f>IFERROR(R40/'4. NPV'!S$8,0)</f>
        <v>2719.4122429203831</v>
      </c>
      <c r="S50" s="8">
        <f>IFERROR(S40/'4. NPV'!T$8,0)</f>
        <v>2754.2135542591409</v>
      </c>
      <c r="T50" s="8">
        <f>IFERROR(T40/'4. NPV'!U$8,0)</f>
        <v>2789.4366747553995</v>
      </c>
      <c r="U50" s="8">
        <f>IFERROR(U40/'4. NPV'!V$8,0)</f>
        <v>2825.0862015533376</v>
      </c>
      <c r="V50" s="8">
        <f>IFERROR(V40/'4. NPV'!W$8,0)</f>
        <v>2861.1667699934737</v>
      </c>
      <c r="W50" s="8">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IFERROR(C42/'4. NPV'!D$8,0)</f>
        <v>405</v>
      </c>
      <c r="D52" s="9">
        <f>IFERROR(D42/'4. NPV'!E$8,0)</f>
        <v>413.1</v>
      </c>
      <c r="E52" s="9">
        <f>IFERROR(E42/'4. NPV'!F$8,0)</f>
        <v>421.36200000000002</v>
      </c>
      <c r="F52" s="9">
        <f>IFERROR(F42/'4. NPV'!G$8,0)</f>
        <v>429.78923999999995</v>
      </c>
      <c r="G52" s="9">
        <f>IFERROR(G42/'4. NPV'!H$8,0)</f>
        <v>438.3850248</v>
      </c>
      <c r="H52" s="9">
        <f>IFERROR(H42/'4. NPV'!I$8,0)</f>
        <v>447.15272529599997</v>
      </c>
      <c r="I52" s="9">
        <f>IFERROR(I42/'4. NPV'!J$8,0)</f>
        <v>456.09577980192006</v>
      </c>
      <c r="J52" s="9">
        <f>IFERROR(J42/'4. NPV'!K$8,0)</f>
        <v>465.21769539795832</v>
      </c>
      <c r="K52" s="9">
        <f>IFERROR(K42/'4. NPV'!L$8,0)</f>
        <v>474.52204930591756</v>
      </c>
      <c r="L52" s="9">
        <f>IFERROR(L42/'4. NPV'!M$8,0)</f>
        <v>484.01249029203586</v>
      </c>
      <c r="M52" s="9">
        <f>IFERROR(M42/'4. NPV'!N$8,0)</f>
        <v>493.69274009787659</v>
      </c>
      <c r="N52" s="9">
        <f>IFERROR(N42/'4. NPV'!O$8,0)</f>
        <v>503.56659489983412</v>
      </c>
      <c r="O52" s="9">
        <f>IFERROR(O42/'4. NPV'!P$8,0)</f>
        <v>513.63792679783091</v>
      </c>
      <c r="P52" s="9">
        <f>IFERROR(P42/'4. NPV'!Q$8,0)</f>
        <v>523.91068533378746</v>
      </c>
      <c r="Q52" s="9">
        <f>IFERROR(Q42/'4. NPV'!R$8,0)</f>
        <v>534.38889904046323</v>
      </c>
      <c r="R52" s="9">
        <f>IFERROR(R42/'4. NPV'!S$8,0)</f>
        <v>545.0766770212723</v>
      </c>
      <c r="S52" s="9">
        <f>IFERROR(S42/'4. NPV'!T$8,0)</f>
        <v>555.97821056169789</v>
      </c>
      <c r="T52" s="9">
        <f>IFERROR(T42/'4. NPV'!U$8,0)</f>
        <v>567.09777477293187</v>
      </c>
      <c r="U52" s="9">
        <f>IFERROR(U42/'4. NPV'!V$8,0)</f>
        <v>578.43973026839046</v>
      </c>
      <c r="V52" s="9">
        <f>IFERROR(V42/'4. NPV'!W$8,0)</f>
        <v>590.00852487375823</v>
      </c>
      <c r="W52" s="9">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08" t="s">
        <v>308</v>
      </c>
      <c r="F4" s="408" t="s">
        <v>309</v>
      </c>
    </row>
    <row r="5" spans="1:9" ht="15">
      <c r="A5" t="s">
        <v>310</v>
      </c>
      <c r="E5" s="409"/>
      <c r="F5" s="409"/>
      <c r="H5" s="408" t="s">
        <v>311</v>
      </c>
      <c r="I5" s="408"/>
    </row>
    <row r="6" spans="1:9">
      <c r="A6" t="s">
        <v>312</v>
      </c>
      <c r="E6" s="409" t="s">
        <v>170</v>
      </c>
      <c r="F6" s="409" t="s">
        <v>313</v>
      </c>
      <c r="H6" s="409" t="s">
        <v>314</v>
      </c>
      <c r="I6" s="409"/>
    </row>
    <row r="7" spans="1:9">
      <c r="A7" t="s">
        <v>315</v>
      </c>
      <c r="E7" s="409" t="s">
        <v>316</v>
      </c>
      <c r="F7" s="409" t="s">
        <v>317</v>
      </c>
      <c r="H7" s="409" t="s">
        <v>318</v>
      </c>
      <c r="I7" s="409"/>
    </row>
    <row r="8" spans="1:9">
      <c r="E8" s="409" t="s">
        <v>226</v>
      </c>
      <c r="F8" s="409" t="s">
        <v>319</v>
      </c>
      <c r="H8" s="409" t="s">
        <v>316</v>
      </c>
      <c r="I8" s="409"/>
    </row>
    <row r="9" spans="1:9" ht="15">
      <c r="A9" s="1" t="s">
        <v>196</v>
      </c>
      <c r="B9" s="2"/>
      <c r="C9" s="2"/>
      <c r="D9" s="2"/>
      <c r="E9" s="409" t="s">
        <v>320</v>
      </c>
      <c r="F9" s="409" t="s">
        <v>321</v>
      </c>
      <c r="H9" s="409" t="s">
        <v>320</v>
      </c>
      <c r="I9" s="409"/>
    </row>
    <row r="10" spans="1:9">
      <c r="A10" t="s">
        <v>322</v>
      </c>
      <c r="E10" s="409" t="s">
        <v>116</v>
      </c>
      <c r="F10" s="409" t="s">
        <v>323</v>
      </c>
      <c r="H10" s="409" t="s">
        <v>324</v>
      </c>
      <c r="I10" s="409"/>
    </row>
    <row r="11" spans="1:9">
      <c r="A11" t="s">
        <v>325</v>
      </c>
      <c r="C11" s="2"/>
      <c r="E11" s="410"/>
      <c r="F11" s="410"/>
      <c r="H11" s="409" t="s">
        <v>326</v>
      </c>
      <c r="I11" s="409"/>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2026-09-30T21:11:20Z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